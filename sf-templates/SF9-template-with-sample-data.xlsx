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denny_liwag_deped_gov_ph/Documents/Documents/FGNMHS/ICT Coor/2026-2027/FG-Grade-System-webapp/sf-templates/"/>
    </mc:Choice>
  </mc:AlternateContent>
  <xr:revisionPtr revIDLastSave="0" documentId="8_{DD5CD8AE-A25F-4AED-AB67-3D5A00DB8965}" xr6:coauthVersionLast="47" xr6:coauthVersionMax="47" xr10:uidLastSave="{00000000-0000-0000-0000-000000000000}"/>
  <bookViews>
    <workbookView xWindow="-108" yWindow="-108" windowWidth="23256" windowHeight="12456" xr2:uid="{C6800CD3-A6ED-47C3-854C-6676198C0DEA}"/>
  </bookViews>
  <sheets>
    <sheet name="SF9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L11" i="1"/>
  <c r="I11" i="1"/>
  <c r="H9" i="1"/>
  <c r="Z3" i="1"/>
  <c r="Y3" i="1"/>
  <c r="X3" i="1"/>
  <c r="W3" i="1"/>
  <c r="V3" i="1"/>
  <c r="U3" i="1"/>
  <c r="T3" i="1"/>
  <c r="S3" i="1"/>
  <c r="R3" i="1"/>
  <c r="Q3" i="1"/>
  <c r="P3" i="1"/>
  <c r="A20" i="1"/>
  <c r="N20" i="1" l="1"/>
  <c r="A31" i="1"/>
  <c r="A28" i="1"/>
  <c r="Z4" i="1"/>
  <c r="T4" i="1"/>
  <c r="R4" i="1"/>
  <c r="U4" i="1"/>
  <c r="W4" i="1"/>
  <c r="P4" i="1"/>
  <c r="Q4" i="1"/>
  <c r="S4" i="1"/>
  <c r="Y4" i="1"/>
  <c r="X4" i="1"/>
  <c r="V4" i="1" l="1"/>
  <c r="AA4" i="1" s="1"/>
  <c r="J28" i="1"/>
  <c r="I28" i="1"/>
  <c r="H28" i="1"/>
  <c r="N28" i="1"/>
  <c r="N31" i="1"/>
  <c r="K31" i="1"/>
  <c r="L31" i="1" s="1"/>
  <c r="J31" i="1"/>
  <c r="I31" i="1"/>
  <c r="H31" i="1"/>
  <c r="P6" i="1"/>
  <c r="K32" i="1"/>
  <c r="R15" i="1"/>
  <c r="Z6" i="1"/>
  <c r="Z5" i="1" s="1"/>
  <c r="R12" i="1"/>
  <c r="Y6" i="1"/>
  <c r="Y5" i="1" s="1"/>
  <c r="X6" i="1"/>
  <c r="X5" i="1" s="1"/>
  <c r="W6" i="1"/>
  <c r="W5" i="1" s="1"/>
  <c r="V6" i="1"/>
  <c r="B11" i="1"/>
  <c r="L10" i="1"/>
  <c r="I10" i="1"/>
  <c r="S6" i="1"/>
  <c r="S5" i="1" s="1"/>
  <c r="B10" i="1"/>
  <c r="R9" i="1"/>
  <c r="K20" i="1"/>
  <c r="L20" i="1" s="1"/>
  <c r="A29" i="1"/>
  <c r="A27" i="1"/>
  <c r="T6" i="1" l="1"/>
  <c r="T5" i="1" s="1"/>
  <c r="J20" i="1"/>
  <c r="K28" i="1"/>
  <c r="L28" i="1" s="1"/>
  <c r="N29" i="1"/>
  <c r="J29" i="1"/>
  <c r="I29" i="1"/>
  <c r="H29" i="1"/>
  <c r="H20" i="1"/>
  <c r="L32" i="1"/>
  <c r="U6" i="1"/>
  <c r="U5" i="1" s="1"/>
  <c r="I20" i="1"/>
  <c r="Q6" i="1"/>
  <c r="Q5" i="1" s="1"/>
  <c r="A30" i="1"/>
  <c r="V5" i="1"/>
  <c r="N27" i="1"/>
  <c r="J27" i="1"/>
  <c r="I27" i="1"/>
  <c r="H27" i="1"/>
  <c r="R6" i="1"/>
  <c r="R5" i="1" s="1"/>
  <c r="P5" i="1"/>
  <c r="K27" i="1" l="1"/>
  <c r="L27" i="1" s="1"/>
  <c r="AA5" i="1"/>
  <c r="K29" i="1"/>
  <c r="L29" i="1" s="1"/>
  <c r="A26" i="1"/>
  <c r="A21" i="1"/>
  <c r="A23" i="1"/>
  <c r="A22" i="1"/>
  <c r="A24" i="1"/>
  <c r="A25" i="1"/>
  <c r="J30" i="1"/>
  <c r="I30" i="1"/>
  <c r="H30" i="1"/>
  <c r="N30" i="1"/>
  <c r="K30" i="1"/>
  <c r="L30" i="1" s="1"/>
  <c r="AA6" i="1"/>
  <c r="N22" i="1" l="1"/>
  <c r="K22" i="1"/>
  <c r="L22" i="1" s="1"/>
  <c r="J22" i="1"/>
  <c r="I22" i="1"/>
  <c r="H22" i="1"/>
  <c r="J23" i="1"/>
  <c r="I23" i="1"/>
  <c r="H23" i="1"/>
  <c r="N23" i="1"/>
  <c r="N21" i="1"/>
  <c r="K21" i="1"/>
  <c r="L21" i="1" s="1"/>
  <c r="J21" i="1"/>
  <c r="I21" i="1"/>
  <c r="H21" i="1"/>
  <c r="I25" i="1"/>
  <c r="H25" i="1"/>
  <c r="N25" i="1"/>
  <c r="J25" i="1"/>
  <c r="N26" i="1"/>
  <c r="J26" i="1"/>
  <c r="I26" i="1"/>
  <c r="H26" i="1"/>
  <c r="N24" i="1"/>
  <c r="J24" i="1"/>
  <c r="I24" i="1"/>
  <c r="H24" i="1"/>
  <c r="K26" i="1" l="1"/>
  <c r="L26" i="1" s="1"/>
  <c r="K23" i="1"/>
  <c r="L23" i="1" s="1"/>
  <c r="K24" i="1"/>
  <c r="L24" i="1" s="1"/>
  <c r="K25" i="1"/>
  <c r="L25" i="1" s="1"/>
</calcChain>
</file>

<file path=xl/sharedStrings.xml><?xml version="1.0" encoding="utf-8"?>
<sst xmlns="http://schemas.openxmlformats.org/spreadsheetml/2006/main" count="80" uniqueCount="62">
  <si>
    <t>Republic of the Philippines</t>
  </si>
  <si>
    <t>ATTENDANCE RECORD</t>
  </si>
  <si>
    <t>Department of Education</t>
  </si>
  <si>
    <t>Month</t>
  </si>
  <si>
    <t>Total</t>
  </si>
  <si>
    <t>Region III</t>
  </si>
  <si>
    <t>Region III – Central Luzon</t>
  </si>
  <si>
    <t>No. of Class Days</t>
  </si>
  <si>
    <t>SCHOOLS DIVISION OFFICE OF ANGELES CITY</t>
  </si>
  <si>
    <t>No. of Days Present</t>
  </si>
  <si>
    <t>Angeles City, Pampanga</t>
  </si>
  <si>
    <t>No. of Days Absent</t>
  </si>
  <si>
    <t>Francisco G. Nepomuceno Memorial High School</t>
  </si>
  <si>
    <t>LEARNER'S PERFORMANCE REPORT</t>
  </si>
  <si>
    <t>TEACHER'S COMMENTS / REMARKS</t>
  </si>
  <si>
    <t>School Year:</t>
  </si>
  <si>
    <t>Term 1</t>
  </si>
  <si>
    <t>Name:</t>
  </si>
  <si>
    <t>Age:</t>
  </si>
  <si>
    <t>Sex:</t>
  </si>
  <si>
    <t>LRN:</t>
  </si>
  <si>
    <t>Grade:</t>
  </si>
  <si>
    <t>Section:</t>
  </si>
  <si>
    <t>Track:</t>
  </si>
  <si>
    <t>Term 2</t>
  </si>
  <si>
    <t>Dear Parent/Guardian,</t>
  </si>
  <si>
    <t>This Performance Report shows the ability and progress your child has made in the different learning areas and in his/her core values.</t>
  </si>
  <si>
    <t>The school welcomes you should you desire to know more about your child's progress.</t>
  </si>
  <si>
    <t>Term 3</t>
  </si>
  <si>
    <t>LEARNING PROGRESS AND ACHIEVEMENT</t>
  </si>
  <si>
    <t>Learning Areas</t>
  </si>
  <si>
    <t>TERM</t>
  </si>
  <si>
    <t>Final
Grade</t>
  </si>
  <si>
    <t>Remarks</t>
  </si>
  <si>
    <t>PARENT / GUARDIAN SIGNATURE</t>
  </si>
  <si>
    <t>CERTIFICATE OF TRANSFER</t>
  </si>
  <si>
    <t>This is to certify that the above-named learner has satisfactorily completed the requirements for the grade level indicated.</t>
  </si>
  <si>
    <t>Admitted to Grade:</t>
  </si>
  <si>
    <t>Eligible for Admission to Grade:</t>
  </si>
  <si>
    <t>Approved:</t>
  </si>
  <si>
    <t>Adviser</t>
  </si>
  <si>
    <t>General Average</t>
  </si>
  <si>
    <t>School Head</t>
  </si>
  <si>
    <t>CANCELLATION OF ELIGIBILITY TO TRANSFER</t>
  </si>
  <si>
    <t>PERFORMANCE DESCRIPTORS</t>
  </si>
  <si>
    <t>Admitted in:</t>
  </si>
  <si>
    <t>Date:</t>
  </si>
  <si>
    <t>Grading Scale</t>
  </si>
  <si>
    <t xml:space="preserve">       Description</t>
  </si>
  <si>
    <t xml:space="preserve">       Remarks</t>
  </si>
  <si>
    <t>90–100</t>
  </si>
  <si>
    <t>Advancing</t>
  </si>
  <si>
    <t>Passed</t>
  </si>
  <si>
    <t>80–89</t>
  </si>
  <si>
    <t>Benchmarking</t>
  </si>
  <si>
    <t>75–79</t>
  </si>
  <si>
    <t>Connecting</t>
  </si>
  <si>
    <t>65–74</t>
  </si>
  <si>
    <t>Developing</t>
  </si>
  <si>
    <t>Failed</t>
  </si>
  <si>
    <t>0–64</t>
  </si>
  <si>
    <t>Emerging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</si>
</sst>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4">
    <font>
      <sz val="11"/>
      <name val="Carlito"/>
    </font>
    <font>
      <b/>
      <sz val="11"/>
      <color rgb="FF000000"/>
      <name val="Aparajita"/>
      <family val="1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12"/>
      <color rgb="FF000000"/>
      <name val="Aparajita"/>
      <family val="1"/>
    </font>
    <font>
      <sz val="10"/>
      <color rgb="FF000000"/>
      <name val="Aparajita"/>
      <family val="1"/>
    </font>
    <font>
      <b/>
      <sz val="10"/>
      <color rgb="FF000000"/>
      <name val="Aparajita"/>
      <family val="1"/>
    </font>
    <font>
      <b/>
      <sz val="16"/>
      <color rgb="FF000000"/>
      <name val="Aparajita"/>
      <family val="1"/>
    </font>
    <font>
      <b/>
      <i/>
      <sz val="16"/>
      <color rgb="FF000000"/>
      <name val="Aparajita"/>
      <family val="1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FFFFFF"/>
      <name val="Carlito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3" fillId="0" borderId="0" xfId="0" applyNumberFormat="1" applyFont="1"/>
    <xf numFmtId="0" fontId="3" fillId="0" borderId="0" xfId="0" applyFont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FFFFFF"/>
      </font>
      <fill>
        <patternFill>
          <bgColor rgb="FF595959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FFFFFF"/>
      </font>
      <fill>
        <patternFill>
          <bgColor rgb="FF59595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09625" cy="8191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79CDC2B-588C-41B6-A503-8AB4F0F3E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740"/>
          <a:ext cx="809625" cy="81915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</xdr:row>
      <xdr:rowOff>0</xdr:rowOff>
    </xdr:from>
    <xdr:ext cx="819150" cy="81915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E3275D5-7A9B-4436-9FBD-D7A812282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8140" y="205740"/>
          <a:ext cx="819150" cy="8191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epedph-my.sharepoint.com/personal/denny_liwag_deped_gov_ph/Documents/Documents/FGNMHS/ICT%20Coor/2026-2027/Automation_Summary_Grades_SF9_SF10/FGNMHS_SHS_SoG_SF9_SF10_SF2_Automation_3Term_SY2026-2027_Revision9.xlsx" TargetMode="External"/><Relationship Id="rId2" Type="http://schemas.microsoft.com/office/2019/04/relationships/externalLinkLongPath" Target="/personal/denny_liwag_deped_gov_ph/Documents/Documents/FGNMHS/ICT%20Coor/2026-2027/Automation_Summary_Grades_SF9_SF10/FGNMHS_SHS_SoG_SF9_SF10_SF2_Automation_3Term_SY2026-2027_Revision9.xlsx?D7D3918F" TargetMode="External"/><Relationship Id="rId1" Type="http://schemas.openxmlformats.org/officeDocument/2006/relationships/externalLinkPath" Target="file:///\\D7D3918F\FGNMHS_SHS_SoG_SF9_SF10_SF2_Automation_3Term_SY2026-2027_Revision9.xlsx" TargetMode="External"/><Relationship Id="rId4" Type="http://schemas.openxmlformats.org/officeDocument/2006/relationships/externalLinkPath" Target="../../Automation_Summary_Grades_SF9_SF10/FGNMHS_SHS_SoG_SF9_SF10_SF2_Automation_3Term_SY2026-2027_Revision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Academic Subjects"/>
      <sheetName val="SYSTEM MAP"/>
      <sheetName val="SETUP"/>
      <sheetName val="LEARNERS"/>
      <sheetName val="TERM 1"/>
      <sheetName val="TERM 2"/>
      <sheetName val="TERM 3"/>
      <sheetName val="SUMMARY"/>
      <sheetName val="ATTENDANCE"/>
      <sheetName val="PRINT CONTROL"/>
      <sheetName val="SF9"/>
      <sheetName val="SF10 TEMP 3-TERM"/>
      <sheetName val="TEMP CARDS"/>
      <sheetName val="AWARD CERTIFICATE"/>
      <sheetName val="SUBJECT CATALOG"/>
      <sheetName val="SF9 TEMPLATE"/>
      <sheetName val="SF2"/>
      <sheetName val="SF2 CALENDAR"/>
      <sheetName val="ATTENDANCE DAILY"/>
      <sheetName val="INSTRUCTIONS"/>
    </sheetNames>
    <sheetDataSet>
      <sheetData sheetId="0"/>
      <sheetData sheetId="1"/>
      <sheetData sheetId="2">
        <row r="2">
          <cell r="J2" t="str">
            <v>Jun</v>
          </cell>
          <cell r="K2" t="str">
            <v>Jul</v>
          </cell>
          <cell r="L2" t="str">
            <v>Aug</v>
          </cell>
          <cell r="M2" t="str">
            <v>Sep</v>
          </cell>
          <cell r="N2" t="str">
            <v>Oct</v>
          </cell>
          <cell r="O2" t="str">
            <v>Nov</v>
          </cell>
          <cell r="P2" t="str">
            <v>Dec</v>
          </cell>
          <cell r="Q2" t="str">
            <v>Jan</v>
          </cell>
          <cell r="R2" t="str">
            <v>Feb</v>
          </cell>
          <cell r="S2" t="str">
            <v>Mar</v>
          </cell>
          <cell r="T2" t="str">
            <v>Apr</v>
          </cell>
        </row>
        <row r="3">
          <cell r="J3">
            <v>16</v>
          </cell>
          <cell r="K3">
            <v>23</v>
          </cell>
          <cell r="L3">
            <v>19</v>
          </cell>
          <cell r="M3">
            <v>22</v>
          </cell>
          <cell r="N3">
            <v>22</v>
          </cell>
          <cell r="O3">
            <v>19</v>
          </cell>
          <cell r="P3">
            <v>13</v>
          </cell>
          <cell r="Q3">
            <v>20</v>
          </cell>
          <cell r="R3">
            <v>20</v>
          </cell>
          <cell r="S3">
            <v>21</v>
          </cell>
          <cell r="T3">
            <v>6</v>
          </cell>
        </row>
        <row r="4">
          <cell r="B4" t="str">
            <v>2026-2027</v>
          </cell>
        </row>
        <row r="13">
          <cell r="B13">
            <v>11</v>
          </cell>
        </row>
        <row r="14">
          <cell r="B14" t="str">
            <v>Tesla</v>
          </cell>
        </row>
        <row r="15">
          <cell r="B15" t="str">
            <v>Academic</v>
          </cell>
        </row>
        <row r="16">
          <cell r="B16" t="str">
            <v>Arts, Social Sciences, and Humanities</v>
          </cell>
        </row>
        <row r="21">
          <cell r="D21">
            <v>1</v>
          </cell>
          <cell r="E21">
            <v>1</v>
          </cell>
          <cell r="F21">
            <v>1</v>
          </cell>
          <cell r="H21">
            <v>0</v>
          </cell>
          <cell r="I21" t="str">
            <v>Effective Communication / Mabisang Komunikasyon</v>
          </cell>
          <cell r="U21">
            <v>1</v>
          </cell>
          <cell r="V21" t="str">
            <v>Effective Communication</v>
          </cell>
        </row>
        <row r="22">
          <cell r="D22">
            <v>1</v>
          </cell>
          <cell r="E22">
            <v>1</v>
          </cell>
          <cell r="F22">
            <v>1</v>
          </cell>
          <cell r="H22">
            <v>1</v>
          </cell>
          <cell r="I22" t="str">
            <v>Effective Communication</v>
          </cell>
          <cell r="U22">
            <v>2</v>
          </cell>
          <cell r="V22" t="str">
            <v>Mabisang Komunikasyon</v>
          </cell>
        </row>
        <row r="23">
          <cell r="D23">
            <v>1</v>
          </cell>
          <cell r="E23">
            <v>1</v>
          </cell>
          <cell r="F23">
            <v>1</v>
          </cell>
          <cell r="H23">
            <v>2</v>
          </cell>
          <cell r="I23" t="str">
            <v>Mabisang Komunikasyon</v>
          </cell>
          <cell r="U23">
            <v>3</v>
          </cell>
          <cell r="V23" t="str">
            <v>General Mathematics</v>
          </cell>
        </row>
        <row r="24">
          <cell r="D24">
            <v>1</v>
          </cell>
          <cell r="E24">
            <v>1</v>
          </cell>
          <cell r="F24">
            <v>1</v>
          </cell>
          <cell r="H24">
            <v>6</v>
          </cell>
          <cell r="I24" t="str">
            <v>Pag-aaral ng Kasaysayan at Lipunang Pilipino</v>
          </cell>
          <cell r="U24">
            <v>4</v>
          </cell>
          <cell r="V24" t="str">
            <v>General Science</v>
          </cell>
        </row>
        <row r="25">
          <cell r="D25">
            <v>1</v>
          </cell>
          <cell r="E25">
            <v>1</v>
          </cell>
          <cell r="F25">
            <v>1</v>
          </cell>
          <cell r="H25">
            <v>5</v>
          </cell>
          <cell r="I25" t="str">
            <v>Life and Career Skills</v>
          </cell>
          <cell r="U25">
            <v>5</v>
          </cell>
          <cell r="V25" t="str">
            <v>Life and Career Skills</v>
          </cell>
        </row>
        <row r="26">
          <cell r="D26">
            <v>1</v>
          </cell>
          <cell r="E26">
            <v>1</v>
          </cell>
          <cell r="F26">
            <v>1</v>
          </cell>
          <cell r="H26">
            <v>4</v>
          </cell>
          <cell r="I26" t="str">
            <v>General Science</v>
          </cell>
          <cell r="U26">
            <v>6</v>
          </cell>
          <cell r="V26" t="str">
            <v>Pag-aaral ng Kasaysayan at Lipunang Pilipino</v>
          </cell>
        </row>
        <row r="27">
          <cell r="D27">
            <v>1</v>
          </cell>
          <cell r="E27">
            <v>0</v>
          </cell>
          <cell r="F27">
            <v>0</v>
          </cell>
          <cell r="H27">
            <v>3</v>
          </cell>
          <cell r="I27" t="str">
            <v>General Mathematics</v>
          </cell>
          <cell r="U27">
            <v>7</v>
          </cell>
          <cell r="V27" t="str">
            <v>Creative Composition 1</v>
          </cell>
        </row>
        <row r="28">
          <cell r="D28">
            <v>0</v>
          </cell>
          <cell r="E28">
            <v>1</v>
          </cell>
          <cell r="F28">
            <v>0</v>
          </cell>
          <cell r="H28">
            <v>7</v>
          </cell>
          <cell r="I28" t="str">
            <v>Creative Composition 1</v>
          </cell>
          <cell r="U28">
            <v>8</v>
          </cell>
          <cell r="V28" t="str">
            <v>Creative Composition 2</v>
          </cell>
        </row>
        <row r="29">
          <cell r="D29">
            <v>0</v>
          </cell>
          <cell r="E29">
            <v>0</v>
          </cell>
          <cell r="F29">
            <v>1</v>
          </cell>
          <cell r="H29">
            <v>8</v>
          </cell>
          <cell r="I29" t="str">
            <v>Creative Composition 2</v>
          </cell>
          <cell r="U29">
            <v>9</v>
          </cell>
          <cell r="V29" t="str">
            <v>Wika at Komunikasyon sa Akademikong Filipino</v>
          </cell>
        </row>
        <row r="30">
          <cell r="D30">
            <v>0</v>
          </cell>
          <cell r="E30">
            <v>0</v>
          </cell>
          <cell r="F30">
            <v>0</v>
          </cell>
          <cell r="H30">
            <v>9</v>
          </cell>
          <cell r="I30" t="str">
            <v>Wika at Komunikasyon sa Akademikong Filipino</v>
          </cell>
          <cell r="U30">
            <v>10</v>
          </cell>
          <cell r="V30" t="str">
            <v/>
          </cell>
        </row>
        <row r="31">
          <cell r="D31">
            <v>0</v>
          </cell>
          <cell r="E31">
            <v>0</v>
          </cell>
          <cell r="F31">
            <v>0</v>
          </cell>
          <cell r="H31">
            <v>10</v>
          </cell>
          <cell r="I31" t="str">
            <v/>
          </cell>
          <cell r="U31">
            <v>11</v>
          </cell>
          <cell r="V31" t="str">
            <v/>
          </cell>
        </row>
        <row r="32">
          <cell r="D32">
            <v>0</v>
          </cell>
          <cell r="E32">
            <v>0</v>
          </cell>
          <cell r="F32">
            <v>0</v>
          </cell>
          <cell r="H32">
            <v>11</v>
          </cell>
          <cell r="I32" t="str">
            <v/>
          </cell>
          <cell r="U32">
            <v>12</v>
          </cell>
          <cell r="V32" t="str">
            <v/>
          </cell>
        </row>
        <row r="33">
          <cell r="D33">
            <v>0</v>
          </cell>
          <cell r="E33">
            <v>0</v>
          </cell>
          <cell r="F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</row>
      </sheetData>
      <sheetData sheetId="3">
        <row r="4">
          <cell r="B4" t="str">
            <v>122625140006</v>
          </cell>
          <cell r="F4" t="str">
            <v>ACAYAN, ELIJAH DITALO</v>
          </cell>
          <cell r="G4" t="str">
            <v>Male</v>
          </cell>
          <cell r="I4">
            <v>17</v>
          </cell>
        </row>
        <row r="5">
          <cell r="B5" t="str">
            <v>419658160041</v>
          </cell>
          <cell r="F5" t="str">
            <v>ARCILLA, KYLE XANDRE MATUS</v>
          </cell>
          <cell r="G5" t="str">
            <v>Male</v>
          </cell>
          <cell r="I5">
            <v>17</v>
          </cell>
        </row>
        <row r="6">
          <cell r="B6" t="str">
            <v>104015140057</v>
          </cell>
          <cell r="F6" t="str">
            <v>CAPAYAN, DENVER CORPUZ</v>
          </cell>
          <cell r="G6" t="str">
            <v>Male</v>
          </cell>
          <cell r="I6">
            <v>17</v>
          </cell>
        </row>
        <row r="7">
          <cell r="B7" t="str">
            <v>107023140026</v>
          </cell>
          <cell r="F7" t="str">
            <v>DOMINGO, FRYNNS LIAM ATIENZA</v>
          </cell>
          <cell r="G7" t="str">
            <v>Male</v>
          </cell>
          <cell r="I7">
            <v>17</v>
          </cell>
        </row>
        <row r="8">
          <cell r="B8" t="str">
            <v>110347140023</v>
          </cell>
          <cell r="F8" t="str">
            <v>DUMADALUG, JAMES DIZON</v>
          </cell>
          <cell r="G8" t="str">
            <v>Male</v>
          </cell>
          <cell r="I8">
            <v>17</v>
          </cell>
        </row>
        <row r="9">
          <cell r="B9" t="str">
            <v>107031140010</v>
          </cell>
          <cell r="F9" t="str">
            <v>GARCIA, KIRK NATHAN BOLSICO</v>
          </cell>
          <cell r="G9" t="str">
            <v>Male</v>
          </cell>
          <cell r="I9">
            <v>17</v>
          </cell>
        </row>
        <row r="10">
          <cell r="B10" t="str">
            <v>107061140477</v>
          </cell>
          <cell r="F10" t="str">
            <v>GUEVARRA, SEAD SYRON CORPUZ</v>
          </cell>
          <cell r="G10" t="str">
            <v>Male</v>
          </cell>
          <cell r="I10">
            <v>17</v>
          </cell>
        </row>
        <row r="11">
          <cell r="B11" t="str">
            <v>133624150052</v>
          </cell>
          <cell r="F11" t="str">
            <v>MACAPANTON, ALIMAN SULTAN</v>
          </cell>
          <cell r="G11" t="str">
            <v>Male</v>
          </cell>
          <cell r="I11">
            <v>18</v>
          </cell>
        </row>
        <row r="12">
          <cell r="B12" t="str">
            <v>107027140164</v>
          </cell>
          <cell r="F12" t="str">
            <v>MEJIA, FRANCIS KHIAN LLARENA</v>
          </cell>
          <cell r="G12" t="str">
            <v>Male</v>
          </cell>
          <cell r="I12">
            <v>17</v>
          </cell>
        </row>
        <row r="13">
          <cell r="B13" t="str">
            <v>107185140032</v>
          </cell>
          <cell r="F13" t="str">
            <v>NERI, GABRIEL BRIONES</v>
          </cell>
          <cell r="G13" t="str">
            <v>Male</v>
          </cell>
          <cell r="I13">
            <v>17</v>
          </cell>
        </row>
        <row r="14">
          <cell r="B14" t="str">
            <v>107057130479</v>
          </cell>
          <cell r="F14" t="str">
            <v>PAYABYAB, SHELTER RAIN ALEJANDRO</v>
          </cell>
          <cell r="G14" t="str">
            <v>Male</v>
          </cell>
          <cell r="I14">
            <v>18</v>
          </cell>
        </row>
        <row r="15">
          <cell r="B15" t="str">
            <v>113420140126</v>
          </cell>
          <cell r="F15" t="str">
            <v>RAMIREZ, RENCES DWANE RAMONES</v>
          </cell>
          <cell r="G15" t="str">
            <v>Male</v>
          </cell>
          <cell r="I15">
            <v>17</v>
          </cell>
        </row>
        <row r="16">
          <cell r="B16" t="str">
            <v>107048150273</v>
          </cell>
          <cell r="F16" t="str">
            <v>SUGAY, ASHTON GUTIERREZ</v>
          </cell>
          <cell r="G16" t="str">
            <v>Male</v>
          </cell>
          <cell r="I16">
            <v>17</v>
          </cell>
        </row>
        <row r="17">
          <cell r="B17">
            <v>107032140054</v>
          </cell>
          <cell r="F17" t="str">
            <v>SANTIAGO, JARED ALBERTH BARREDA</v>
          </cell>
          <cell r="G17" t="str">
            <v>Male</v>
          </cell>
          <cell r="I17">
            <v>17</v>
          </cell>
        </row>
        <row r="18">
          <cell r="B18" t="str">
            <v>122379140033</v>
          </cell>
          <cell r="F18" t="str">
            <v>ACAYAN, HANNAH NICOLE COSTUNA</v>
          </cell>
          <cell r="G18" t="str">
            <v>Female</v>
          </cell>
          <cell r="I18">
            <v>16</v>
          </cell>
        </row>
        <row r="19">
          <cell r="B19" t="str">
            <v>107041140509</v>
          </cell>
          <cell r="F19" t="str">
            <v>AREÑEZ, FRANCHESKA OCAMPO</v>
          </cell>
          <cell r="G19" t="str">
            <v>Female</v>
          </cell>
          <cell r="I19">
            <v>16</v>
          </cell>
        </row>
        <row r="20">
          <cell r="B20" t="str">
            <v>159547140065</v>
          </cell>
          <cell r="F20" t="str">
            <v>BALUCANAG, CHLOE LIAN GALINO</v>
          </cell>
          <cell r="G20" t="str">
            <v>Female</v>
          </cell>
          <cell r="I20">
            <v>17</v>
          </cell>
        </row>
        <row r="21">
          <cell r="B21" t="str">
            <v>107022140163</v>
          </cell>
          <cell r="F21" t="str">
            <v>BIE, JOHN RAIN MAGTOTO</v>
          </cell>
          <cell r="G21" t="str">
            <v>Female</v>
          </cell>
          <cell r="I21">
            <v>17</v>
          </cell>
        </row>
        <row r="22">
          <cell r="B22" t="str">
            <v>105935140024</v>
          </cell>
          <cell r="F22" t="str">
            <v>DAVID, ASHLEY LAPUZ</v>
          </cell>
          <cell r="G22" t="str">
            <v>Female</v>
          </cell>
          <cell r="I22">
            <v>17</v>
          </cell>
        </row>
        <row r="23">
          <cell r="B23" t="str">
            <v>106066150025</v>
          </cell>
          <cell r="F23" t="str">
            <v>FLORES, THEA MARIE LUMUYA</v>
          </cell>
          <cell r="G23" t="str">
            <v>Female</v>
          </cell>
          <cell r="I23">
            <v>17</v>
          </cell>
        </row>
        <row r="24">
          <cell r="B24" t="str">
            <v>107032140061</v>
          </cell>
          <cell r="F24" t="str">
            <v>INGAL, SHAINA KYLE PINEDA</v>
          </cell>
          <cell r="G24" t="str">
            <v>Female</v>
          </cell>
          <cell r="I24">
            <v>17</v>
          </cell>
        </row>
        <row r="25">
          <cell r="B25">
            <v>106072140070</v>
          </cell>
          <cell r="F25" t="str">
            <v>MACAPODI, AINA MANGUNTAWAR</v>
          </cell>
          <cell r="G25" t="str">
            <v>Female</v>
          </cell>
          <cell r="I25">
            <v>18</v>
          </cell>
        </row>
        <row r="26">
          <cell r="B26" t="str">
            <v>136634150917</v>
          </cell>
          <cell r="F26" t="str">
            <v>MIPAMPANG, RASHEDA BASCARA</v>
          </cell>
          <cell r="G26" t="str">
            <v>Female</v>
          </cell>
          <cell r="I26">
            <v>17</v>
          </cell>
        </row>
        <row r="27">
          <cell r="B27" t="str">
            <v>107028140103</v>
          </cell>
          <cell r="F27" t="str">
            <v>TAYSON, DANIELLE MAE PANES</v>
          </cell>
          <cell r="G27" t="str">
            <v>Female</v>
          </cell>
          <cell r="I27">
            <v>17</v>
          </cell>
        </row>
        <row r="28">
          <cell r="B28">
            <v>105205140016</v>
          </cell>
          <cell r="F28" t="str">
            <v>FAJARDO, PRINCE DANIEL RODAJE</v>
          </cell>
          <cell r="G28" t="str">
            <v>Female</v>
          </cell>
          <cell r="I28">
            <v>17</v>
          </cell>
        </row>
        <row r="29">
          <cell r="F29" t="str">
            <v/>
          </cell>
          <cell r="I29" t="str">
            <v/>
          </cell>
        </row>
        <row r="30">
          <cell r="F30" t="str">
            <v/>
          </cell>
          <cell r="I30" t="str">
            <v/>
          </cell>
        </row>
        <row r="31">
          <cell r="F31" t="str">
            <v/>
          </cell>
          <cell r="I31" t="str">
            <v/>
          </cell>
        </row>
        <row r="32">
          <cell r="F32" t="str">
            <v/>
          </cell>
          <cell r="I32" t="str">
            <v/>
          </cell>
        </row>
        <row r="33">
          <cell r="F33" t="str">
            <v/>
          </cell>
          <cell r="I33" t="str">
            <v/>
          </cell>
        </row>
        <row r="34">
          <cell r="F34" t="str">
            <v/>
          </cell>
          <cell r="I34" t="str">
            <v/>
          </cell>
        </row>
        <row r="35">
          <cell r="F35" t="str">
            <v/>
          </cell>
          <cell r="I35" t="str">
            <v/>
          </cell>
        </row>
        <row r="36">
          <cell r="F36" t="str">
            <v/>
          </cell>
          <cell r="I36" t="str">
            <v/>
          </cell>
        </row>
        <row r="37">
          <cell r="F37" t="str">
            <v/>
          </cell>
          <cell r="I37" t="str">
            <v/>
          </cell>
        </row>
        <row r="38">
          <cell r="F38" t="str">
            <v/>
          </cell>
          <cell r="I38" t="str">
            <v/>
          </cell>
        </row>
        <row r="39">
          <cell r="F39" t="str">
            <v/>
          </cell>
          <cell r="I39" t="str">
            <v/>
          </cell>
        </row>
        <row r="40">
          <cell r="F40" t="str">
            <v/>
          </cell>
          <cell r="I40" t="str">
            <v/>
          </cell>
        </row>
        <row r="41">
          <cell r="F41" t="str">
            <v/>
          </cell>
          <cell r="I41" t="str">
            <v/>
          </cell>
        </row>
        <row r="42">
          <cell r="F42" t="str">
            <v/>
          </cell>
          <cell r="I42" t="str">
            <v/>
          </cell>
        </row>
        <row r="43">
          <cell r="F43" t="str">
            <v/>
          </cell>
          <cell r="I43" t="str">
            <v/>
          </cell>
        </row>
        <row r="44">
          <cell r="F44" t="str">
            <v/>
          </cell>
          <cell r="I44" t="str">
            <v/>
          </cell>
        </row>
        <row r="45">
          <cell r="F45" t="str">
            <v/>
          </cell>
          <cell r="I45" t="str">
            <v/>
          </cell>
        </row>
        <row r="46">
          <cell r="F46" t="str">
            <v/>
          </cell>
          <cell r="I46" t="str">
            <v/>
          </cell>
        </row>
        <row r="47">
          <cell r="F47" t="str">
            <v/>
          </cell>
          <cell r="I47" t="str">
            <v/>
          </cell>
        </row>
        <row r="48">
          <cell r="F48" t="str">
            <v/>
          </cell>
          <cell r="I48" t="str">
            <v/>
          </cell>
        </row>
        <row r="49">
          <cell r="F49" t="str">
            <v/>
          </cell>
          <cell r="I49" t="str">
            <v/>
          </cell>
        </row>
        <row r="50">
          <cell r="F50" t="str">
            <v/>
          </cell>
          <cell r="I50" t="str">
            <v/>
          </cell>
        </row>
        <row r="51">
          <cell r="F51" t="str">
            <v/>
          </cell>
          <cell r="I51" t="str">
            <v/>
          </cell>
        </row>
        <row r="52">
          <cell r="F52" t="str">
            <v/>
          </cell>
          <cell r="I52" t="str">
            <v/>
          </cell>
        </row>
        <row r="53">
          <cell r="F53" t="str">
            <v/>
          </cell>
          <cell r="I53" t="str">
            <v/>
          </cell>
        </row>
        <row r="54">
          <cell r="F54" t="str">
            <v/>
          </cell>
          <cell r="I54" t="str">
            <v/>
          </cell>
        </row>
        <row r="55">
          <cell r="F55" t="str">
            <v/>
          </cell>
          <cell r="I55" t="str">
            <v/>
          </cell>
        </row>
        <row r="56">
          <cell r="F56" t="str">
            <v/>
          </cell>
          <cell r="I56" t="str">
            <v/>
          </cell>
        </row>
        <row r="57">
          <cell r="F57" t="str">
            <v/>
          </cell>
          <cell r="I57" t="str">
            <v/>
          </cell>
        </row>
        <row r="58">
          <cell r="F58" t="str">
            <v/>
          </cell>
          <cell r="I58" t="str">
            <v/>
          </cell>
        </row>
        <row r="59">
          <cell r="F59" t="str">
            <v/>
          </cell>
          <cell r="I59" t="str">
            <v/>
          </cell>
        </row>
        <row r="60">
          <cell r="F60" t="str">
            <v/>
          </cell>
          <cell r="I60" t="str">
            <v/>
          </cell>
        </row>
        <row r="61">
          <cell r="F61" t="str">
            <v/>
          </cell>
          <cell r="I61" t="str">
            <v/>
          </cell>
        </row>
        <row r="62">
          <cell r="F62" t="str">
            <v/>
          </cell>
          <cell r="I62" t="str">
            <v/>
          </cell>
        </row>
        <row r="63">
          <cell r="F63" t="str">
            <v/>
          </cell>
          <cell r="I63" t="str">
            <v/>
          </cell>
        </row>
      </sheetData>
      <sheetData sheetId="4">
        <row r="6">
          <cell r="B6" t="str">
            <v>122625140006</v>
          </cell>
          <cell r="F6">
            <v>90</v>
          </cell>
          <cell r="G6">
            <v>92</v>
          </cell>
          <cell r="H6">
            <v>98</v>
          </cell>
          <cell r="I6">
            <v>80</v>
          </cell>
          <cell r="J6">
            <v>95</v>
          </cell>
          <cell r="K6">
            <v>89</v>
          </cell>
          <cell r="L6">
            <v>90</v>
          </cell>
        </row>
        <row r="7">
          <cell r="B7" t="str">
            <v>419658160041</v>
          </cell>
        </row>
        <row r="8">
          <cell r="B8" t="str">
            <v>104015140057</v>
          </cell>
        </row>
        <row r="9">
          <cell r="B9" t="str">
            <v>107023140026</v>
          </cell>
        </row>
        <row r="10">
          <cell r="B10" t="str">
            <v>110347140023</v>
          </cell>
        </row>
        <row r="11">
          <cell r="B11" t="str">
            <v>107031140010</v>
          </cell>
        </row>
        <row r="12">
          <cell r="B12" t="str">
            <v>107061140477</v>
          </cell>
        </row>
        <row r="13">
          <cell r="B13" t="str">
            <v>133624150052</v>
          </cell>
        </row>
        <row r="14">
          <cell r="B14" t="str">
            <v>107027140164</v>
          </cell>
        </row>
        <row r="15">
          <cell r="B15" t="str">
            <v>107185140032</v>
          </cell>
        </row>
        <row r="16">
          <cell r="B16" t="str">
            <v>107057130479</v>
          </cell>
        </row>
        <row r="17">
          <cell r="B17" t="str">
            <v>113420140126</v>
          </cell>
        </row>
        <row r="18">
          <cell r="B18" t="str">
            <v>107048150273</v>
          </cell>
        </row>
        <row r="19">
          <cell r="B19">
            <v>107032140054</v>
          </cell>
        </row>
        <row r="20">
          <cell r="B20" t="str">
            <v>122379140033</v>
          </cell>
        </row>
        <row r="21">
          <cell r="B21" t="str">
            <v>107041140509</v>
          </cell>
        </row>
        <row r="22">
          <cell r="B22" t="str">
            <v>159547140065</v>
          </cell>
        </row>
        <row r="23">
          <cell r="B23" t="str">
            <v>107022140163</v>
          </cell>
        </row>
        <row r="24">
          <cell r="B24" t="str">
            <v>105935140024</v>
          </cell>
          <cell r="F24">
            <v>87</v>
          </cell>
          <cell r="G24">
            <v>85</v>
          </cell>
          <cell r="H24">
            <v>91</v>
          </cell>
          <cell r="I24">
            <v>80</v>
          </cell>
          <cell r="J24">
            <v>79</v>
          </cell>
          <cell r="K24">
            <v>85</v>
          </cell>
          <cell r="L24">
            <v>84</v>
          </cell>
        </row>
        <row r="25">
          <cell r="B25" t="str">
            <v>106066150025</v>
          </cell>
        </row>
        <row r="26">
          <cell r="B26" t="str">
            <v>107032140061</v>
          </cell>
        </row>
        <row r="27">
          <cell r="B27">
            <v>106072140070</v>
          </cell>
        </row>
        <row r="28">
          <cell r="B28" t="str">
            <v>136634150917</v>
          </cell>
        </row>
        <row r="29">
          <cell r="B29" t="str">
            <v>107028140103</v>
          </cell>
        </row>
        <row r="30">
          <cell r="B30">
            <v>105205140016</v>
          </cell>
        </row>
        <row r="31">
          <cell r="B31" t="str">
            <v/>
          </cell>
        </row>
        <row r="32">
          <cell r="B32" t="str">
            <v/>
          </cell>
        </row>
        <row r="33">
          <cell r="B33" t="str">
            <v/>
          </cell>
        </row>
        <row r="34">
          <cell r="B34" t="str">
            <v/>
          </cell>
        </row>
        <row r="35">
          <cell r="B35" t="str">
            <v/>
          </cell>
        </row>
        <row r="36">
          <cell r="B36" t="str">
            <v/>
          </cell>
        </row>
        <row r="37">
          <cell r="B37" t="str">
            <v/>
          </cell>
        </row>
        <row r="38">
          <cell r="B38" t="str">
            <v/>
          </cell>
        </row>
        <row r="39">
          <cell r="B39" t="str">
            <v/>
          </cell>
        </row>
        <row r="40">
          <cell r="B40" t="str">
            <v/>
          </cell>
        </row>
        <row r="41">
          <cell r="B41" t="str">
            <v/>
          </cell>
        </row>
        <row r="42">
          <cell r="B42" t="str">
            <v/>
          </cell>
        </row>
        <row r="43">
          <cell r="B43" t="str">
            <v/>
          </cell>
        </row>
        <row r="44">
          <cell r="B44" t="str">
            <v/>
          </cell>
        </row>
        <row r="45">
          <cell r="B45" t="str">
            <v/>
          </cell>
        </row>
        <row r="46">
          <cell r="B46" t="str">
            <v/>
          </cell>
        </row>
        <row r="47">
          <cell r="B47" t="str">
            <v/>
          </cell>
        </row>
        <row r="48">
          <cell r="B48" t="str">
            <v/>
          </cell>
        </row>
        <row r="49">
          <cell r="B49" t="str">
            <v/>
          </cell>
        </row>
        <row r="50">
          <cell r="B50" t="str">
            <v/>
          </cell>
        </row>
        <row r="51">
          <cell r="B51" t="str">
            <v/>
          </cell>
        </row>
        <row r="52">
          <cell r="B52" t="str">
            <v/>
          </cell>
        </row>
        <row r="53">
          <cell r="B53" t="str">
            <v/>
          </cell>
        </row>
        <row r="54">
          <cell r="B54" t="str">
            <v/>
          </cell>
        </row>
        <row r="55">
          <cell r="B55" t="str">
            <v/>
          </cell>
        </row>
        <row r="56">
          <cell r="B56" t="str">
            <v/>
          </cell>
        </row>
        <row r="57">
          <cell r="B57" t="str">
            <v/>
          </cell>
        </row>
        <row r="58">
          <cell r="B58" t="str">
            <v/>
          </cell>
        </row>
        <row r="59">
          <cell r="B59" t="str">
            <v/>
          </cell>
        </row>
        <row r="60">
          <cell r="B60" t="str">
            <v/>
          </cell>
        </row>
        <row r="61">
          <cell r="B61" t="str">
            <v/>
          </cell>
        </row>
        <row r="62">
          <cell r="B62" t="str">
            <v/>
          </cell>
        </row>
        <row r="63">
          <cell r="B63" t="str">
            <v/>
          </cell>
        </row>
        <row r="64">
          <cell r="B64" t="str">
            <v/>
          </cell>
        </row>
        <row r="65">
          <cell r="B65" t="str">
            <v/>
          </cell>
        </row>
      </sheetData>
      <sheetData sheetId="5">
        <row r="6">
          <cell r="B6" t="str">
            <v>122625140006</v>
          </cell>
          <cell r="F6">
            <v>98</v>
          </cell>
          <cell r="G6">
            <v>90</v>
          </cell>
          <cell r="H6">
            <v>86</v>
          </cell>
          <cell r="I6">
            <v>90</v>
          </cell>
          <cell r="J6">
            <v>91</v>
          </cell>
          <cell r="K6">
            <v>93</v>
          </cell>
          <cell r="M6">
            <v>90</v>
          </cell>
        </row>
        <row r="7">
          <cell r="B7" t="str">
            <v>419658160041</v>
          </cell>
        </row>
        <row r="8">
          <cell r="B8" t="str">
            <v>104015140057</v>
          </cell>
        </row>
        <row r="9">
          <cell r="B9" t="str">
            <v>107023140026</v>
          </cell>
        </row>
        <row r="10">
          <cell r="B10" t="str">
            <v>110347140023</v>
          </cell>
        </row>
        <row r="11">
          <cell r="B11" t="str">
            <v>107031140010</v>
          </cell>
        </row>
        <row r="12">
          <cell r="B12" t="str">
            <v>107061140477</v>
          </cell>
        </row>
        <row r="13">
          <cell r="B13" t="str">
            <v>133624150052</v>
          </cell>
        </row>
        <row r="14">
          <cell r="B14" t="str">
            <v>107027140164</v>
          </cell>
        </row>
        <row r="15">
          <cell r="B15" t="str">
            <v>107185140032</v>
          </cell>
        </row>
        <row r="16">
          <cell r="B16" t="str">
            <v>107057130479</v>
          </cell>
        </row>
        <row r="17">
          <cell r="B17" t="str">
            <v>113420140126</v>
          </cell>
        </row>
        <row r="18">
          <cell r="B18" t="str">
            <v>107048150273</v>
          </cell>
        </row>
        <row r="19">
          <cell r="B19">
            <v>107032140054</v>
          </cell>
        </row>
        <row r="20">
          <cell r="B20" t="str">
            <v>122379140033</v>
          </cell>
        </row>
        <row r="21">
          <cell r="B21" t="str">
            <v>107041140509</v>
          </cell>
        </row>
        <row r="22">
          <cell r="B22" t="str">
            <v>159547140065</v>
          </cell>
        </row>
        <row r="23">
          <cell r="B23" t="str">
            <v>107022140163</v>
          </cell>
        </row>
        <row r="24">
          <cell r="B24" t="str">
            <v>105935140024</v>
          </cell>
          <cell r="F24">
            <v>80</v>
          </cell>
          <cell r="G24">
            <v>75</v>
          </cell>
          <cell r="H24">
            <v>74</v>
          </cell>
          <cell r="I24">
            <v>89</v>
          </cell>
          <cell r="J24">
            <v>80</v>
          </cell>
          <cell r="K24">
            <v>84</v>
          </cell>
          <cell r="M24">
            <v>76</v>
          </cell>
        </row>
        <row r="25">
          <cell r="B25" t="str">
            <v>106066150025</v>
          </cell>
        </row>
        <row r="26">
          <cell r="B26" t="str">
            <v>107032140061</v>
          </cell>
        </row>
        <row r="27">
          <cell r="B27">
            <v>106072140070</v>
          </cell>
        </row>
        <row r="28">
          <cell r="B28" t="str">
            <v>136634150917</v>
          </cell>
        </row>
        <row r="29">
          <cell r="B29" t="str">
            <v>107028140103</v>
          </cell>
        </row>
        <row r="30">
          <cell r="B30">
            <v>105205140016</v>
          </cell>
        </row>
        <row r="31">
          <cell r="B31" t="str">
            <v/>
          </cell>
        </row>
        <row r="32">
          <cell r="B32" t="str">
            <v/>
          </cell>
        </row>
        <row r="33">
          <cell r="B33" t="str">
            <v/>
          </cell>
        </row>
        <row r="34">
          <cell r="B34" t="str">
            <v/>
          </cell>
        </row>
        <row r="35">
          <cell r="B35" t="str">
            <v/>
          </cell>
        </row>
        <row r="36">
          <cell r="B36" t="str">
            <v/>
          </cell>
        </row>
        <row r="37">
          <cell r="B37" t="str">
            <v/>
          </cell>
        </row>
        <row r="38">
          <cell r="B38" t="str">
            <v/>
          </cell>
        </row>
        <row r="39">
          <cell r="B39" t="str">
            <v/>
          </cell>
        </row>
        <row r="40">
          <cell r="B40" t="str">
            <v/>
          </cell>
        </row>
        <row r="41">
          <cell r="B41" t="str">
            <v/>
          </cell>
        </row>
        <row r="42">
          <cell r="B42" t="str">
            <v/>
          </cell>
        </row>
        <row r="43">
          <cell r="B43" t="str">
            <v/>
          </cell>
        </row>
        <row r="44">
          <cell r="B44" t="str">
            <v/>
          </cell>
        </row>
        <row r="45">
          <cell r="B45" t="str">
            <v/>
          </cell>
        </row>
        <row r="46">
          <cell r="B46" t="str">
            <v/>
          </cell>
        </row>
        <row r="47">
          <cell r="B47" t="str">
            <v/>
          </cell>
        </row>
        <row r="48">
          <cell r="B48" t="str">
            <v/>
          </cell>
        </row>
        <row r="49">
          <cell r="B49" t="str">
            <v/>
          </cell>
        </row>
        <row r="50">
          <cell r="B50" t="str">
            <v/>
          </cell>
        </row>
        <row r="51">
          <cell r="B51" t="str">
            <v/>
          </cell>
        </row>
        <row r="52">
          <cell r="B52" t="str">
            <v/>
          </cell>
        </row>
        <row r="53">
          <cell r="B53" t="str">
            <v/>
          </cell>
        </row>
        <row r="54">
          <cell r="B54" t="str">
            <v/>
          </cell>
        </row>
        <row r="55">
          <cell r="B55" t="str">
            <v/>
          </cell>
        </row>
        <row r="56">
          <cell r="B56" t="str">
            <v/>
          </cell>
        </row>
        <row r="57">
          <cell r="B57" t="str">
            <v/>
          </cell>
        </row>
        <row r="58">
          <cell r="B58" t="str">
            <v/>
          </cell>
        </row>
        <row r="59">
          <cell r="B59" t="str">
            <v/>
          </cell>
        </row>
        <row r="60">
          <cell r="B60" t="str">
            <v/>
          </cell>
        </row>
        <row r="61">
          <cell r="B61" t="str">
            <v/>
          </cell>
        </row>
        <row r="62">
          <cell r="B62" t="str">
            <v/>
          </cell>
        </row>
        <row r="63">
          <cell r="B63" t="str">
            <v/>
          </cell>
        </row>
        <row r="64">
          <cell r="B64" t="str">
            <v/>
          </cell>
        </row>
        <row r="65">
          <cell r="B65" t="str">
            <v/>
          </cell>
        </row>
      </sheetData>
      <sheetData sheetId="6">
        <row r="6">
          <cell r="B6" t="str">
            <v>122625140006</v>
          </cell>
          <cell r="F6">
            <v>92</v>
          </cell>
          <cell r="G6">
            <v>93</v>
          </cell>
          <cell r="H6">
            <v>90</v>
          </cell>
          <cell r="I6">
            <v>94</v>
          </cell>
          <cell r="J6">
            <v>89</v>
          </cell>
          <cell r="K6">
            <v>96</v>
          </cell>
          <cell r="N6">
            <v>90</v>
          </cell>
        </row>
        <row r="7">
          <cell r="B7" t="str">
            <v>419658160041</v>
          </cell>
        </row>
        <row r="8">
          <cell r="B8" t="str">
            <v>104015140057</v>
          </cell>
        </row>
        <row r="9">
          <cell r="B9" t="str">
            <v>107023140026</v>
          </cell>
        </row>
        <row r="10">
          <cell r="B10" t="str">
            <v>110347140023</v>
          </cell>
        </row>
        <row r="11">
          <cell r="B11" t="str">
            <v>107031140010</v>
          </cell>
        </row>
        <row r="12">
          <cell r="B12" t="str">
            <v>107061140477</v>
          </cell>
        </row>
        <row r="13">
          <cell r="B13" t="str">
            <v>133624150052</v>
          </cell>
        </row>
        <row r="14">
          <cell r="B14" t="str">
            <v>107027140164</v>
          </cell>
        </row>
        <row r="15">
          <cell r="B15" t="str">
            <v>107185140032</v>
          </cell>
        </row>
        <row r="16">
          <cell r="B16" t="str">
            <v>107057130479</v>
          </cell>
        </row>
        <row r="17">
          <cell r="B17" t="str">
            <v>113420140126</v>
          </cell>
        </row>
        <row r="18">
          <cell r="B18" t="str">
            <v>107048150273</v>
          </cell>
        </row>
        <row r="19">
          <cell r="B19">
            <v>107032140054</v>
          </cell>
        </row>
        <row r="20">
          <cell r="B20" t="str">
            <v>122379140033</v>
          </cell>
        </row>
        <row r="21">
          <cell r="B21" t="str">
            <v>107041140509</v>
          </cell>
        </row>
        <row r="22">
          <cell r="B22" t="str">
            <v>159547140065</v>
          </cell>
        </row>
        <row r="23">
          <cell r="B23" t="str">
            <v>107022140163</v>
          </cell>
        </row>
        <row r="24">
          <cell r="B24" t="str">
            <v>105935140024</v>
          </cell>
          <cell r="F24">
            <v>74</v>
          </cell>
          <cell r="G24">
            <v>85</v>
          </cell>
          <cell r="H24">
            <v>80</v>
          </cell>
          <cell r="I24">
            <v>79</v>
          </cell>
          <cell r="J24">
            <v>75</v>
          </cell>
          <cell r="K24">
            <v>86</v>
          </cell>
          <cell r="N24">
            <v>84</v>
          </cell>
        </row>
        <row r="25">
          <cell r="B25" t="str">
            <v>106066150025</v>
          </cell>
        </row>
        <row r="26">
          <cell r="B26" t="str">
            <v>107032140061</v>
          </cell>
        </row>
        <row r="27">
          <cell r="B27">
            <v>106072140070</v>
          </cell>
        </row>
        <row r="28">
          <cell r="B28" t="str">
            <v>136634150917</v>
          </cell>
        </row>
        <row r="29">
          <cell r="B29" t="str">
            <v>107028140103</v>
          </cell>
        </row>
        <row r="30">
          <cell r="B30">
            <v>105205140016</v>
          </cell>
        </row>
        <row r="31">
          <cell r="B31" t="str">
            <v/>
          </cell>
        </row>
        <row r="32">
          <cell r="B32" t="str">
            <v/>
          </cell>
        </row>
        <row r="33">
          <cell r="B33" t="str">
            <v/>
          </cell>
        </row>
        <row r="34">
          <cell r="B34" t="str">
            <v/>
          </cell>
        </row>
        <row r="35">
          <cell r="B35" t="str">
            <v/>
          </cell>
        </row>
        <row r="36">
          <cell r="B36" t="str">
            <v/>
          </cell>
        </row>
        <row r="37">
          <cell r="B37" t="str">
            <v/>
          </cell>
        </row>
        <row r="38">
          <cell r="B38" t="str">
            <v/>
          </cell>
        </row>
        <row r="39">
          <cell r="B39" t="str">
            <v/>
          </cell>
        </row>
        <row r="40">
          <cell r="B40" t="str">
            <v/>
          </cell>
        </row>
        <row r="41">
          <cell r="B41" t="str">
            <v/>
          </cell>
        </row>
        <row r="42">
          <cell r="B42" t="str">
            <v/>
          </cell>
        </row>
        <row r="43">
          <cell r="B43" t="str">
            <v/>
          </cell>
        </row>
        <row r="44">
          <cell r="B44" t="str">
            <v/>
          </cell>
        </row>
        <row r="45">
          <cell r="B45" t="str">
            <v/>
          </cell>
        </row>
        <row r="46">
          <cell r="B46" t="str">
            <v/>
          </cell>
        </row>
        <row r="47">
          <cell r="B47" t="str">
            <v/>
          </cell>
        </row>
        <row r="48">
          <cell r="B48" t="str">
            <v/>
          </cell>
        </row>
        <row r="49">
          <cell r="B49" t="str">
            <v/>
          </cell>
        </row>
        <row r="50">
          <cell r="B50" t="str">
            <v/>
          </cell>
        </row>
        <row r="51">
          <cell r="B51" t="str">
            <v/>
          </cell>
        </row>
        <row r="52">
          <cell r="B52" t="str">
            <v/>
          </cell>
        </row>
        <row r="53">
          <cell r="B53" t="str">
            <v/>
          </cell>
        </row>
        <row r="54">
          <cell r="B54" t="str">
            <v/>
          </cell>
        </row>
        <row r="55">
          <cell r="B55" t="str">
            <v/>
          </cell>
        </row>
        <row r="56">
          <cell r="B56" t="str">
            <v/>
          </cell>
        </row>
        <row r="57">
          <cell r="B57" t="str">
            <v/>
          </cell>
        </row>
        <row r="58">
          <cell r="B58" t="str">
            <v/>
          </cell>
        </row>
        <row r="59">
          <cell r="B59" t="str">
            <v/>
          </cell>
        </row>
        <row r="60">
          <cell r="B60" t="str">
            <v/>
          </cell>
        </row>
        <row r="61">
          <cell r="B61" t="str">
            <v/>
          </cell>
        </row>
        <row r="62">
          <cell r="B62" t="str">
            <v/>
          </cell>
        </row>
        <row r="63">
          <cell r="B63" t="str">
            <v/>
          </cell>
        </row>
        <row r="64">
          <cell r="B64" t="str">
            <v/>
          </cell>
        </row>
        <row r="65">
          <cell r="B65" t="str">
            <v/>
          </cell>
        </row>
      </sheetData>
      <sheetData sheetId="7">
        <row r="4">
          <cell r="B4" t="str">
            <v>122625140006</v>
          </cell>
          <cell r="G4">
            <v>91</v>
          </cell>
          <cell r="I4">
            <v>0</v>
          </cell>
          <cell r="K4" t="str">
            <v>COMPLETE</v>
          </cell>
          <cell r="L4">
            <v>93</v>
          </cell>
          <cell r="M4">
            <v>92</v>
          </cell>
        </row>
        <row r="5">
          <cell r="B5" t="str">
            <v>419658160041</v>
          </cell>
          <cell r="G5" t="str">
            <v/>
          </cell>
          <cell r="I5" t="str">
            <v/>
          </cell>
          <cell r="K5" t="str">
            <v>INCOMPLETE</v>
          </cell>
          <cell r="L5" t="str">
            <v/>
          </cell>
          <cell r="M5" t="str">
            <v/>
          </cell>
        </row>
        <row r="6">
          <cell r="B6" t="str">
            <v>104015140057</v>
          </cell>
          <cell r="G6" t="str">
            <v/>
          </cell>
          <cell r="I6" t="str">
            <v/>
          </cell>
          <cell r="K6" t="str">
            <v>INCOMPLETE</v>
          </cell>
          <cell r="L6" t="str">
            <v/>
          </cell>
          <cell r="M6" t="str">
            <v/>
          </cell>
        </row>
        <row r="7">
          <cell r="B7" t="str">
            <v>107023140026</v>
          </cell>
          <cell r="G7" t="str">
            <v/>
          </cell>
          <cell r="I7" t="str">
            <v/>
          </cell>
          <cell r="K7" t="str">
            <v>INCOMPLETE</v>
          </cell>
          <cell r="L7" t="str">
            <v/>
          </cell>
          <cell r="M7" t="str">
            <v/>
          </cell>
        </row>
        <row r="8">
          <cell r="B8" t="str">
            <v>110347140023</v>
          </cell>
          <cell r="G8" t="str">
            <v/>
          </cell>
          <cell r="I8" t="str">
            <v/>
          </cell>
          <cell r="K8" t="str">
            <v>INCOMPLETE</v>
          </cell>
          <cell r="L8" t="str">
            <v/>
          </cell>
          <cell r="M8" t="str">
            <v/>
          </cell>
        </row>
        <row r="9">
          <cell r="B9" t="str">
            <v>107031140010</v>
          </cell>
          <cell r="G9" t="str">
            <v/>
          </cell>
          <cell r="I9" t="str">
            <v/>
          </cell>
          <cell r="K9" t="str">
            <v>INCOMPLETE</v>
          </cell>
          <cell r="L9" t="str">
            <v/>
          </cell>
          <cell r="M9" t="str">
            <v/>
          </cell>
        </row>
        <row r="10">
          <cell r="B10" t="str">
            <v>107061140477</v>
          </cell>
          <cell r="G10" t="str">
            <v/>
          </cell>
          <cell r="I10" t="str">
            <v/>
          </cell>
          <cell r="K10" t="str">
            <v>INCOMPLETE</v>
          </cell>
          <cell r="L10" t="str">
            <v/>
          </cell>
          <cell r="M10" t="str">
            <v/>
          </cell>
        </row>
        <row r="11">
          <cell r="B11" t="str">
            <v>133624150052</v>
          </cell>
          <cell r="G11" t="str">
            <v/>
          </cell>
          <cell r="I11" t="str">
            <v/>
          </cell>
          <cell r="K11" t="str">
            <v>INCOMPLETE</v>
          </cell>
          <cell r="L11" t="str">
            <v/>
          </cell>
          <cell r="M11" t="str">
            <v/>
          </cell>
        </row>
        <row r="12">
          <cell r="B12" t="str">
            <v>107027140164</v>
          </cell>
          <cell r="G12" t="str">
            <v/>
          </cell>
          <cell r="I12" t="str">
            <v/>
          </cell>
          <cell r="K12" t="str">
            <v>INCOMPLETE</v>
          </cell>
          <cell r="L12" t="str">
            <v/>
          </cell>
          <cell r="M12" t="str">
            <v/>
          </cell>
        </row>
        <row r="13">
          <cell r="B13" t="str">
            <v>107185140032</v>
          </cell>
          <cell r="G13" t="str">
            <v/>
          </cell>
          <cell r="I13" t="str">
            <v/>
          </cell>
          <cell r="K13" t="str">
            <v>INCOMPLETE</v>
          </cell>
          <cell r="L13" t="str">
            <v/>
          </cell>
          <cell r="M13" t="str">
            <v/>
          </cell>
        </row>
        <row r="14">
          <cell r="B14" t="str">
            <v>107057130479</v>
          </cell>
          <cell r="G14" t="str">
            <v/>
          </cell>
          <cell r="I14" t="str">
            <v/>
          </cell>
          <cell r="K14" t="str">
            <v>INCOMPLETE</v>
          </cell>
          <cell r="L14" t="str">
            <v/>
          </cell>
          <cell r="M14" t="str">
            <v/>
          </cell>
        </row>
        <row r="15">
          <cell r="B15" t="str">
            <v>113420140126</v>
          </cell>
          <cell r="G15" t="str">
            <v/>
          </cell>
          <cell r="I15" t="str">
            <v/>
          </cell>
          <cell r="K15" t="str">
            <v>INCOMPLETE</v>
          </cell>
          <cell r="L15" t="str">
            <v/>
          </cell>
          <cell r="M15" t="str">
            <v/>
          </cell>
        </row>
        <row r="16">
          <cell r="B16" t="str">
            <v>107048150273</v>
          </cell>
          <cell r="G16" t="str">
            <v/>
          </cell>
          <cell r="I16" t="str">
            <v/>
          </cell>
          <cell r="K16" t="str">
            <v>INCOMPLETE</v>
          </cell>
          <cell r="L16" t="str">
            <v/>
          </cell>
          <cell r="M16" t="str">
            <v/>
          </cell>
        </row>
        <row r="17">
          <cell r="B17">
            <v>107032140054</v>
          </cell>
          <cell r="G17" t="str">
            <v/>
          </cell>
          <cell r="I17" t="str">
            <v/>
          </cell>
          <cell r="K17" t="str">
            <v>INCOMPLETE</v>
          </cell>
          <cell r="L17" t="str">
            <v/>
          </cell>
          <cell r="M17" t="str">
            <v/>
          </cell>
        </row>
        <row r="18">
          <cell r="B18" t="str">
            <v>122379140033</v>
          </cell>
          <cell r="G18" t="str">
            <v/>
          </cell>
          <cell r="I18" t="str">
            <v/>
          </cell>
          <cell r="K18" t="str">
            <v>INCOMPLETE</v>
          </cell>
          <cell r="L18" t="str">
            <v/>
          </cell>
          <cell r="M18" t="str">
            <v/>
          </cell>
        </row>
        <row r="19">
          <cell r="B19" t="str">
            <v>107041140509</v>
          </cell>
          <cell r="G19" t="str">
            <v/>
          </cell>
          <cell r="I19" t="str">
            <v/>
          </cell>
          <cell r="K19" t="str">
            <v>INCOMPLETE</v>
          </cell>
          <cell r="L19" t="str">
            <v/>
          </cell>
          <cell r="M19" t="str">
            <v/>
          </cell>
        </row>
        <row r="20">
          <cell r="B20" t="str">
            <v>159547140065</v>
          </cell>
          <cell r="G20" t="str">
            <v/>
          </cell>
          <cell r="I20" t="str">
            <v/>
          </cell>
          <cell r="K20" t="str">
            <v>INCOMPLETE</v>
          </cell>
          <cell r="L20" t="str">
            <v/>
          </cell>
          <cell r="M20" t="str">
            <v/>
          </cell>
        </row>
        <row r="21">
          <cell r="B21" t="str">
            <v>107022140163</v>
          </cell>
          <cell r="G21" t="str">
            <v/>
          </cell>
          <cell r="I21" t="str">
            <v/>
          </cell>
          <cell r="K21" t="str">
            <v>INCOMPLETE</v>
          </cell>
          <cell r="L21" t="str">
            <v/>
          </cell>
          <cell r="M21" t="str">
            <v/>
          </cell>
        </row>
        <row r="22">
          <cell r="B22" t="str">
            <v>105935140024</v>
          </cell>
          <cell r="G22">
            <v>82</v>
          </cell>
          <cell r="I22">
            <v>0</v>
          </cell>
          <cell r="K22" t="str">
            <v>COMPLETE</v>
          </cell>
          <cell r="L22">
            <v>80</v>
          </cell>
          <cell r="M22">
            <v>82</v>
          </cell>
        </row>
        <row r="23">
          <cell r="B23" t="str">
            <v>106066150025</v>
          </cell>
          <cell r="G23" t="str">
            <v/>
          </cell>
          <cell r="I23" t="str">
            <v/>
          </cell>
          <cell r="K23" t="str">
            <v>INCOMPLETE</v>
          </cell>
          <cell r="L23" t="str">
            <v/>
          </cell>
          <cell r="M23" t="str">
            <v/>
          </cell>
        </row>
        <row r="24">
          <cell r="B24" t="str">
            <v>107032140061</v>
          </cell>
          <cell r="G24" t="str">
            <v/>
          </cell>
          <cell r="I24" t="str">
            <v/>
          </cell>
          <cell r="K24" t="str">
            <v>INCOMPLETE</v>
          </cell>
          <cell r="L24" t="str">
            <v/>
          </cell>
          <cell r="M24" t="str">
            <v/>
          </cell>
        </row>
        <row r="25">
          <cell r="B25">
            <v>106072140070</v>
          </cell>
          <cell r="G25" t="str">
            <v/>
          </cell>
          <cell r="I25" t="str">
            <v/>
          </cell>
          <cell r="K25" t="str">
            <v>INCOMPLETE</v>
          </cell>
          <cell r="L25" t="str">
            <v/>
          </cell>
          <cell r="M25" t="str">
            <v/>
          </cell>
        </row>
        <row r="26">
          <cell r="B26" t="str">
            <v>136634150917</v>
          </cell>
          <cell r="G26" t="str">
            <v/>
          </cell>
          <cell r="I26" t="str">
            <v/>
          </cell>
          <cell r="K26" t="str">
            <v>INCOMPLETE</v>
          </cell>
          <cell r="L26" t="str">
            <v/>
          </cell>
          <cell r="M26" t="str">
            <v/>
          </cell>
        </row>
        <row r="27">
          <cell r="B27" t="str">
            <v>107028140103</v>
          </cell>
          <cell r="G27" t="str">
            <v/>
          </cell>
          <cell r="I27" t="str">
            <v/>
          </cell>
          <cell r="K27" t="str">
            <v>INCOMPLETE</v>
          </cell>
          <cell r="L27" t="str">
            <v/>
          </cell>
          <cell r="M27" t="str">
            <v/>
          </cell>
        </row>
        <row r="28">
          <cell r="B28">
            <v>105205140016</v>
          </cell>
          <cell r="G28" t="str">
            <v/>
          </cell>
          <cell r="I28" t="str">
            <v/>
          </cell>
          <cell r="K28" t="str">
            <v>INCOMPLETE</v>
          </cell>
          <cell r="L28" t="str">
            <v/>
          </cell>
          <cell r="M28" t="str">
            <v/>
          </cell>
        </row>
        <row r="29">
          <cell r="B29" t="str">
            <v/>
          </cell>
          <cell r="G29" t="str">
            <v/>
          </cell>
          <cell r="I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B30" t="str">
            <v/>
          </cell>
          <cell r="G30" t="str">
            <v/>
          </cell>
          <cell r="I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B31" t="str">
            <v/>
          </cell>
          <cell r="G31" t="str">
            <v/>
          </cell>
          <cell r="I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B32" t="str">
            <v/>
          </cell>
          <cell r="G32" t="str">
            <v/>
          </cell>
          <cell r="I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B33" t="str">
            <v/>
          </cell>
          <cell r="G33" t="str">
            <v/>
          </cell>
          <cell r="I33" t="str">
            <v/>
          </cell>
          <cell r="K33" t="str">
            <v/>
          </cell>
          <cell r="L33" t="str">
            <v/>
          </cell>
          <cell r="M33" t="str">
            <v/>
          </cell>
        </row>
        <row r="34">
          <cell r="B34" t="str">
            <v/>
          </cell>
          <cell r="G34" t="str">
            <v/>
          </cell>
          <cell r="I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B35" t="str">
            <v/>
          </cell>
          <cell r="G35" t="str">
            <v/>
          </cell>
          <cell r="I35" t="str">
            <v/>
          </cell>
          <cell r="K35" t="str">
            <v/>
          </cell>
          <cell r="L35" t="str">
            <v/>
          </cell>
          <cell r="M35" t="str">
            <v/>
          </cell>
        </row>
        <row r="36">
          <cell r="B36" t="str">
            <v/>
          </cell>
          <cell r="G36" t="str">
            <v/>
          </cell>
          <cell r="I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7">
          <cell r="B37" t="str">
            <v/>
          </cell>
          <cell r="G37" t="str">
            <v/>
          </cell>
          <cell r="I37" t="str">
            <v/>
          </cell>
          <cell r="K37" t="str">
            <v/>
          </cell>
          <cell r="L37" t="str">
            <v/>
          </cell>
          <cell r="M37" t="str">
            <v/>
          </cell>
        </row>
        <row r="38">
          <cell r="B38" t="str">
            <v/>
          </cell>
          <cell r="G38" t="str">
            <v/>
          </cell>
          <cell r="I38" t="str">
            <v/>
          </cell>
          <cell r="K38" t="str">
            <v/>
          </cell>
          <cell r="L38" t="str">
            <v/>
          </cell>
          <cell r="M38" t="str">
            <v/>
          </cell>
        </row>
        <row r="39">
          <cell r="B39" t="str">
            <v/>
          </cell>
          <cell r="G39" t="str">
            <v/>
          </cell>
          <cell r="I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B40" t="str">
            <v/>
          </cell>
          <cell r="G40" t="str">
            <v/>
          </cell>
          <cell r="I40" t="str">
            <v/>
          </cell>
          <cell r="K40" t="str">
            <v/>
          </cell>
          <cell r="L40" t="str">
            <v/>
          </cell>
          <cell r="M40" t="str">
            <v/>
          </cell>
        </row>
        <row r="41">
          <cell r="B41" t="str">
            <v/>
          </cell>
          <cell r="G41" t="str">
            <v/>
          </cell>
          <cell r="I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B42" t="str">
            <v/>
          </cell>
          <cell r="G42" t="str">
            <v/>
          </cell>
          <cell r="I42" t="str">
            <v/>
          </cell>
          <cell r="K42" t="str">
            <v/>
          </cell>
          <cell r="L42" t="str">
            <v/>
          </cell>
          <cell r="M42" t="str">
            <v/>
          </cell>
        </row>
        <row r="43">
          <cell r="B43" t="str">
            <v/>
          </cell>
          <cell r="G43" t="str">
            <v/>
          </cell>
          <cell r="I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4">
          <cell r="B44" t="str">
            <v/>
          </cell>
          <cell r="G44" t="str">
            <v/>
          </cell>
          <cell r="I44" t="str">
            <v/>
          </cell>
          <cell r="K44" t="str">
            <v/>
          </cell>
          <cell r="L44" t="str">
            <v/>
          </cell>
          <cell r="M44" t="str">
            <v/>
          </cell>
        </row>
        <row r="45">
          <cell r="B45" t="str">
            <v/>
          </cell>
          <cell r="G45" t="str">
            <v/>
          </cell>
          <cell r="I45" t="str">
            <v/>
          </cell>
          <cell r="K45" t="str">
            <v/>
          </cell>
          <cell r="L45" t="str">
            <v/>
          </cell>
          <cell r="M45" t="str">
            <v/>
          </cell>
        </row>
        <row r="46">
          <cell r="B46" t="str">
            <v/>
          </cell>
          <cell r="G46" t="str">
            <v/>
          </cell>
          <cell r="I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B47" t="str">
            <v/>
          </cell>
          <cell r="G47" t="str">
            <v/>
          </cell>
          <cell r="I47" t="str">
            <v/>
          </cell>
          <cell r="K47" t="str">
            <v/>
          </cell>
          <cell r="L47" t="str">
            <v/>
          </cell>
          <cell r="M47" t="str">
            <v/>
          </cell>
        </row>
        <row r="48">
          <cell r="B48" t="str">
            <v/>
          </cell>
          <cell r="G48" t="str">
            <v/>
          </cell>
          <cell r="I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B49" t="str">
            <v/>
          </cell>
          <cell r="G49" t="str">
            <v/>
          </cell>
          <cell r="I49" t="str">
            <v/>
          </cell>
          <cell r="K49" t="str">
            <v/>
          </cell>
          <cell r="L49" t="str">
            <v/>
          </cell>
          <cell r="M49" t="str">
            <v/>
          </cell>
        </row>
        <row r="50">
          <cell r="B50" t="str">
            <v/>
          </cell>
          <cell r="G50" t="str">
            <v/>
          </cell>
          <cell r="I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1">
          <cell r="B51" t="str">
            <v/>
          </cell>
          <cell r="G51" t="str">
            <v/>
          </cell>
          <cell r="I51" t="str">
            <v/>
          </cell>
          <cell r="K51" t="str">
            <v/>
          </cell>
          <cell r="L51" t="str">
            <v/>
          </cell>
          <cell r="M51" t="str">
            <v/>
          </cell>
        </row>
        <row r="52">
          <cell r="B52" t="str">
            <v/>
          </cell>
          <cell r="G52" t="str">
            <v/>
          </cell>
          <cell r="I52" t="str">
            <v/>
          </cell>
          <cell r="K52" t="str">
            <v/>
          </cell>
          <cell r="L52" t="str">
            <v/>
          </cell>
          <cell r="M52" t="str">
            <v/>
          </cell>
        </row>
        <row r="53">
          <cell r="B53" t="str">
            <v/>
          </cell>
          <cell r="G53" t="str">
            <v/>
          </cell>
          <cell r="I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B54" t="str">
            <v/>
          </cell>
          <cell r="G54" t="str">
            <v/>
          </cell>
          <cell r="I54" t="str">
            <v/>
          </cell>
          <cell r="K54" t="str">
            <v/>
          </cell>
          <cell r="L54" t="str">
            <v/>
          </cell>
          <cell r="M54" t="str">
            <v/>
          </cell>
        </row>
        <row r="55">
          <cell r="B55" t="str">
            <v/>
          </cell>
          <cell r="G55" t="str">
            <v/>
          </cell>
          <cell r="I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B56" t="str">
            <v/>
          </cell>
          <cell r="G56" t="str">
            <v/>
          </cell>
          <cell r="I56" t="str">
            <v/>
          </cell>
          <cell r="K56" t="str">
            <v/>
          </cell>
          <cell r="L56" t="str">
            <v/>
          </cell>
          <cell r="M56" t="str">
            <v/>
          </cell>
        </row>
        <row r="57">
          <cell r="B57" t="str">
            <v/>
          </cell>
          <cell r="G57" t="str">
            <v/>
          </cell>
          <cell r="I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8">
          <cell r="B58" t="str">
            <v/>
          </cell>
          <cell r="G58" t="str">
            <v/>
          </cell>
          <cell r="I58" t="str">
            <v/>
          </cell>
          <cell r="K58" t="str">
            <v/>
          </cell>
          <cell r="L58" t="str">
            <v/>
          </cell>
          <cell r="M58" t="str">
            <v/>
          </cell>
        </row>
        <row r="59">
          <cell r="B59" t="str">
            <v/>
          </cell>
          <cell r="G59" t="str">
            <v/>
          </cell>
          <cell r="I59" t="str">
            <v/>
          </cell>
          <cell r="K59" t="str">
            <v/>
          </cell>
          <cell r="L59" t="str">
            <v/>
          </cell>
          <cell r="M59" t="str">
            <v/>
          </cell>
        </row>
        <row r="60">
          <cell r="B60" t="str">
            <v/>
          </cell>
          <cell r="G60" t="str">
            <v/>
          </cell>
          <cell r="I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B61" t="str">
            <v/>
          </cell>
          <cell r="G61" t="str">
            <v/>
          </cell>
          <cell r="I61" t="str">
            <v/>
          </cell>
          <cell r="K61" t="str">
            <v/>
          </cell>
          <cell r="L61" t="str">
            <v/>
          </cell>
          <cell r="M61" t="str">
            <v/>
          </cell>
        </row>
        <row r="62">
          <cell r="B62" t="str">
            <v/>
          </cell>
          <cell r="G62" t="str">
            <v/>
          </cell>
          <cell r="I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B63" t="str">
            <v/>
          </cell>
          <cell r="G63" t="str">
            <v/>
          </cell>
          <cell r="I63" t="str">
            <v/>
          </cell>
          <cell r="K63" t="str">
            <v/>
          </cell>
          <cell r="L63" t="str">
            <v/>
          </cell>
          <cell r="M63" t="str">
            <v/>
          </cell>
        </row>
      </sheetData>
      <sheetData sheetId="8">
        <row r="4">
          <cell r="B4" t="str">
            <v>122625140006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B5" t="str">
            <v>419658160041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B6" t="str">
            <v>104015140057</v>
          </cell>
          <cell r="D6">
            <v>2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107023140026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110347140023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B9" t="str">
            <v>107031140010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B10" t="str">
            <v>107061140477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B11" t="str">
            <v>133624150052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B12" t="str">
            <v>107027140164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B13" t="str">
            <v>107185140032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B14" t="str">
            <v>107057130479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B15" t="str">
            <v>113420140126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B16" t="str">
            <v>107048150273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B17">
            <v>107032140054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B18" t="str">
            <v>122379140033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B19" t="str">
            <v>107041140509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B20" t="str">
            <v>159547140065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B21" t="str">
            <v>107022140163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B22" t="str">
            <v>105935140024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B23" t="str">
            <v>106066150025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B24" t="str">
            <v>107032140061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106072140070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B26" t="str">
            <v>136634150917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 t="str">
            <v>107028140103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B28">
            <v>105205140016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B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</row>
        <row r="30">
          <cell r="B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B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B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3">
          <cell r="B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</row>
        <row r="34">
          <cell r="B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B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B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7">
          <cell r="B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</row>
        <row r="38">
          <cell r="B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B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B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1">
          <cell r="B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</row>
        <row r="42">
          <cell r="B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B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B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5">
          <cell r="B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</row>
        <row r="46">
          <cell r="B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</row>
        <row r="47">
          <cell r="B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</row>
        <row r="48">
          <cell r="B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</row>
        <row r="49">
          <cell r="B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</row>
        <row r="50">
          <cell r="B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</row>
        <row r="51">
          <cell r="B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</row>
        <row r="52">
          <cell r="B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</row>
        <row r="53">
          <cell r="B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</row>
        <row r="54">
          <cell r="B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</row>
        <row r="55">
          <cell r="B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</row>
        <row r="56">
          <cell r="B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</row>
        <row r="57">
          <cell r="B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</row>
        <row r="58">
          <cell r="B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</row>
        <row r="59">
          <cell r="B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</row>
        <row r="60">
          <cell r="B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</row>
        <row r="61">
          <cell r="B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</row>
        <row r="62">
          <cell r="B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</row>
        <row r="63">
          <cell r="B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</row>
      </sheetData>
      <sheetData sheetId="9">
        <row r="4">
          <cell r="B4" t="str">
            <v>122625140006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E363-B56A-43B7-A26B-FEF0251DFE14}">
  <sheetPr>
    <tabColor rgb="FF0070C0"/>
  </sheetPr>
  <dimension ref="A1:AA42"/>
  <sheetViews>
    <sheetView showGridLines="0" tabSelected="1" workbookViewId="0">
      <selection activeCell="AD22" sqref="AD22"/>
    </sheetView>
  </sheetViews>
  <sheetFormatPr defaultRowHeight="13.8"/>
  <cols>
    <col min="1" max="1" width="4.796875" customWidth="1"/>
    <col min="2" max="3" width="4.19921875" customWidth="1"/>
    <col min="4" max="4" width="5" customWidth="1"/>
    <col min="5" max="5" width="7.09765625" customWidth="1"/>
    <col min="6" max="6" width="4.3984375" customWidth="1"/>
    <col min="7" max="7" width="7.09765625" customWidth="1"/>
    <col min="8" max="10" width="4.19921875" customWidth="1"/>
    <col min="11" max="11" width="5.296875" customWidth="1"/>
    <col min="12" max="12" width="5.5" customWidth="1"/>
    <col min="13" max="13" width="6.5" customWidth="1"/>
    <col min="14" max="14" width="15.19921875" customWidth="1"/>
    <col min="15" max="15" width="10.19921875" customWidth="1"/>
    <col min="16" max="26" width="4.3984375" customWidth="1"/>
    <col min="27" max="27" width="8.19921875" customWidth="1"/>
  </cols>
  <sheetData>
    <row r="1" spans="1:27" ht="16.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7" ht="15" customHeight="1">
      <c r="A2" s="2" t="s">
        <v>0</v>
      </c>
      <c r="B2" s="2"/>
      <c r="C2" s="2" t="s">
        <v>0</v>
      </c>
      <c r="D2" s="2" t="s">
        <v>0</v>
      </c>
      <c r="E2" s="2"/>
      <c r="F2" s="2"/>
      <c r="G2" s="2"/>
      <c r="H2" s="2"/>
      <c r="I2" s="2"/>
      <c r="J2" s="2"/>
      <c r="K2" s="2"/>
      <c r="L2" s="2"/>
      <c r="M2" s="2"/>
      <c r="O2" s="3" t="s">
        <v>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2" t="s">
        <v>2</v>
      </c>
      <c r="B3" s="2"/>
      <c r="C3" s="2" t="s">
        <v>2</v>
      </c>
      <c r="D3" s="2" t="s">
        <v>2</v>
      </c>
      <c r="E3" s="2"/>
      <c r="F3" s="2"/>
      <c r="G3" s="2"/>
      <c r="H3" s="2"/>
      <c r="I3" s="2"/>
      <c r="J3" s="2"/>
      <c r="K3" s="2"/>
      <c r="L3" s="2"/>
      <c r="M3" s="2"/>
      <c r="O3" s="4" t="s">
        <v>3</v>
      </c>
      <c r="P3" s="4" t="str">
        <f>[1]SETUP!J$2</f>
        <v>Jun</v>
      </c>
      <c r="Q3" s="5" t="str">
        <f>[1]SETUP!K$2</f>
        <v>Jul</v>
      </c>
      <c r="R3" s="5" t="str">
        <f>[1]SETUP!L$2</f>
        <v>Aug</v>
      </c>
      <c r="S3" s="5" t="str">
        <f>[1]SETUP!M$2</f>
        <v>Sep</v>
      </c>
      <c r="T3" s="5" t="str">
        <f>[1]SETUP!N$2</f>
        <v>Oct</v>
      </c>
      <c r="U3" s="5" t="str">
        <f>[1]SETUP!O$2</f>
        <v>Nov</v>
      </c>
      <c r="V3" s="5" t="str">
        <f>[1]SETUP!P$2</f>
        <v>Dec</v>
      </c>
      <c r="W3" s="5" t="str">
        <f>[1]SETUP!Q$2</f>
        <v>Jan</v>
      </c>
      <c r="X3" s="5" t="str">
        <f>[1]SETUP!R$2</f>
        <v>Feb</v>
      </c>
      <c r="Y3" s="5" t="str">
        <f>[1]SETUP!S$2</f>
        <v>Mar</v>
      </c>
      <c r="Z3" s="5" t="str">
        <f>[1]SETUP!T$2</f>
        <v>Apr</v>
      </c>
      <c r="AA3" s="4" t="s">
        <v>4</v>
      </c>
    </row>
    <row r="4" spans="1:27" ht="15" customHeight="1">
      <c r="A4" s="2" t="s">
        <v>5</v>
      </c>
      <c r="B4" s="2"/>
      <c r="C4" s="2" t="s">
        <v>5</v>
      </c>
      <c r="D4" s="2" t="s">
        <v>6</v>
      </c>
      <c r="E4" s="2"/>
      <c r="F4" s="2"/>
      <c r="G4" s="2"/>
      <c r="H4" s="2"/>
      <c r="I4" s="2"/>
      <c r="J4" s="2"/>
      <c r="K4" s="2"/>
      <c r="L4" s="2"/>
      <c r="M4" s="2"/>
      <c r="O4" s="6" t="s">
        <v>7</v>
      </c>
      <c r="P4" s="6">
        <f>[1]SETUP!J$3</f>
        <v>16</v>
      </c>
      <c r="Q4" s="5">
        <f>[1]SETUP!K$3</f>
        <v>23</v>
      </c>
      <c r="R4" s="5">
        <f>[1]SETUP!L$3</f>
        <v>19</v>
      </c>
      <c r="S4" s="5">
        <f>[1]SETUP!M$3</f>
        <v>22</v>
      </c>
      <c r="T4" s="5">
        <f>[1]SETUP!N$3</f>
        <v>22</v>
      </c>
      <c r="U4" s="5">
        <f>[1]SETUP!O$3</f>
        <v>19</v>
      </c>
      <c r="V4" s="5">
        <f>[1]SETUP!P$3</f>
        <v>13</v>
      </c>
      <c r="W4" s="5">
        <f>[1]SETUP!Q$3</f>
        <v>20</v>
      </c>
      <c r="X4" s="5">
        <f>[1]SETUP!R$3</f>
        <v>20</v>
      </c>
      <c r="Y4" s="5">
        <f>[1]SETUP!S$3</f>
        <v>21</v>
      </c>
      <c r="Z4" s="5">
        <f>[1]SETUP!T$3</f>
        <v>6</v>
      </c>
      <c r="AA4" s="5">
        <f>SUM(P4:Z4)</f>
        <v>201</v>
      </c>
    </row>
    <row r="5" spans="1:27" ht="15" customHeight="1">
      <c r="A5" s="7" t="s">
        <v>8</v>
      </c>
      <c r="B5" s="7"/>
      <c r="C5" s="7" t="s">
        <v>8</v>
      </c>
      <c r="D5" s="7" t="s">
        <v>8</v>
      </c>
      <c r="E5" s="7"/>
      <c r="F5" s="7"/>
      <c r="G5" s="7"/>
      <c r="H5" s="7"/>
      <c r="I5" s="7"/>
      <c r="J5" s="7"/>
      <c r="K5" s="7"/>
      <c r="L5" s="7"/>
      <c r="M5" s="7"/>
      <c r="O5" s="6" t="s">
        <v>9</v>
      </c>
      <c r="P5" s="6">
        <f>IF(OR(P4="",P6=""),"",P4-P6)</f>
        <v>16</v>
      </c>
      <c r="Q5" s="5">
        <f t="shared" ref="Q5:Z5" si="0">IF(OR(Q4="",Q6=""),"",Q4-Q6)</f>
        <v>23</v>
      </c>
      <c r="R5" s="5">
        <f t="shared" si="0"/>
        <v>19</v>
      </c>
      <c r="S5" s="5">
        <f t="shared" si="0"/>
        <v>22</v>
      </c>
      <c r="T5" s="5">
        <f t="shared" si="0"/>
        <v>22</v>
      </c>
      <c r="U5" s="5">
        <f t="shared" si="0"/>
        <v>19</v>
      </c>
      <c r="V5" s="5">
        <f t="shared" si="0"/>
        <v>13</v>
      </c>
      <c r="W5" s="5">
        <f t="shared" si="0"/>
        <v>20</v>
      </c>
      <c r="X5" s="5">
        <f t="shared" si="0"/>
        <v>20</v>
      </c>
      <c r="Y5" s="5">
        <f t="shared" si="0"/>
        <v>21</v>
      </c>
      <c r="Z5" s="5">
        <f t="shared" si="0"/>
        <v>6</v>
      </c>
      <c r="AA5" s="5">
        <f>IF(COUNT(P5:Z5)=0,"",SUM(P5:Z5))</f>
        <v>201</v>
      </c>
    </row>
    <row r="6" spans="1:27" ht="15" customHeight="1">
      <c r="A6" s="8" t="s">
        <v>10</v>
      </c>
      <c r="B6" s="8"/>
      <c r="C6" s="9" t="s">
        <v>10</v>
      </c>
      <c r="D6" s="9" t="s">
        <v>8</v>
      </c>
      <c r="E6" s="9"/>
      <c r="F6" s="9"/>
      <c r="G6" s="9"/>
      <c r="H6" s="9"/>
      <c r="I6" s="9"/>
      <c r="J6" s="9"/>
      <c r="K6" s="9"/>
      <c r="L6" s="8"/>
      <c r="M6" s="8"/>
      <c r="O6" s="6" t="s">
        <v>11</v>
      </c>
      <c r="P6" s="6">
        <f>IFERROR(IF(ISBLANK(INDEX([1]ATTENDANCE!$D$4:$D$63,MATCH('[1]PRINT CONTROL'!$B$4,[1]ATTENDANCE!$B$4:$B$63,0))),"",INDEX([1]ATTENDANCE!$D$4:$D$63,MATCH('[1]PRINT CONTROL'!$B$4,[1]ATTENDANCE!$B$4:$B$63,0))),"")</f>
        <v>0</v>
      </c>
      <c r="Q6" s="5">
        <f>IFERROR(IF(ISBLANK(INDEX([1]ATTENDANCE!$E$4:$E$63,MATCH('[1]PRINT CONTROL'!$B$4,[1]ATTENDANCE!$B$4:$B$63,0))),"",INDEX([1]ATTENDANCE!$E$4:$E$63,MATCH('[1]PRINT CONTROL'!$B$4,[1]ATTENDANCE!$B$4:$B$63,0))),"")</f>
        <v>0</v>
      </c>
      <c r="R6" s="5">
        <f>IFERROR(IF(ISBLANK(INDEX([1]ATTENDANCE!$F$4:$F$63,MATCH('[1]PRINT CONTROL'!$B$4,[1]ATTENDANCE!$B$4:$B$63,0))),"",INDEX([1]ATTENDANCE!$F$4:$F$63,MATCH('[1]PRINT CONTROL'!$B$4,[1]ATTENDANCE!$B$4:$B$63,0))),"")</f>
        <v>0</v>
      </c>
      <c r="S6" s="5">
        <f>IFERROR(IF(ISBLANK(INDEX([1]ATTENDANCE!$G$4:$G$63,MATCH('[1]PRINT CONTROL'!$B$4,[1]ATTENDANCE!$B$4:$B$63,0))),"",INDEX([1]ATTENDANCE!$G$4:$G$63,MATCH('[1]PRINT CONTROL'!$B$4,[1]ATTENDANCE!$B$4:$B$63,0))),"")</f>
        <v>0</v>
      </c>
      <c r="T6" s="5">
        <f>IFERROR(IF(ISBLANK(INDEX([1]ATTENDANCE!$H$4:$H$63,MATCH('[1]PRINT CONTROL'!$B$4,[1]ATTENDANCE!$B$4:$B$63,0))),"",INDEX([1]ATTENDANCE!$H$4:$H$63,MATCH('[1]PRINT CONTROL'!$B$4,[1]ATTENDANCE!$B$4:$B$63,0))),"")</f>
        <v>0</v>
      </c>
      <c r="U6" s="5">
        <f>IFERROR(IF(ISBLANK(INDEX([1]ATTENDANCE!$I$4:$I$63,MATCH('[1]PRINT CONTROL'!$B$4,[1]ATTENDANCE!$B$4:$B$63,0))),"",INDEX([1]ATTENDANCE!$I$4:$I$63,MATCH('[1]PRINT CONTROL'!$B$4,[1]ATTENDANCE!$B$4:$B$63,0))),"")</f>
        <v>0</v>
      </c>
      <c r="V6" s="5">
        <f>IFERROR(IF(ISBLANK(INDEX([1]ATTENDANCE!$J$4:$J$63,MATCH('[1]PRINT CONTROL'!$B$4,[1]ATTENDANCE!$B$4:$B$63,0))),"",INDEX([1]ATTENDANCE!$J$4:$J$63,MATCH('[1]PRINT CONTROL'!$B$4,[1]ATTENDANCE!$B$4:$B$63,0))),"")</f>
        <v>0</v>
      </c>
      <c r="W6" s="5">
        <f>IFERROR(IF(ISBLANK(INDEX([1]ATTENDANCE!$K$4:$K$63,MATCH('[1]PRINT CONTROL'!$B$4,[1]ATTENDANCE!$B$4:$B$63,0))),"",INDEX([1]ATTENDANCE!$K$4:$K$63,MATCH('[1]PRINT CONTROL'!$B$4,[1]ATTENDANCE!$B$4:$B$63,0))),"")</f>
        <v>0</v>
      </c>
      <c r="X6" s="5">
        <f>IFERROR(IF(ISBLANK(INDEX([1]ATTENDANCE!$L$4:$L$63,MATCH('[1]PRINT CONTROL'!$B$4,[1]ATTENDANCE!$B$4:$B$63,0))),"",INDEX([1]ATTENDANCE!$L$4:$L$63,MATCH('[1]PRINT CONTROL'!$B$4,[1]ATTENDANCE!$B$4:$B$63,0))),"")</f>
        <v>0</v>
      </c>
      <c r="Y6" s="5">
        <f>IFERROR(IF(ISBLANK(INDEX([1]ATTENDANCE!$M$4:$M$63,MATCH('[1]PRINT CONTROL'!$B$4,[1]ATTENDANCE!$B$4:$B$63,0))),"",INDEX([1]ATTENDANCE!$M$4:$M$63,MATCH('[1]PRINT CONTROL'!$B$4,[1]ATTENDANCE!$B$4:$B$63,0))),"")</f>
        <v>0</v>
      </c>
      <c r="Z6" s="5">
        <f>IFERROR(IF(ISBLANK(INDEX([1]ATTENDANCE!$N$4:$N$63,MATCH('[1]PRINT CONTROL'!$B$4,[1]ATTENDANCE!$B$4:$B$63,0))),"",INDEX([1]ATTENDANCE!$N$4:$N$63,MATCH('[1]PRINT CONTROL'!$B$4,[1]ATTENDANCE!$B$4:$B$63,0))),"")</f>
        <v>0</v>
      </c>
      <c r="AA6" s="5">
        <f>IF(COUNT(P6:Z6)=0,"",SUM(P6:Z6))</f>
        <v>0</v>
      </c>
    </row>
    <row r="7" spans="1:27" ht="21.6" customHeight="1">
      <c r="A7" s="10" t="s">
        <v>12</v>
      </c>
      <c r="B7" s="10"/>
      <c r="C7" s="11" t="s">
        <v>12</v>
      </c>
      <c r="D7" s="11" t="s">
        <v>12</v>
      </c>
      <c r="E7" s="11"/>
      <c r="F7" s="11"/>
      <c r="G7" s="11"/>
      <c r="H7" s="11"/>
      <c r="I7" s="11"/>
      <c r="J7" s="11"/>
      <c r="K7" s="11"/>
      <c r="L7" s="10"/>
      <c r="M7" s="10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27.6" customHeight="1">
      <c r="A8" s="13" t="s">
        <v>13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O8" s="3" t="s">
        <v>14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0.399999999999999" customHeight="1">
      <c r="A9" s="14"/>
      <c r="B9" s="14"/>
      <c r="C9" s="14"/>
      <c r="D9" s="14"/>
      <c r="E9" s="14"/>
      <c r="F9" s="15" t="s">
        <v>15</v>
      </c>
      <c r="G9" s="15"/>
      <c r="H9" s="15" t="str">
        <f>[1]SETUP!$B$4</f>
        <v>2026-2027</v>
      </c>
      <c r="I9" s="15"/>
      <c r="J9" s="14"/>
      <c r="K9" s="14"/>
      <c r="L9" s="14"/>
      <c r="M9" s="14"/>
      <c r="O9" s="16" t="s">
        <v>16</v>
      </c>
      <c r="P9" s="16"/>
      <c r="Q9" s="16"/>
      <c r="R9" s="17" t="str">
        <f>IFERROR(IF(ISBLANK(INDEX([1]LEARNERS!$M$4:$M$63,MATCH('[1]PRINT CONTROL'!$B$4,[1]LEARNERS!$B$4:$B$63,0))),"",INDEX([1]LEARNERS!$M$4:$M$63,MATCH('[1]PRINT CONTROL'!$B$4,[1]LEARNERS!$B$4:$B$63,0))),"")</f>
        <v/>
      </c>
      <c r="S9" s="17"/>
      <c r="T9" s="17"/>
      <c r="U9" s="17"/>
      <c r="V9" s="17"/>
      <c r="W9" s="17"/>
      <c r="X9" s="17"/>
      <c r="Y9" s="17"/>
      <c r="Z9" s="17"/>
      <c r="AA9" s="17"/>
    </row>
    <row r="10" spans="1:27" ht="17.399999999999999" customHeight="1">
      <c r="A10" s="18" t="s">
        <v>17</v>
      </c>
      <c r="B10" s="19" t="str">
        <f>IFERROR(INDEX([1]LEARNERS!$F$4:$F$63,MATCH('[1]PRINT CONTROL'!$B$4,[1]LEARNERS!$B$4:$B$63,0)),"")</f>
        <v>ACAYAN, ELIJAH DITALO</v>
      </c>
      <c r="C10" s="19"/>
      <c r="D10" s="19"/>
      <c r="E10" s="19"/>
      <c r="F10" s="19"/>
      <c r="G10" s="19"/>
      <c r="H10" s="18" t="s">
        <v>18</v>
      </c>
      <c r="I10" s="19">
        <f ca="1">IFERROR(INDEX([1]LEARNERS!$I$4:$I$63,MATCH('[1]PRINT CONTROL'!$B$4,[1]LEARNERS!$B$4:$B$63,0)),"")</f>
        <v>17</v>
      </c>
      <c r="J10" s="19"/>
      <c r="K10" s="18" t="s">
        <v>19</v>
      </c>
      <c r="L10" s="19" t="str">
        <f>IFERROR(INDEX([1]LEARNERS!$G$4:$G$63,MATCH('[1]PRINT CONTROL'!$B$4,[1]LEARNERS!$B$4:$B$63,0)),"")</f>
        <v>Male</v>
      </c>
      <c r="M10" s="19"/>
      <c r="O10" s="16"/>
      <c r="P10" s="16"/>
      <c r="Q10" s="16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15" customHeight="1">
      <c r="A11" s="18" t="s">
        <v>20</v>
      </c>
      <c r="B11" s="20" t="str">
        <f>IF('[1]PRINT CONTROL'!$B$4="","",TEXT('[1]PRINT CONTROL'!$B$4,"0"))</f>
        <v>122625140006</v>
      </c>
      <c r="C11" s="20"/>
      <c r="D11" s="20"/>
      <c r="E11" s="20"/>
      <c r="F11" s="20"/>
      <c r="G11" s="20"/>
      <c r="H11" s="18" t="s">
        <v>21</v>
      </c>
      <c r="I11" s="21">
        <f>[1]SETUP!$B$13</f>
        <v>11</v>
      </c>
      <c r="J11" s="21"/>
      <c r="K11" s="18" t="s">
        <v>22</v>
      </c>
      <c r="L11" s="21" t="str">
        <f>IF([1]SETUP!$B$14="","",[1]SETUP!$B$14)</f>
        <v>Tesla</v>
      </c>
      <c r="M11" s="21"/>
      <c r="O11" s="16"/>
      <c r="P11" s="16"/>
      <c r="Q11" s="16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15" customHeight="1">
      <c r="A12" s="18" t="s">
        <v>23</v>
      </c>
      <c r="B12" s="22" t="str">
        <f>[1]SETUP!$B$15&amp;IF([1]SETUP!$B$16="",""," / "&amp;[1]SETUP!$B$16)</f>
        <v>Academic / Arts, Social Sciences, and Humanities</v>
      </c>
      <c r="C12" s="22"/>
      <c r="D12" s="22"/>
      <c r="E12" s="22"/>
      <c r="F12" s="22"/>
      <c r="G12" s="22"/>
      <c r="H12" s="22"/>
      <c r="I12" s="22"/>
      <c r="J12" s="22"/>
      <c r="K12" s="18"/>
      <c r="L12" s="18"/>
      <c r="M12" s="18"/>
      <c r="O12" s="16" t="s">
        <v>24</v>
      </c>
      <c r="P12" s="16"/>
      <c r="Q12" s="16"/>
      <c r="R12" s="17" t="str">
        <f>IFERROR(IF(ISBLANK(INDEX([1]LEARNERS!$N$4:$N$63,MATCH('[1]PRINT CONTROL'!$B$4,[1]LEARNERS!$B$4:$B$63,0))),"",INDEX([1]LEARNERS!$N$4:$N$63,MATCH('[1]PRINT CONTROL'!$B$4,[1]LEARNERS!$B$4:$B$63,0))),"")</f>
        <v/>
      </c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21" customHeight="1">
      <c r="A13" s="18" t="s">
        <v>25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O13" s="16"/>
      <c r="P13" s="16"/>
      <c r="Q13" s="16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18.600000000000001" customHeight="1">
      <c r="A14" s="23" t="s">
        <v>26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O14" s="16"/>
      <c r="P14" s="16"/>
      <c r="Q14" s="16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19.8" customHeight="1">
      <c r="A15" s="24" t="s">
        <v>27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O15" s="16" t="s">
        <v>28</v>
      </c>
      <c r="P15" s="16"/>
      <c r="Q15" s="16"/>
      <c r="R15" s="17" t="str">
        <f>IFERROR(IF(ISBLANK(INDEX([1]LEARNERS!$O$4:$O$63,MATCH('[1]PRINT CONTROL'!$B$4,[1]LEARNERS!$B$4:$B$63,0))),"",INDEX([1]LEARNERS!$O$4:$O$63,MATCH('[1]PRINT CONTROL'!$B$4,[1]LEARNERS!$B$4:$B$63,0))),"")</f>
        <v/>
      </c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3.8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O16" s="16"/>
      <c r="P16" s="16"/>
      <c r="Q16" s="16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9.05" customHeight="1">
      <c r="A17" s="25" t="s">
        <v>29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O17" s="16"/>
      <c r="P17" s="16"/>
      <c r="Q17" s="16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16.95" customHeight="1">
      <c r="A18" s="16" t="s">
        <v>30</v>
      </c>
      <c r="B18" s="16"/>
      <c r="C18" s="16"/>
      <c r="D18" s="16"/>
      <c r="E18" s="16"/>
      <c r="F18" s="16"/>
      <c r="G18" s="16"/>
      <c r="H18" s="16" t="s">
        <v>31</v>
      </c>
      <c r="I18" s="16"/>
      <c r="J18" s="16"/>
      <c r="K18" s="26" t="s">
        <v>32</v>
      </c>
      <c r="L18" s="16" t="s">
        <v>33</v>
      </c>
      <c r="M18" s="16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6.95" customHeight="1">
      <c r="A19" s="16"/>
      <c r="B19" s="16"/>
      <c r="C19" s="16"/>
      <c r="D19" s="16"/>
      <c r="E19" s="16"/>
      <c r="F19" s="16"/>
      <c r="G19" s="16"/>
      <c r="H19" s="4">
        <v>1</v>
      </c>
      <c r="I19" s="4">
        <v>2</v>
      </c>
      <c r="J19" s="4">
        <v>3</v>
      </c>
      <c r="K19" s="26"/>
      <c r="L19" s="16"/>
      <c r="M19" s="16"/>
      <c r="O19" s="15" t="s">
        <v>34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6" customHeight="1">
      <c r="A20" s="27" t="str">
        <f>IF([1]SETUP!$B$13=11,IF([1]SETUP!$I$21=0,"",[1]SETUP!$I$21),[1]SETUP!$V$21)</f>
        <v>Effective Communication / Mabisang Komunikasyon</v>
      </c>
      <c r="B20" s="27"/>
      <c r="C20" s="27"/>
      <c r="D20" s="27"/>
      <c r="E20" s="27"/>
      <c r="F20" s="27"/>
      <c r="G20" s="27"/>
      <c r="H20" s="28">
        <f>IF($A20="","",IF([1]SETUP!$B$13=11,IF(OR(IFERROR(INDEX('[1]TERM 1'!$F$6:$T$65,MATCH('[1]PRINT CONTROL'!$B$4,'[1]TERM 1'!$B$6:$B$65,0),[1]SETUP!$H$22),0)=0,IFERROR(INDEX('[1]TERM 1'!$F$6:$T$65,MATCH('[1]PRINT CONTROL'!$B$4,'[1]TERM 1'!$B$6:$B$65,0),[1]SETUP!$H$23),0)=0),"",ROUND(AVERAGE(INDEX('[1]TERM 1'!$F$6:$T$65,MATCH('[1]PRINT CONTROL'!$B$4,'[1]TERM 1'!$B$6:$B$65,0),[1]SETUP!$H$22),INDEX('[1]TERM 1'!$F$6:$T$65,MATCH('[1]PRINT CONTROL'!$B$4,'[1]TERM 1'!$B$6:$B$65,0),[1]SETUP!$H$23)),0)),IF(INDEX([1]SETUP!$D$21:$D$35,[1]SETUP!$U$21)=0,"",IFERROR(IF(INDEX('[1]TERM 1'!$F$6:$T$65,MATCH('[1]PRINT CONTROL'!$B$4,'[1]TERM 1'!$B$6:$B$65,0),[1]SETUP!$U$21)=0,"",INDEX('[1]TERM 1'!$F$6:$T$65,MATCH('[1]PRINT CONTROL'!$B$4,'[1]TERM 1'!$B$6:$B$65,0),[1]SETUP!$U$21)),""))))</f>
        <v>91</v>
      </c>
      <c r="I20" s="28">
        <f>IF($A20="","",IF([1]SETUP!$B$13=11,IF(OR(IFERROR(INDEX('[1]TERM 2'!$F$6:$T$65,MATCH('[1]PRINT CONTROL'!$B$4,'[1]TERM 2'!$B$6:$B$65,0),[1]SETUP!$H$22),0)=0,IFERROR(INDEX('[1]TERM 2'!$F$6:$T$65,MATCH('[1]PRINT CONTROL'!$B$4,'[1]TERM 2'!$B$6:$B$65,0),[1]SETUP!$H$23),0)=0),"",ROUND(AVERAGE(INDEX('[1]TERM 2'!$F$6:$T$65,MATCH('[1]PRINT CONTROL'!$B$4,'[1]TERM 2'!$B$6:$B$65,0),[1]SETUP!$H$22),INDEX('[1]TERM 2'!$F$6:$T$65,MATCH('[1]PRINT CONTROL'!$B$4,'[1]TERM 2'!$B$6:$B$65,0),[1]SETUP!$H$23)),0)),IF(INDEX([1]SETUP!$E$21:$E$35,[1]SETUP!$U$21)=0,"",IFERROR(IF(INDEX('[1]TERM 2'!$F$6:$T$65,MATCH('[1]PRINT CONTROL'!$B$4,'[1]TERM 2'!$B$6:$B$65,0),[1]SETUP!$U$21)=0,"",INDEX('[1]TERM 2'!$F$6:$T$65,MATCH('[1]PRINT CONTROL'!$B$4,'[1]TERM 2'!$B$6:$B$65,0),[1]SETUP!$U$21)),""))))</f>
        <v>94</v>
      </c>
      <c r="J20" s="28">
        <f>IF($A20="","",IF([1]SETUP!$B$13=11,IF(OR(IFERROR(INDEX('[1]TERM 3'!$F$6:$T$65,MATCH('[1]PRINT CONTROL'!$B$4,'[1]TERM 3'!$B$6:$B$65,0),[1]SETUP!$H$22),0)=0,IFERROR(INDEX('[1]TERM 3'!$F$6:$T$65,MATCH('[1]PRINT CONTROL'!$B$4,'[1]TERM 3'!$B$6:$B$65,0),[1]SETUP!$H$23),0)=0),"",ROUND(AVERAGE(INDEX('[1]TERM 3'!$F$6:$T$65,MATCH('[1]PRINT CONTROL'!$B$4,'[1]TERM 3'!$B$6:$B$65,0),[1]SETUP!$H$22),INDEX('[1]TERM 3'!$F$6:$T$65,MATCH('[1]PRINT CONTROL'!$B$4,'[1]TERM 3'!$B$6:$B$65,0),[1]SETUP!$H$23)),0)),IF(INDEX([1]SETUP!$F$21:$F$35,[1]SETUP!$U$21)=0,"",IFERROR(IF(INDEX('[1]TERM 3'!$F$6:$T$65,MATCH('[1]PRINT CONTROL'!$B$4,'[1]TERM 3'!$B$6:$B$65,0),[1]SETUP!$U$21)=0,"",INDEX('[1]TERM 3'!$F$6:$T$65,MATCH('[1]PRINT CONTROL'!$B$4,'[1]TERM 3'!$B$6:$B$65,0),[1]SETUP!$U$21)),""))))</f>
        <v>93</v>
      </c>
      <c r="K20" s="29">
        <f>IF($A20="","",IF([1]SETUP!$B$13=11,IF(OR(IFERROR(INDEX([1]SUMMARY!$L$4:$L$63,MATCH('[1]PRINT CONTROL'!$B$4,[1]SUMMARY!$B$4:$B$63,0)),0)=0,IFERROR(INDEX([1]SUMMARY!$M$4:$M$63,MATCH('[1]PRINT CONTROL'!$B$4,[1]SUMMARY!$B$4:$B$63,0)),0)=0),"",ROUND(AVERAGE(INDEX([1]SUMMARY!$L$4:$L$63,MATCH('[1]PRINT CONTROL'!$B$4,[1]SUMMARY!$B$4:$B$63,0)),INDEX([1]SUMMARY!$M$4:$M$63,MATCH('[1]PRINT CONTROL'!$B$4,[1]SUMMARY!$B$4:$B$63,0))),0)),IF(COUNT(H20:J20)=0,"",ROUND(AVERAGE(H20:J20),0))))</f>
        <v>93</v>
      </c>
      <c r="L20" s="30" t="str">
        <f t="shared" ref="L20:L31" si="1">IF(K20="","",IF(K20&gt;=75,"PASSED","FAILED"))</f>
        <v>PASSED</v>
      </c>
      <c r="M20" s="30"/>
      <c r="N20" s="31">
        <f>IF($A20="","",IF([1]SETUP!$B$13=11,IF([1]SETUP!$H$21=0,111,100*INDEX([1]SETUP!$D$21:$D$35,[1]SETUP!$H$21)+10*INDEX([1]SETUP!$E$21:$E$35,[1]SETUP!$H$21)+INDEX([1]SETUP!$F$21:$F$35,[1]SETUP!$H$21)),100*INDEX([1]SETUP!$D$21:$D$35,[1]SETUP!$U$21)+10*INDEX([1]SETUP!$E$21:$E$35,[1]SETUP!$U$21)+INDEX([1]SETUP!$F$21:$F$35,[1]SETUP!$U$21)))</f>
        <v>111</v>
      </c>
      <c r="O20" s="32" t="s">
        <v>16</v>
      </c>
      <c r="P20" s="32"/>
      <c r="Q20" s="32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spans="1:27" ht="16.05" customHeight="1">
      <c r="A21" s="27" t="str">
        <f>IF([1]SETUP!$B$13=11,IF([1]SETUP!$I$22=0,"","          "&amp;[1]SETUP!$I$22),[1]SETUP!$V$22)</f>
        <v xml:space="preserve">          Effective Communication</v>
      </c>
      <c r="B21" s="27"/>
      <c r="C21" s="27"/>
      <c r="D21" s="27"/>
      <c r="E21" s="27"/>
      <c r="F21" s="27"/>
      <c r="G21" s="27"/>
      <c r="H21" s="28">
        <f>IF($A21="","",IF([1]SETUP!$B$13=11,IF([1]SETUP!$H$22=0,"",IF(INDEX([1]SETUP!$D$21:$D$35,[1]SETUP!$H$22)=0,"",IFERROR(IF(INDEX('[1]TERM 1'!$F$6:$T$65,MATCH('[1]PRINT CONTROL'!$B$4,'[1]TERM 1'!$B$6:$B$65,0),[1]SETUP!$H$22)=0,"",INDEX('[1]TERM 1'!$F$6:$T$65,MATCH('[1]PRINT CONTROL'!$B$4,'[1]TERM 1'!$B$6:$B$65,0),[1]SETUP!$H$22)),""))),IF(INDEX([1]SETUP!$D$21:$D$35,[1]SETUP!$U$22)=0,"",IFERROR(IF(INDEX('[1]TERM 1'!$F$6:$T$65,MATCH('[1]PRINT CONTROL'!$B$4,'[1]TERM 1'!$B$6:$B$65,0),[1]SETUP!$U$22)=0,"",INDEX('[1]TERM 1'!$F$6:$T$65,MATCH('[1]PRINT CONTROL'!$B$4,'[1]TERM 1'!$B$6:$B$65,0),[1]SETUP!$U$22)),""))))</f>
        <v>90</v>
      </c>
      <c r="I21" s="28">
        <f>IF($A21="","",IF([1]SETUP!$B$13=11,IF([1]SETUP!$H$22=0,"",IF(INDEX([1]SETUP!$E$21:$E$35,[1]SETUP!$H$22)=0,"",IFERROR(IF(INDEX('[1]TERM 2'!$F$6:$T$65,MATCH('[1]PRINT CONTROL'!$B$4,'[1]TERM 2'!$B$6:$B$65,0),[1]SETUP!$H$22)=0,"",INDEX('[1]TERM 2'!$F$6:$T$65,MATCH('[1]PRINT CONTROL'!$B$4,'[1]TERM 2'!$B$6:$B$65,0),[1]SETUP!$H$22)),""))),IF(INDEX([1]SETUP!$E$21:$E$35,[1]SETUP!$U$22)=0,"",IFERROR(IF(INDEX('[1]TERM 2'!$F$6:$T$65,MATCH('[1]PRINT CONTROL'!$B$4,'[1]TERM 2'!$B$6:$B$65,0),[1]SETUP!$U$22)=0,"",INDEX('[1]TERM 2'!$F$6:$T$65,MATCH('[1]PRINT CONTROL'!$B$4,'[1]TERM 2'!$B$6:$B$65,0),[1]SETUP!$U$22)),""))))</f>
        <v>98</v>
      </c>
      <c r="J21" s="28">
        <f>IF($A21="","",IF([1]SETUP!$B$13=11,IF([1]SETUP!$H$22=0,"",IF(INDEX([1]SETUP!$F$21:$F$35,[1]SETUP!$H$22)=0,"",IFERROR(IF(INDEX('[1]TERM 3'!$F$6:$T$65,MATCH('[1]PRINT CONTROL'!$B$4,'[1]TERM 3'!$B$6:$B$65,0),[1]SETUP!$H$22)=0,"",INDEX('[1]TERM 3'!$F$6:$T$65,MATCH('[1]PRINT CONTROL'!$B$4,'[1]TERM 3'!$B$6:$B$65,0),[1]SETUP!$H$22)),""))),IF(INDEX([1]SETUP!$F$21:$F$35,[1]SETUP!$U$22)=0,"",IFERROR(IF(INDEX('[1]TERM 3'!$F$6:$T$65,MATCH('[1]PRINT CONTROL'!$B$4,'[1]TERM 3'!$B$6:$B$65,0),[1]SETUP!$U$22)=0,"",INDEX('[1]TERM 3'!$F$6:$T$65,MATCH('[1]PRINT CONTROL'!$B$4,'[1]TERM 3'!$B$6:$B$65,0),[1]SETUP!$U$22)),""))))</f>
        <v>92</v>
      </c>
      <c r="K21" s="29" t="str">
        <f>IF($A21="","",IF([1]SETUP!$B$13=11,"",IF(COUNT(H21:J21)=0,"",ROUND(AVERAGE(H21:J21),0))))</f>
        <v/>
      </c>
      <c r="L21" s="30" t="str">
        <f t="shared" si="1"/>
        <v/>
      </c>
      <c r="M21" s="30"/>
      <c r="N21" s="31">
        <f>IF($A21="","",IF([1]SETUP!$B$13=11,IF([1]SETUP!$H$22=0,111,100*INDEX([1]SETUP!$D$21:$D$35,[1]SETUP!$H$22)+10*INDEX([1]SETUP!$E$21:$E$35,[1]SETUP!$H$22)+INDEX([1]SETUP!$F$21:$F$35,[1]SETUP!$H$22)),100*INDEX([1]SETUP!$D$21:$D$35,[1]SETUP!$U$22)+10*INDEX([1]SETUP!$E$21:$E$35,[1]SETUP!$U$22)+INDEX([1]SETUP!$F$21:$F$35,[1]SETUP!$U$22)))</f>
        <v>111</v>
      </c>
      <c r="O21" s="32" t="s">
        <v>24</v>
      </c>
      <c r="P21" s="32"/>
      <c r="Q21" s="32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6.05" customHeight="1">
      <c r="A22" s="27" t="str">
        <f>IF([1]SETUP!$B$13=11,IF([1]SETUP!$I$23=0,"","          "&amp;[1]SETUP!$I$23),[1]SETUP!$V$23)</f>
        <v xml:space="preserve">          Mabisang Komunikasyon</v>
      </c>
      <c r="B22" s="27"/>
      <c r="C22" s="27"/>
      <c r="D22" s="27"/>
      <c r="E22" s="27"/>
      <c r="F22" s="27"/>
      <c r="G22" s="27"/>
      <c r="H22" s="28">
        <f>IF($A22="","",IF([1]SETUP!$B$13=11,IF([1]SETUP!$H$23=0,"",IF(INDEX([1]SETUP!$D$21:$D$35,[1]SETUP!$H$23)=0,"",IFERROR(IF(INDEX('[1]TERM 1'!$F$6:$T$65,MATCH('[1]PRINT CONTROL'!$B$4,'[1]TERM 1'!$B$6:$B$65,0),[1]SETUP!$H$23)=0,"",INDEX('[1]TERM 1'!$F$6:$T$65,MATCH('[1]PRINT CONTROL'!$B$4,'[1]TERM 1'!$B$6:$B$65,0),[1]SETUP!$H$23)),""))),IF(INDEX([1]SETUP!$D$21:$D$35,[1]SETUP!$U$23)=0,"",IFERROR(IF(INDEX('[1]TERM 1'!$F$6:$T$65,MATCH('[1]PRINT CONTROL'!$B$4,'[1]TERM 1'!$B$6:$B$65,0),[1]SETUP!$U$23)=0,"",INDEX('[1]TERM 1'!$F$6:$T$65,MATCH('[1]PRINT CONTROL'!$B$4,'[1]TERM 1'!$B$6:$B$65,0),[1]SETUP!$U$23)),""))))</f>
        <v>92</v>
      </c>
      <c r="I22" s="28">
        <f>IF($A22="","",IF([1]SETUP!$B$13=11,IF([1]SETUP!$H$23=0,"",IF(INDEX([1]SETUP!$E$21:$E$35,[1]SETUP!$H$23)=0,"",IFERROR(IF(INDEX('[1]TERM 2'!$F$6:$T$65,MATCH('[1]PRINT CONTROL'!$B$4,'[1]TERM 2'!$B$6:$B$65,0),[1]SETUP!$H$23)=0,"",INDEX('[1]TERM 2'!$F$6:$T$65,MATCH('[1]PRINT CONTROL'!$B$4,'[1]TERM 2'!$B$6:$B$65,0),[1]SETUP!$H$23)),""))),IF(INDEX([1]SETUP!$E$21:$E$35,[1]SETUP!$U$23)=0,"",IFERROR(IF(INDEX('[1]TERM 2'!$F$6:$T$65,MATCH('[1]PRINT CONTROL'!$B$4,'[1]TERM 2'!$B$6:$B$65,0),[1]SETUP!$U$23)=0,"",INDEX('[1]TERM 2'!$F$6:$T$65,MATCH('[1]PRINT CONTROL'!$B$4,'[1]TERM 2'!$B$6:$B$65,0),[1]SETUP!$U$23)),""))))</f>
        <v>90</v>
      </c>
      <c r="J22" s="28">
        <f>IF($A22="","",IF([1]SETUP!$B$13=11,IF([1]SETUP!$H$23=0,"",IF(INDEX([1]SETUP!$F$21:$F$35,[1]SETUP!$H$23)=0,"",IFERROR(IF(INDEX('[1]TERM 3'!$F$6:$T$65,MATCH('[1]PRINT CONTROL'!$B$4,'[1]TERM 3'!$B$6:$B$65,0),[1]SETUP!$H$23)=0,"",INDEX('[1]TERM 3'!$F$6:$T$65,MATCH('[1]PRINT CONTROL'!$B$4,'[1]TERM 3'!$B$6:$B$65,0),[1]SETUP!$H$23)),""))),IF(INDEX([1]SETUP!$F$21:$F$35,[1]SETUP!$U$23)=0,"",IFERROR(IF(INDEX('[1]TERM 3'!$F$6:$T$65,MATCH('[1]PRINT CONTROL'!$B$4,'[1]TERM 3'!$B$6:$B$65,0),[1]SETUP!$U$23)=0,"",INDEX('[1]TERM 3'!$F$6:$T$65,MATCH('[1]PRINT CONTROL'!$B$4,'[1]TERM 3'!$B$6:$B$65,0),[1]SETUP!$U$23)),""))))</f>
        <v>93</v>
      </c>
      <c r="K22" s="29" t="str">
        <f>IF($A22="","",IF([1]SETUP!$B$13=11,"",IF(COUNT(H22:J22)=0,"",ROUND(AVERAGE(H22:J22),0))))</f>
        <v/>
      </c>
      <c r="L22" s="30" t="str">
        <f t="shared" si="1"/>
        <v/>
      </c>
      <c r="M22" s="30"/>
      <c r="N22" s="31">
        <f>IF($A22="","",IF([1]SETUP!$B$13=11,IF([1]SETUP!$H$23=0,111,100*INDEX([1]SETUP!$D$21:$D$35,[1]SETUP!$H$23)+10*INDEX([1]SETUP!$E$21:$E$35,[1]SETUP!$H$23)+INDEX([1]SETUP!$F$21:$F$35,[1]SETUP!$H$23)),100*INDEX([1]SETUP!$D$21:$D$35,[1]SETUP!$U$23)+10*INDEX([1]SETUP!$E$21:$E$35,[1]SETUP!$U$23)+INDEX([1]SETUP!$F$21:$F$35,[1]SETUP!$U$23)))</f>
        <v>111</v>
      </c>
      <c r="O22" s="32" t="s">
        <v>28</v>
      </c>
      <c r="P22" s="32"/>
      <c r="Q22" s="32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1:27" ht="16.05" customHeight="1">
      <c r="A23" s="27" t="str">
        <f>IF([1]SETUP!$B$13=11,IF([1]SETUP!$I$24=0,"",[1]SETUP!$I$24),[1]SETUP!$V$24)</f>
        <v>Pag-aaral ng Kasaysayan at Lipunang Pilipino</v>
      </c>
      <c r="B23" s="27"/>
      <c r="C23" s="27"/>
      <c r="D23" s="27"/>
      <c r="E23" s="27"/>
      <c r="F23" s="27"/>
      <c r="G23" s="27"/>
      <c r="H23" s="28">
        <f>IF($A23="","",IF([1]SETUP!$B$13=11,IF([1]SETUP!$H$24=0,"",IF(INDEX([1]SETUP!$D$21:$D$35,[1]SETUP!$H$24)=0,"",IFERROR(IF(INDEX('[1]TERM 1'!$F$6:$T$65,MATCH('[1]PRINT CONTROL'!$B$4,'[1]TERM 1'!$B$6:$B$65,0),[1]SETUP!$H$24)=0,"",INDEX('[1]TERM 1'!$F$6:$T$65,MATCH('[1]PRINT CONTROL'!$B$4,'[1]TERM 1'!$B$6:$B$65,0),[1]SETUP!$H$24)),""))),IF(INDEX([1]SETUP!$D$21:$D$35,[1]SETUP!$U$24)=0,"",IFERROR(IF(INDEX('[1]TERM 1'!$F$6:$T$65,MATCH('[1]PRINT CONTROL'!$B$4,'[1]TERM 1'!$B$6:$B$65,0),[1]SETUP!$U$24)=0,"",INDEX('[1]TERM 1'!$F$6:$T$65,MATCH('[1]PRINT CONTROL'!$B$4,'[1]TERM 1'!$B$6:$B$65,0),[1]SETUP!$U$24)),""))))</f>
        <v>89</v>
      </c>
      <c r="I23" s="28">
        <f>IF($A23="","",IF([1]SETUP!$B$13=11,IF([1]SETUP!$H$24=0,"",IF(INDEX([1]SETUP!$E$21:$E$35,[1]SETUP!$H$24)=0,"",IFERROR(IF(INDEX('[1]TERM 2'!$F$6:$T$65,MATCH('[1]PRINT CONTROL'!$B$4,'[1]TERM 2'!$B$6:$B$65,0),[1]SETUP!$H$24)=0,"",INDEX('[1]TERM 2'!$F$6:$T$65,MATCH('[1]PRINT CONTROL'!$B$4,'[1]TERM 2'!$B$6:$B$65,0),[1]SETUP!$H$24)),""))),IF(INDEX([1]SETUP!$E$21:$E$35,[1]SETUP!$U$24)=0,"",IFERROR(IF(INDEX('[1]TERM 2'!$F$6:$T$65,MATCH('[1]PRINT CONTROL'!$B$4,'[1]TERM 2'!$B$6:$B$65,0),[1]SETUP!$U$24)=0,"",INDEX('[1]TERM 2'!$F$6:$T$65,MATCH('[1]PRINT CONTROL'!$B$4,'[1]TERM 2'!$B$6:$B$65,0),[1]SETUP!$U$24)),""))))</f>
        <v>93</v>
      </c>
      <c r="J23" s="28">
        <f>IF($A23="","",IF([1]SETUP!$B$13=11,IF([1]SETUP!$H$24=0,"",IF(INDEX([1]SETUP!$F$21:$F$35,[1]SETUP!$H$24)=0,"",IFERROR(IF(INDEX('[1]TERM 3'!$F$6:$T$65,MATCH('[1]PRINT CONTROL'!$B$4,'[1]TERM 3'!$B$6:$B$65,0),[1]SETUP!$H$24)=0,"",INDEX('[1]TERM 3'!$F$6:$T$65,MATCH('[1]PRINT CONTROL'!$B$4,'[1]TERM 3'!$B$6:$B$65,0),[1]SETUP!$H$24)),""))),IF(INDEX([1]SETUP!$F$21:$F$35,[1]SETUP!$U$24)=0,"",IFERROR(IF(INDEX('[1]TERM 3'!$F$6:$T$65,MATCH('[1]PRINT CONTROL'!$B$4,'[1]TERM 3'!$B$6:$B$65,0),[1]SETUP!$U$24)=0,"",INDEX('[1]TERM 3'!$F$6:$T$65,MATCH('[1]PRINT CONTROL'!$B$4,'[1]TERM 3'!$B$6:$B$65,0),[1]SETUP!$U$24)),""))))</f>
        <v>96</v>
      </c>
      <c r="K23" s="29">
        <f t="shared" ref="K23:K31" si="2">IF($A23="","",IF(COUNT(H23:J23)=0,"",ROUND(AVERAGE(H23:J23),0)))</f>
        <v>93</v>
      </c>
      <c r="L23" s="30" t="str">
        <f t="shared" si="1"/>
        <v>PASSED</v>
      </c>
      <c r="M23" s="30"/>
      <c r="N23" s="31">
        <f>IF($A23="","",IF([1]SETUP!$B$13=11,IF([1]SETUP!$H$24=0,111,100*INDEX([1]SETUP!$D$21:$D$35,[1]SETUP!$H$24)+10*INDEX([1]SETUP!$E$21:$E$35,[1]SETUP!$H$24)+INDEX([1]SETUP!$F$21:$F$35,[1]SETUP!$H$24)),100*INDEX([1]SETUP!$D$21:$D$35,[1]SETUP!$U$24)+10*INDEX([1]SETUP!$E$21:$E$35,[1]SETUP!$U$24)+INDEX([1]SETUP!$F$21:$F$35,[1]SETUP!$U$24)))</f>
        <v>111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6.05" customHeight="1">
      <c r="A24" s="27" t="str">
        <f>IF([1]SETUP!$B$13=11,IF([1]SETUP!$I$25=0,"",[1]SETUP!$I$25),[1]SETUP!$V$25)</f>
        <v>Life and Career Skills</v>
      </c>
      <c r="B24" s="27"/>
      <c r="C24" s="27"/>
      <c r="D24" s="27"/>
      <c r="E24" s="27"/>
      <c r="F24" s="27"/>
      <c r="G24" s="27"/>
      <c r="H24" s="28">
        <f>IF($A24="","",IF([1]SETUP!$B$13=11,IF([1]SETUP!$H$25=0,"",IF(INDEX([1]SETUP!$D$21:$D$35,[1]SETUP!$H$25)=0,"",IFERROR(IF(INDEX('[1]TERM 1'!$F$6:$T$65,MATCH('[1]PRINT CONTROL'!$B$4,'[1]TERM 1'!$B$6:$B$65,0),[1]SETUP!$H$25)=0,"",INDEX('[1]TERM 1'!$F$6:$T$65,MATCH('[1]PRINT CONTROL'!$B$4,'[1]TERM 1'!$B$6:$B$65,0),[1]SETUP!$H$25)),""))),IF(INDEX([1]SETUP!$D$21:$D$35,[1]SETUP!$U$25)=0,"",IFERROR(IF(INDEX('[1]TERM 1'!$F$6:$T$65,MATCH('[1]PRINT CONTROL'!$B$4,'[1]TERM 1'!$B$6:$B$65,0),[1]SETUP!$U$25)=0,"",INDEX('[1]TERM 1'!$F$6:$T$65,MATCH('[1]PRINT CONTROL'!$B$4,'[1]TERM 1'!$B$6:$B$65,0),[1]SETUP!$U$25)),""))))</f>
        <v>95</v>
      </c>
      <c r="I24" s="28">
        <f>IF($A24="","",IF([1]SETUP!$B$13=11,IF([1]SETUP!$H$25=0,"",IF(INDEX([1]SETUP!$E$21:$E$35,[1]SETUP!$H$25)=0,"",IFERROR(IF(INDEX('[1]TERM 2'!$F$6:$T$65,MATCH('[1]PRINT CONTROL'!$B$4,'[1]TERM 2'!$B$6:$B$65,0),[1]SETUP!$H$25)=0,"",INDEX('[1]TERM 2'!$F$6:$T$65,MATCH('[1]PRINT CONTROL'!$B$4,'[1]TERM 2'!$B$6:$B$65,0),[1]SETUP!$H$25)),""))),IF(INDEX([1]SETUP!$E$21:$E$35,[1]SETUP!$U$25)=0,"",IFERROR(IF(INDEX('[1]TERM 2'!$F$6:$T$65,MATCH('[1]PRINT CONTROL'!$B$4,'[1]TERM 2'!$B$6:$B$65,0),[1]SETUP!$U$25)=0,"",INDEX('[1]TERM 2'!$F$6:$T$65,MATCH('[1]PRINT CONTROL'!$B$4,'[1]TERM 2'!$B$6:$B$65,0),[1]SETUP!$U$25)),""))))</f>
        <v>91</v>
      </c>
      <c r="J24" s="28">
        <f>IF($A24="","",IF([1]SETUP!$B$13=11,IF([1]SETUP!$H$25=0,"",IF(INDEX([1]SETUP!$F$21:$F$35,[1]SETUP!$H$25)=0,"",IFERROR(IF(INDEX('[1]TERM 3'!$F$6:$T$65,MATCH('[1]PRINT CONTROL'!$B$4,'[1]TERM 3'!$B$6:$B$65,0),[1]SETUP!$H$25)=0,"",INDEX('[1]TERM 3'!$F$6:$T$65,MATCH('[1]PRINT CONTROL'!$B$4,'[1]TERM 3'!$B$6:$B$65,0),[1]SETUP!$H$25)),""))),IF(INDEX([1]SETUP!$F$21:$F$35,[1]SETUP!$U$25)=0,"",IFERROR(IF(INDEX('[1]TERM 3'!$F$6:$T$65,MATCH('[1]PRINT CONTROL'!$B$4,'[1]TERM 3'!$B$6:$B$65,0),[1]SETUP!$U$25)=0,"",INDEX('[1]TERM 3'!$F$6:$T$65,MATCH('[1]PRINT CONTROL'!$B$4,'[1]TERM 3'!$B$6:$B$65,0),[1]SETUP!$U$25)),""))))</f>
        <v>89</v>
      </c>
      <c r="K24" s="29">
        <f t="shared" si="2"/>
        <v>92</v>
      </c>
      <c r="L24" s="30" t="str">
        <f t="shared" si="1"/>
        <v>PASSED</v>
      </c>
      <c r="M24" s="30"/>
      <c r="N24" s="31">
        <f>IF($A24="","",IF([1]SETUP!$B$13=11,IF([1]SETUP!$H$25=0,111,100*INDEX([1]SETUP!$D$21:$D$35,[1]SETUP!$H$25)+10*INDEX([1]SETUP!$E$21:$E$35,[1]SETUP!$H$25)+INDEX([1]SETUP!$F$21:$F$35,[1]SETUP!$H$25)),100*INDEX([1]SETUP!$D$21:$D$35,[1]SETUP!$U$25)+10*INDEX([1]SETUP!$E$21:$E$35,[1]SETUP!$U$25)+INDEX([1]SETUP!$F$21:$F$35,[1]SETUP!$U$25)))</f>
        <v>111</v>
      </c>
      <c r="O24" s="15" t="s">
        <v>35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6.05" customHeight="1">
      <c r="A25" s="27" t="str">
        <f>IF([1]SETUP!$B$13=11,IF([1]SETUP!$I$26=0,"",[1]SETUP!$I$26),[1]SETUP!$V$26)</f>
        <v>General Science</v>
      </c>
      <c r="B25" s="27"/>
      <c r="C25" s="27"/>
      <c r="D25" s="27"/>
      <c r="E25" s="27"/>
      <c r="F25" s="27"/>
      <c r="G25" s="27"/>
      <c r="H25" s="28">
        <f>IF($A25="","",IF([1]SETUP!$B$13=11,IF([1]SETUP!$H$26=0,"",IF(INDEX([1]SETUP!$D$21:$D$35,[1]SETUP!$H$26)=0,"",IFERROR(IF(INDEX('[1]TERM 1'!$F$6:$T$65,MATCH('[1]PRINT CONTROL'!$B$4,'[1]TERM 1'!$B$6:$B$65,0),[1]SETUP!$H$26)=0,"",INDEX('[1]TERM 1'!$F$6:$T$65,MATCH('[1]PRINT CONTROL'!$B$4,'[1]TERM 1'!$B$6:$B$65,0),[1]SETUP!$H$26)),""))),IF(INDEX([1]SETUP!$D$21:$D$35,[1]SETUP!$U$26)=0,"",IFERROR(IF(INDEX('[1]TERM 1'!$F$6:$T$65,MATCH('[1]PRINT CONTROL'!$B$4,'[1]TERM 1'!$B$6:$B$65,0),[1]SETUP!$U$26)=0,"",INDEX('[1]TERM 1'!$F$6:$T$65,MATCH('[1]PRINT CONTROL'!$B$4,'[1]TERM 1'!$B$6:$B$65,0),[1]SETUP!$U$26)),""))))</f>
        <v>80</v>
      </c>
      <c r="I25" s="28">
        <f>IF($A25="","",IF([1]SETUP!$B$13=11,IF([1]SETUP!$H$26=0,"",IF(INDEX([1]SETUP!$E$21:$E$35,[1]SETUP!$H$26)=0,"",IFERROR(IF(INDEX('[1]TERM 2'!$F$6:$T$65,MATCH('[1]PRINT CONTROL'!$B$4,'[1]TERM 2'!$B$6:$B$65,0),[1]SETUP!$H$26)=0,"",INDEX('[1]TERM 2'!$F$6:$T$65,MATCH('[1]PRINT CONTROL'!$B$4,'[1]TERM 2'!$B$6:$B$65,0),[1]SETUP!$H$26)),""))),IF(INDEX([1]SETUP!$E$21:$E$35,[1]SETUP!$U$26)=0,"",IFERROR(IF(INDEX('[1]TERM 2'!$F$6:$T$65,MATCH('[1]PRINT CONTROL'!$B$4,'[1]TERM 2'!$B$6:$B$65,0),[1]SETUP!$U$26)=0,"",INDEX('[1]TERM 2'!$F$6:$T$65,MATCH('[1]PRINT CONTROL'!$B$4,'[1]TERM 2'!$B$6:$B$65,0),[1]SETUP!$U$26)),""))))</f>
        <v>90</v>
      </c>
      <c r="J25" s="28">
        <f>IF($A25="","",IF([1]SETUP!$B$13=11,IF([1]SETUP!$H$26=0,"",IF(INDEX([1]SETUP!$F$21:$F$35,[1]SETUP!$H$26)=0,"",IFERROR(IF(INDEX('[1]TERM 3'!$F$6:$T$65,MATCH('[1]PRINT CONTROL'!$B$4,'[1]TERM 3'!$B$6:$B$65,0),[1]SETUP!$H$26)=0,"",INDEX('[1]TERM 3'!$F$6:$T$65,MATCH('[1]PRINT CONTROL'!$B$4,'[1]TERM 3'!$B$6:$B$65,0),[1]SETUP!$H$26)),""))),IF(INDEX([1]SETUP!$F$21:$F$35,[1]SETUP!$U$26)=0,"",IFERROR(IF(INDEX('[1]TERM 3'!$F$6:$T$65,MATCH('[1]PRINT CONTROL'!$B$4,'[1]TERM 3'!$B$6:$B$65,0),[1]SETUP!$U$26)=0,"",INDEX('[1]TERM 3'!$F$6:$T$65,MATCH('[1]PRINT CONTROL'!$B$4,'[1]TERM 3'!$B$6:$B$65,0),[1]SETUP!$U$26)),""))))</f>
        <v>94</v>
      </c>
      <c r="K25" s="29">
        <f t="shared" si="2"/>
        <v>88</v>
      </c>
      <c r="L25" s="30" t="str">
        <f t="shared" si="1"/>
        <v>PASSED</v>
      </c>
      <c r="M25" s="30"/>
      <c r="N25" s="31">
        <f>IF($A25="","",IF([1]SETUP!$B$13=11,IF([1]SETUP!$H$26=0,111,100*INDEX([1]SETUP!$D$21:$D$35,[1]SETUP!$H$26)+10*INDEX([1]SETUP!$E$21:$E$35,[1]SETUP!$H$26)+INDEX([1]SETUP!$F$21:$F$35,[1]SETUP!$H$26)),100*INDEX([1]SETUP!$D$21:$D$35,[1]SETUP!$U$26)+10*INDEX([1]SETUP!$E$21:$E$35,[1]SETUP!$U$26)+INDEX([1]SETUP!$F$21:$F$35,[1]SETUP!$U$26)))</f>
        <v>111</v>
      </c>
      <c r="O25" s="34" t="s">
        <v>36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ht="16.05" customHeight="1">
      <c r="A26" s="27" t="str">
        <f>IF([1]SETUP!$B$13=11,IF([1]SETUP!$I$27=0,"",[1]SETUP!$I$27),[1]SETUP!$V$27)</f>
        <v>General Mathematics</v>
      </c>
      <c r="B26" s="27"/>
      <c r="C26" s="27"/>
      <c r="D26" s="27"/>
      <c r="E26" s="27"/>
      <c r="F26" s="27"/>
      <c r="G26" s="27"/>
      <c r="H26" s="28">
        <f>IF($A26="","",IF([1]SETUP!$B$13=11,IF([1]SETUP!$H$27=0,"",IF(INDEX([1]SETUP!$D$21:$D$35,[1]SETUP!$H$27)=0,"",IFERROR(IF(INDEX('[1]TERM 1'!$F$6:$T$65,MATCH('[1]PRINT CONTROL'!$B$4,'[1]TERM 1'!$B$6:$B$65,0),[1]SETUP!$H$27)=0,"",INDEX('[1]TERM 1'!$F$6:$T$65,MATCH('[1]PRINT CONTROL'!$B$4,'[1]TERM 1'!$B$6:$B$65,0),[1]SETUP!$H$27)),""))),IF(INDEX([1]SETUP!$D$21:$D$35,[1]SETUP!$U$27)=0,"",IFERROR(IF(INDEX('[1]TERM 1'!$F$6:$T$65,MATCH('[1]PRINT CONTROL'!$B$4,'[1]TERM 1'!$B$6:$B$65,0),[1]SETUP!$U$27)=0,"",INDEX('[1]TERM 1'!$F$6:$T$65,MATCH('[1]PRINT CONTROL'!$B$4,'[1]TERM 1'!$B$6:$B$65,0),[1]SETUP!$U$27)),""))))</f>
        <v>98</v>
      </c>
      <c r="I26" s="28">
        <f>IF($A26="","",IF([1]SETUP!$B$13=11,IF([1]SETUP!$H$27=0,"",IF(INDEX([1]SETUP!$E$21:$E$35,[1]SETUP!$H$27)=0,"",IFERROR(IF(INDEX('[1]TERM 2'!$F$6:$T$65,MATCH('[1]PRINT CONTROL'!$B$4,'[1]TERM 2'!$B$6:$B$65,0),[1]SETUP!$H$27)=0,"",INDEX('[1]TERM 2'!$F$6:$T$65,MATCH('[1]PRINT CONTROL'!$B$4,'[1]TERM 2'!$B$6:$B$65,0),[1]SETUP!$H$27)),""))),IF(INDEX([1]SETUP!$E$21:$E$35,[1]SETUP!$U$27)=0,"",IFERROR(IF(INDEX('[1]TERM 2'!$F$6:$T$65,MATCH('[1]PRINT CONTROL'!$B$4,'[1]TERM 2'!$B$6:$B$65,0),[1]SETUP!$U$27)=0,"",INDEX('[1]TERM 2'!$F$6:$T$65,MATCH('[1]PRINT CONTROL'!$B$4,'[1]TERM 2'!$B$6:$B$65,0),[1]SETUP!$U$27)),""))))</f>
        <v>86</v>
      </c>
      <c r="J26" s="28">
        <f>IF($A26="","",IF([1]SETUP!$B$13=11,IF([1]SETUP!$H$27=0,"",IF(INDEX([1]SETUP!$F$21:$F$35,[1]SETUP!$H$27)=0,"",IFERROR(IF(INDEX('[1]TERM 3'!$F$6:$T$65,MATCH('[1]PRINT CONTROL'!$B$4,'[1]TERM 3'!$B$6:$B$65,0),[1]SETUP!$H$27)=0,"",INDEX('[1]TERM 3'!$F$6:$T$65,MATCH('[1]PRINT CONTROL'!$B$4,'[1]TERM 3'!$B$6:$B$65,0),[1]SETUP!$H$27)),""))),IF(INDEX([1]SETUP!$F$21:$F$35,[1]SETUP!$U$27)=0,"",IFERROR(IF(INDEX('[1]TERM 3'!$F$6:$T$65,MATCH('[1]PRINT CONTROL'!$B$4,'[1]TERM 3'!$B$6:$B$65,0),[1]SETUP!$U$27)=0,"",INDEX('[1]TERM 3'!$F$6:$T$65,MATCH('[1]PRINT CONTROL'!$B$4,'[1]TERM 3'!$B$6:$B$65,0),[1]SETUP!$U$27)),""))))</f>
        <v>90</v>
      </c>
      <c r="K26" s="29">
        <f t="shared" si="2"/>
        <v>91</v>
      </c>
      <c r="L26" s="30" t="str">
        <f t="shared" si="1"/>
        <v>PASSED</v>
      </c>
      <c r="M26" s="30"/>
      <c r="N26" s="31">
        <f>IF($A26="","",IF([1]SETUP!$B$13=11,IF([1]SETUP!$H$27=0,111,100*INDEX([1]SETUP!$D$21:$D$35,[1]SETUP!$H$27)+10*INDEX([1]SETUP!$E$21:$E$35,[1]SETUP!$H$27)+INDEX([1]SETUP!$F$21:$F$35,[1]SETUP!$H$27)),100*INDEX([1]SETUP!$D$21:$D$35,[1]SETUP!$U$27)+10*INDEX([1]SETUP!$E$21:$E$35,[1]SETUP!$U$27)+INDEX([1]SETUP!$F$21:$F$35,[1]SETUP!$U$27)))</f>
        <v>111</v>
      </c>
      <c r="O26" s="12" t="s">
        <v>37</v>
      </c>
      <c r="P26" s="12"/>
      <c r="Q26" s="35"/>
      <c r="R26" s="35"/>
      <c r="S26" s="35"/>
      <c r="T26" s="35"/>
      <c r="X26" s="12"/>
      <c r="Y26" s="12"/>
      <c r="Z26" s="12"/>
      <c r="AA26" s="12"/>
    </row>
    <row r="27" spans="1:27" ht="16.05" customHeight="1">
      <c r="A27" s="27" t="str">
        <f>IF([1]SETUP!$B$13=11,IF([1]SETUP!$I$28=0,"",[1]SETUP!$I$28),[1]SETUP!$V$28)</f>
        <v>Creative Composition 1</v>
      </c>
      <c r="B27" s="27"/>
      <c r="C27" s="27"/>
      <c r="D27" s="27"/>
      <c r="E27" s="27"/>
      <c r="F27" s="27"/>
      <c r="G27" s="27"/>
      <c r="H27" s="28">
        <f>IF($A27="","",IF([1]SETUP!$B$13=11,IF([1]SETUP!$H$28=0,"",IF(INDEX([1]SETUP!$D$21:$D$35,[1]SETUP!$H$28)=0,"",IFERROR(IF(INDEX('[1]TERM 1'!$F$6:$T$65,MATCH('[1]PRINT CONTROL'!$B$4,'[1]TERM 1'!$B$6:$B$65,0),[1]SETUP!$H$28)=0,"",INDEX('[1]TERM 1'!$F$6:$T$65,MATCH('[1]PRINT CONTROL'!$B$4,'[1]TERM 1'!$B$6:$B$65,0),[1]SETUP!$H$28)),""))),IF(INDEX([1]SETUP!$D$21:$D$35,[1]SETUP!$U$28)=0,"",IFERROR(IF(INDEX('[1]TERM 1'!$F$6:$T$65,MATCH('[1]PRINT CONTROL'!$B$4,'[1]TERM 1'!$B$6:$B$65,0),[1]SETUP!$U$28)=0,"",INDEX('[1]TERM 1'!$F$6:$T$65,MATCH('[1]PRINT CONTROL'!$B$4,'[1]TERM 1'!$B$6:$B$65,0),[1]SETUP!$U$28)),""))))</f>
        <v>90</v>
      </c>
      <c r="I27" s="28" t="str">
        <f>IF($A27="","",IF([1]SETUP!$B$13=11,IF([1]SETUP!$H$28=0,"",IF(INDEX([1]SETUP!$E$21:$E$35,[1]SETUP!$H$28)=0,"",IFERROR(IF(INDEX('[1]TERM 2'!$F$6:$T$65,MATCH('[1]PRINT CONTROL'!$B$4,'[1]TERM 2'!$B$6:$B$65,0),[1]SETUP!$H$28)=0,"",INDEX('[1]TERM 2'!$F$6:$T$65,MATCH('[1]PRINT CONTROL'!$B$4,'[1]TERM 2'!$B$6:$B$65,0),[1]SETUP!$H$28)),""))),IF(INDEX([1]SETUP!$E$21:$E$35,[1]SETUP!$U$28)=0,"",IFERROR(IF(INDEX('[1]TERM 2'!$F$6:$T$65,MATCH('[1]PRINT CONTROL'!$B$4,'[1]TERM 2'!$B$6:$B$65,0),[1]SETUP!$U$28)=0,"",INDEX('[1]TERM 2'!$F$6:$T$65,MATCH('[1]PRINT CONTROL'!$B$4,'[1]TERM 2'!$B$6:$B$65,0),[1]SETUP!$U$28)),""))))</f>
        <v/>
      </c>
      <c r="J27" s="28" t="str">
        <f>IF($A27="","",IF([1]SETUP!$B$13=11,IF([1]SETUP!$H$28=0,"",IF(INDEX([1]SETUP!$F$21:$F$35,[1]SETUP!$H$28)=0,"",IFERROR(IF(INDEX('[1]TERM 3'!$F$6:$T$65,MATCH('[1]PRINT CONTROL'!$B$4,'[1]TERM 3'!$B$6:$B$65,0),[1]SETUP!$H$28)=0,"",INDEX('[1]TERM 3'!$F$6:$T$65,MATCH('[1]PRINT CONTROL'!$B$4,'[1]TERM 3'!$B$6:$B$65,0),[1]SETUP!$H$28)),""))),IF(INDEX([1]SETUP!$F$21:$F$35,[1]SETUP!$U$28)=0,"",IFERROR(IF(INDEX('[1]TERM 3'!$F$6:$T$65,MATCH('[1]PRINT CONTROL'!$B$4,'[1]TERM 3'!$B$6:$B$65,0),[1]SETUP!$U$28)=0,"",INDEX('[1]TERM 3'!$F$6:$T$65,MATCH('[1]PRINT CONTROL'!$B$4,'[1]TERM 3'!$B$6:$B$65,0),[1]SETUP!$U$28)),""))))</f>
        <v/>
      </c>
      <c r="K27" s="29">
        <f t="shared" si="2"/>
        <v>90</v>
      </c>
      <c r="L27" s="30" t="str">
        <f t="shared" si="1"/>
        <v>PASSED</v>
      </c>
      <c r="M27" s="30"/>
      <c r="N27" s="31">
        <f>IF($A27="","",IF([1]SETUP!$B$13=11,IF([1]SETUP!$H$28=0,111,100*INDEX([1]SETUP!$D$21:$D$35,[1]SETUP!$H$28)+10*INDEX([1]SETUP!$E$21:$E$35,[1]SETUP!$H$28)+INDEX([1]SETUP!$F$21:$F$35,[1]SETUP!$H$28)),100*INDEX([1]SETUP!$D$21:$D$35,[1]SETUP!$U$28)+10*INDEX([1]SETUP!$E$21:$E$35,[1]SETUP!$U$28)+INDEX([1]SETUP!$F$21:$F$35,[1]SETUP!$U$28)))</f>
        <v>100</v>
      </c>
      <c r="O27" s="12" t="s">
        <v>38</v>
      </c>
      <c r="P27" s="12"/>
      <c r="Q27" s="12"/>
      <c r="R27" s="12"/>
      <c r="S27" s="36"/>
      <c r="T27" s="36"/>
      <c r="U27" s="36"/>
      <c r="V27" s="36"/>
    </row>
    <row r="28" spans="1:27" ht="16.05" customHeight="1">
      <c r="A28" s="27" t="str">
        <f>IF([1]SETUP!$B$13=11,IF([1]SETUP!$I$29=0,"",[1]SETUP!$I$29),[1]SETUP!$V$29)</f>
        <v>Creative Composition 2</v>
      </c>
      <c r="B28" s="27"/>
      <c r="C28" s="27"/>
      <c r="D28" s="27"/>
      <c r="E28" s="27"/>
      <c r="F28" s="27"/>
      <c r="G28" s="27"/>
      <c r="H28" s="28" t="str">
        <f>IF($A28="","",IF([1]SETUP!$B$13=11,IF([1]SETUP!$H$29=0,"",IF(INDEX([1]SETUP!$D$21:$D$35,[1]SETUP!$H$29)=0,"",IFERROR(IF(INDEX('[1]TERM 1'!$F$6:$T$65,MATCH('[1]PRINT CONTROL'!$B$4,'[1]TERM 1'!$B$6:$B$65,0),[1]SETUP!$H$29)=0,"",INDEX('[1]TERM 1'!$F$6:$T$65,MATCH('[1]PRINT CONTROL'!$B$4,'[1]TERM 1'!$B$6:$B$65,0),[1]SETUP!$H$29)),""))),IF(INDEX([1]SETUP!$D$21:$D$35,[1]SETUP!$U$29)=0,"",IFERROR(IF(INDEX('[1]TERM 1'!$F$6:$T$65,MATCH('[1]PRINT CONTROL'!$B$4,'[1]TERM 1'!$B$6:$B$65,0),[1]SETUP!$U$29)=0,"",INDEX('[1]TERM 1'!$F$6:$T$65,MATCH('[1]PRINT CONTROL'!$B$4,'[1]TERM 1'!$B$6:$B$65,0),[1]SETUP!$U$29)),""))))</f>
        <v/>
      </c>
      <c r="I28" s="28">
        <f>IF($A28="","",IF([1]SETUP!$B$13=11,IF([1]SETUP!$H$29=0,"",IF(INDEX([1]SETUP!$E$21:$E$35,[1]SETUP!$H$29)=0,"",IFERROR(IF(INDEX('[1]TERM 2'!$F$6:$T$65,MATCH('[1]PRINT CONTROL'!$B$4,'[1]TERM 2'!$B$6:$B$65,0),[1]SETUP!$H$29)=0,"",INDEX('[1]TERM 2'!$F$6:$T$65,MATCH('[1]PRINT CONTROL'!$B$4,'[1]TERM 2'!$B$6:$B$65,0),[1]SETUP!$H$29)),""))),IF(INDEX([1]SETUP!$E$21:$E$35,[1]SETUP!$U$29)=0,"",IFERROR(IF(INDEX('[1]TERM 2'!$F$6:$T$65,MATCH('[1]PRINT CONTROL'!$B$4,'[1]TERM 2'!$B$6:$B$65,0),[1]SETUP!$U$29)=0,"",INDEX('[1]TERM 2'!$F$6:$T$65,MATCH('[1]PRINT CONTROL'!$B$4,'[1]TERM 2'!$B$6:$B$65,0),[1]SETUP!$U$29)),""))))</f>
        <v>90</v>
      </c>
      <c r="J28" s="28" t="str">
        <f>IF($A28="","",IF([1]SETUP!$B$13=11,IF([1]SETUP!$H$29=0,"",IF(INDEX([1]SETUP!$F$21:$F$35,[1]SETUP!$H$29)=0,"",IFERROR(IF(INDEX('[1]TERM 3'!$F$6:$T$65,MATCH('[1]PRINT CONTROL'!$B$4,'[1]TERM 3'!$B$6:$B$65,0),[1]SETUP!$H$29)=0,"",INDEX('[1]TERM 3'!$F$6:$T$65,MATCH('[1]PRINT CONTROL'!$B$4,'[1]TERM 3'!$B$6:$B$65,0),[1]SETUP!$H$29)),""))),IF(INDEX([1]SETUP!$F$21:$F$35,[1]SETUP!$U$29)=0,"",IFERROR(IF(INDEX('[1]TERM 3'!$F$6:$T$65,MATCH('[1]PRINT CONTROL'!$B$4,'[1]TERM 3'!$B$6:$B$65,0),[1]SETUP!$U$29)=0,"",INDEX('[1]TERM 3'!$F$6:$T$65,MATCH('[1]PRINT CONTROL'!$B$4,'[1]TERM 3'!$B$6:$B$65,0),[1]SETUP!$U$29)),""))))</f>
        <v/>
      </c>
      <c r="K28" s="29">
        <f t="shared" si="2"/>
        <v>90</v>
      </c>
      <c r="L28" s="30" t="str">
        <f t="shared" si="1"/>
        <v>PASSED</v>
      </c>
      <c r="M28" s="30"/>
      <c r="N28" s="31">
        <f>IF($A28="","",IF([1]SETUP!$B$13=11,IF([1]SETUP!$H$29=0,111,100*INDEX([1]SETUP!$D$21:$D$35,[1]SETUP!$H$29)+10*INDEX([1]SETUP!$E$21:$E$35,[1]SETUP!$H$29)+INDEX([1]SETUP!$F$21:$F$35,[1]SETUP!$H$29)),100*INDEX([1]SETUP!$D$21:$D$35,[1]SETUP!$U$29)+10*INDEX([1]SETUP!$E$21:$E$35,[1]SETUP!$U$29)+INDEX([1]SETUP!$F$21:$F$35,[1]SETUP!$U$29)))</f>
        <v>10</v>
      </c>
      <c r="O28" s="37" t="s">
        <v>39</v>
      </c>
      <c r="P28" s="37"/>
      <c r="Q28" s="37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6.05" customHeight="1">
      <c r="A29" s="27" t="str">
        <f>IF([1]SETUP!$B$13=11,IF([1]SETUP!$I$30=0,"",[1]SETUP!$I$30),[1]SETUP!$V$30)</f>
        <v>Wika at Komunikasyon sa Akademikong Filipino</v>
      </c>
      <c r="B29" s="27"/>
      <c r="C29" s="27"/>
      <c r="D29" s="27"/>
      <c r="E29" s="27"/>
      <c r="F29" s="27"/>
      <c r="G29" s="27"/>
      <c r="H29" s="28" t="str">
        <f>IF($A29="","",IF([1]SETUP!$B$13=11,IF([1]SETUP!$H$30=0,"",IF(INDEX([1]SETUP!$D$21:$D$35,[1]SETUP!$H$30)=0,"",IFERROR(IF(INDEX('[1]TERM 1'!$F$6:$T$65,MATCH('[1]PRINT CONTROL'!$B$4,'[1]TERM 1'!$B$6:$B$65,0),[1]SETUP!$H$30)=0,"",INDEX('[1]TERM 1'!$F$6:$T$65,MATCH('[1]PRINT CONTROL'!$B$4,'[1]TERM 1'!$B$6:$B$65,0),[1]SETUP!$H$30)),""))),IF(INDEX([1]SETUP!$D$21:$D$35,[1]SETUP!$U$30)=0,"",IFERROR(IF(INDEX('[1]TERM 1'!$F$6:$T$65,MATCH('[1]PRINT CONTROL'!$B$4,'[1]TERM 1'!$B$6:$B$65,0),[1]SETUP!$U$30)=0,"",INDEX('[1]TERM 1'!$F$6:$T$65,MATCH('[1]PRINT CONTROL'!$B$4,'[1]TERM 1'!$B$6:$B$65,0),[1]SETUP!$U$30)),""))))</f>
        <v/>
      </c>
      <c r="I29" s="28" t="str">
        <f>IF($A29="","",IF([1]SETUP!$B$13=11,IF([1]SETUP!$H$30=0,"",IF(INDEX([1]SETUP!$E$21:$E$35,[1]SETUP!$H$30)=0,"",IFERROR(IF(INDEX('[1]TERM 2'!$F$6:$T$65,MATCH('[1]PRINT CONTROL'!$B$4,'[1]TERM 2'!$B$6:$B$65,0),[1]SETUP!$H$30)=0,"",INDEX('[1]TERM 2'!$F$6:$T$65,MATCH('[1]PRINT CONTROL'!$B$4,'[1]TERM 2'!$B$6:$B$65,0),[1]SETUP!$H$30)),""))),IF(INDEX([1]SETUP!$E$21:$E$35,[1]SETUP!$U$30)=0,"",IFERROR(IF(INDEX('[1]TERM 2'!$F$6:$T$65,MATCH('[1]PRINT CONTROL'!$B$4,'[1]TERM 2'!$B$6:$B$65,0),[1]SETUP!$U$30)=0,"",INDEX('[1]TERM 2'!$F$6:$T$65,MATCH('[1]PRINT CONTROL'!$B$4,'[1]TERM 2'!$B$6:$B$65,0),[1]SETUP!$U$30)),""))))</f>
        <v/>
      </c>
      <c r="J29" s="28">
        <f>IF($A29="","",IF([1]SETUP!$B$13=11,IF([1]SETUP!$H$30=0,"",IF(INDEX([1]SETUP!$F$21:$F$35,[1]SETUP!$H$30)=0,"",IFERROR(IF(INDEX('[1]TERM 3'!$F$6:$T$65,MATCH('[1]PRINT CONTROL'!$B$4,'[1]TERM 3'!$B$6:$B$65,0),[1]SETUP!$H$30)=0,"",INDEX('[1]TERM 3'!$F$6:$T$65,MATCH('[1]PRINT CONTROL'!$B$4,'[1]TERM 3'!$B$6:$B$65,0),[1]SETUP!$H$30)),""))),IF(INDEX([1]SETUP!$F$21:$F$35,[1]SETUP!$U$30)=0,"",IFERROR(IF(INDEX('[1]TERM 3'!$F$6:$T$65,MATCH('[1]PRINT CONTROL'!$B$4,'[1]TERM 3'!$B$6:$B$65,0),[1]SETUP!$U$30)=0,"",INDEX('[1]TERM 3'!$F$6:$T$65,MATCH('[1]PRINT CONTROL'!$B$4,'[1]TERM 3'!$B$6:$B$65,0),[1]SETUP!$U$30)),""))))</f>
        <v>90</v>
      </c>
      <c r="K29" s="29">
        <f t="shared" si="2"/>
        <v>90</v>
      </c>
      <c r="L29" s="30" t="str">
        <f t="shared" si="1"/>
        <v>PASSED</v>
      </c>
      <c r="M29" s="30"/>
      <c r="N29" s="31">
        <f>IF($A29="","",IF([1]SETUP!$B$13=11,IF([1]SETUP!$H$30=0,111,100*INDEX([1]SETUP!$D$21:$D$35,[1]SETUP!$H$30)+10*INDEX([1]SETUP!$E$21:$E$35,[1]SETUP!$H$30)+INDEX([1]SETUP!$F$21:$F$35,[1]SETUP!$H$30)),100*INDEX([1]SETUP!$D$21:$D$35,[1]SETUP!$U$30)+10*INDEX([1]SETUP!$E$21:$E$35,[1]SETUP!$U$30)+INDEX([1]SETUP!$F$21:$F$35,[1]SETUP!$U$30)))</f>
        <v>1</v>
      </c>
      <c r="U29" s="12"/>
      <c r="V29" s="33"/>
      <c r="W29" s="33"/>
      <c r="X29" s="33"/>
      <c r="Y29" s="33"/>
      <c r="Z29" s="33"/>
      <c r="AA29" s="33"/>
    </row>
    <row r="30" spans="1:27" ht="16.05" customHeight="1">
      <c r="A30" s="27" t="str">
        <f>IF([1]SETUP!$B$13=11,IF([1]SETUP!$I$31=0,"",[1]SETUP!$I$31),[1]SETUP!$V$31)</f>
        <v/>
      </c>
      <c r="B30" s="27"/>
      <c r="C30" s="27"/>
      <c r="D30" s="27"/>
      <c r="E30" s="27"/>
      <c r="F30" s="27"/>
      <c r="G30" s="27"/>
      <c r="H30" s="28" t="str">
        <f>IF($A30="","",IF([1]SETUP!$B$13=11,IF([1]SETUP!$H$31=0,"",IF(INDEX([1]SETUP!$D$21:$D$35,[1]SETUP!$H$31)=0,"",IFERROR(IF(INDEX('[1]TERM 1'!$F$6:$T$65,MATCH('[1]PRINT CONTROL'!$B$4,'[1]TERM 1'!$B$6:$B$65,0),[1]SETUP!$H$31)=0,"",INDEX('[1]TERM 1'!$F$6:$T$65,MATCH('[1]PRINT CONTROL'!$B$4,'[1]TERM 1'!$B$6:$B$65,0),[1]SETUP!$H$31)),""))),IF(INDEX([1]SETUP!$D$21:$D$35,[1]SETUP!$U$31)=0,"",IFERROR(IF(INDEX('[1]TERM 1'!$F$6:$T$65,MATCH('[1]PRINT CONTROL'!$B$4,'[1]TERM 1'!$B$6:$B$65,0),[1]SETUP!$U$31)=0,"",INDEX('[1]TERM 1'!$F$6:$T$65,MATCH('[1]PRINT CONTROL'!$B$4,'[1]TERM 1'!$B$6:$B$65,0),[1]SETUP!$U$31)),""))))</f>
        <v/>
      </c>
      <c r="I30" s="28" t="str">
        <f>IF($A30="","",IF([1]SETUP!$B$13=11,IF([1]SETUP!$H$31=0,"",IF(INDEX([1]SETUP!$E$21:$E$35,[1]SETUP!$H$31)=0,"",IFERROR(IF(INDEX('[1]TERM 2'!$F$6:$T$65,MATCH('[1]PRINT CONTROL'!$B$4,'[1]TERM 2'!$B$6:$B$65,0),[1]SETUP!$H$31)=0,"",INDEX('[1]TERM 2'!$F$6:$T$65,MATCH('[1]PRINT CONTROL'!$B$4,'[1]TERM 2'!$B$6:$B$65,0),[1]SETUP!$H$31)),""))),IF(INDEX([1]SETUP!$E$21:$E$35,[1]SETUP!$U$31)=0,"",IFERROR(IF(INDEX('[1]TERM 2'!$F$6:$T$65,MATCH('[1]PRINT CONTROL'!$B$4,'[1]TERM 2'!$B$6:$B$65,0),[1]SETUP!$U$31)=0,"",INDEX('[1]TERM 2'!$F$6:$T$65,MATCH('[1]PRINT CONTROL'!$B$4,'[1]TERM 2'!$B$6:$B$65,0),[1]SETUP!$U$31)),""))))</f>
        <v/>
      </c>
      <c r="J30" s="28" t="str">
        <f>IF($A30="","",IF([1]SETUP!$B$13=11,IF([1]SETUP!$H$31=0,"",IF(INDEX([1]SETUP!$F$21:$F$35,[1]SETUP!$H$31)=0,"",IFERROR(IF(INDEX('[1]TERM 3'!$F$6:$T$65,MATCH('[1]PRINT CONTROL'!$B$4,'[1]TERM 3'!$B$6:$B$65,0),[1]SETUP!$H$31)=0,"",INDEX('[1]TERM 3'!$F$6:$T$65,MATCH('[1]PRINT CONTROL'!$B$4,'[1]TERM 3'!$B$6:$B$65,0),[1]SETUP!$H$31)),""))),IF(INDEX([1]SETUP!$F$21:$F$35,[1]SETUP!$U$31)=0,"",IFERROR(IF(INDEX('[1]TERM 3'!$F$6:$T$65,MATCH('[1]PRINT CONTROL'!$B$4,'[1]TERM 3'!$B$6:$B$65,0),[1]SETUP!$U$31)=0,"",INDEX('[1]TERM 3'!$F$6:$T$65,MATCH('[1]PRINT CONTROL'!$B$4,'[1]TERM 3'!$B$6:$B$65,0),[1]SETUP!$U$31)),""))))</f>
        <v/>
      </c>
      <c r="K30" s="29" t="str">
        <f t="shared" si="2"/>
        <v/>
      </c>
      <c r="L30" s="30" t="str">
        <f t="shared" si="1"/>
        <v/>
      </c>
      <c r="M30" s="30"/>
      <c r="N30" s="31" t="str">
        <f>IF($A30="","",IF([1]SETUP!$B$13=11,IF([1]SETUP!$H$31=0,111,100*INDEX([1]SETUP!$D$21:$D$35,[1]SETUP!$H$31)+10*INDEX([1]SETUP!$E$21:$E$35,[1]SETUP!$H$31)+INDEX([1]SETUP!$F$21:$F$35,[1]SETUP!$H$31)),100*INDEX([1]SETUP!$D$21:$D$35,[1]SETUP!$U$31)+10*INDEX([1]SETUP!$E$21:$E$35,[1]SETUP!$U$31)+INDEX([1]SETUP!$F$21:$F$35,[1]SETUP!$U$31)))</f>
        <v/>
      </c>
      <c r="U30" s="38"/>
      <c r="V30" s="24" t="s">
        <v>40</v>
      </c>
      <c r="W30" s="24"/>
      <c r="X30" s="24"/>
      <c r="Y30" s="24"/>
      <c r="Z30" s="24"/>
      <c r="AA30" s="24"/>
    </row>
    <row r="31" spans="1:27" ht="15.6" customHeight="1">
      <c r="A31" s="27" t="str">
        <f>IF([1]SETUP!$B$13=11,IF([1]SETUP!$I$32=0,"",[1]SETUP!$I$32),[1]SETUP!$V$32)</f>
        <v/>
      </c>
      <c r="B31" s="27"/>
      <c r="C31" s="27"/>
      <c r="D31" s="27"/>
      <c r="E31" s="27"/>
      <c r="F31" s="27"/>
      <c r="G31" s="27"/>
      <c r="H31" s="28" t="str">
        <f>IF($A31="","",IF([1]SETUP!$B$13=11,IF([1]SETUP!$H$32=0,"",IF(INDEX([1]SETUP!$D$21:$D$35,[1]SETUP!$H$32)=0,"",IFERROR(IF(INDEX('[1]TERM 1'!$F$6:$T$65,MATCH('[1]PRINT CONTROL'!$B$4,'[1]TERM 1'!$B$6:$B$65,0),[1]SETUP!$H$32)=0,"",INDEX('[1]TERM 1'!$F$6:$T$65,MATCH('[1]PRINT CONTROL'!$B$4,'[1]TERM 1'!$B$6:$B$65,0),[1]SETUP!$H$32)),""))),IF(INDEX([1]SETUP!$D$21:$D$35,[1]SETUP!$U$32)=0,"",IFERROR(IF(INDEX('[1]TERM 1'!$F$6:$T$65,MATCH('[1]PRINT CONTROL'!$B$4,'[1]TERM 1'!$B$6:$B$65,0),[1]SETUP!$U$32)=0,"",INDEX('[1]TERM 1'!$F$6:$T$65,MATCH('[1]PRINT CONTROL'!$B$4,'[1]TERM 1'!$B$6:$B$65,0),[1]SETUP!$U$32)),""))))</f>
        <v/>
      </c>
      <c r="I31" s="28" t="str">
        <f>IF($A31="","",IF([1]SETUP!$B$13=11,IF([1]SETUP!$H$32=0,"",IF(INDEX([1]SETUP!$E$21:$E$35,[1]SETUP!$H$32)=0,"",IFERROR(IF(INDEX('[1]TERM 2'!$F$6:$T$65,MATCH('[1]PRINT CONTROL'!$B$4,'[1]TERM 2'!$B$6:$B$65,0),[1]SETUP!$H$32)=0,"",INDEX('[1]TERM 2'!$F$6:$T$65,MATCH('[1]PRINT CONTROL'!$B$4,'[1]TERM 2'!$B$6:$B$65,0),[1]SETUP!$H$32)),""))),IF(INDEX([1]SETUP!$E$21:$E$35,[1]SETUP!$U$32)=0,"",IFERROR(IF(INDEX('[1]TERM 2'!$F$6:$T$65,MATCH('[1]PRINT CONTROL'!$B$4,'[1]TERM 2'!$B$6:$B$65,0),[1]SETUP!$U$32)=0,"",INDEX('[1]TERM 2'!$F$6:$T$65,MATCH('[1]PRINT CONTROL'!$B$4,'[1]TERM 2'!$B$6:$B$65,0),[1]SETUP!$U$32)),""))))</f>
        <v/>
      </c>
      <c r="J31" s="28" t="str">
        <f>IF($A31="","",IF([1]SETUP!$B$13=11,IF([1]SETUP!$H$32=0,"",IF(INDEX([1]SETUP!$F$21:$F$35,[1]SETUP!$H$32)=0,"",IFERROR(IF(INDEX('[1]TERM 3'!$F$6:$T$65,MATCH('[1]PRINT CONTROL'!$B$4,'[1]TERM 3'!$B$6:$B$65,0),[1]SETUP!$H$32)=0,"",INDEX('[1]TERM 3'!$F$6:$T$65,MATCH('[1]PRINT CONTROL'!$B$4,'[1]TERM 3'!$B$6:$B$65,0),[1]SETUP!$H$32)),""))),IF(INDEX([1]SETUP!$F$21:$F$35,[1]SETUP!$U$32)=0,"",IFERROR(IF(INDEX('[1]TERM 3'!$F$6:$T$65,MATCH('[1]PRINT CONTROL'!$B$4,'[1]TERM 3'!$B$6:$B$65,0),[1]SETUP!$U$32)=0,"",INDEX('[1]TERM 3'!$F$6:$T$65,MATCH('[1]PRINT CONTROL'!$B$4,'[1]TERM 3'!$B$6:$B$65,0),[1]SETUP!$U$32)),""))))</f>
        <v/>
      </c>
      <c r="K31" s="29" t="str">
        <f t="shared" si="2"/>
        <v/>
      </c>
      <c r="L31" s="30" t="str">
        <f t="shared" si="1"/>
        <v/>
      </c>
      <c r="M31" s="30"/>
      <c r="N31" s="31" t="str">
        <f>IF($A31="","",IF([1]SETUP!$B$13=11,IF([1]SETUP!$H$32=0,111,100*INDEX([1]SETUP!$D$21:$D$35,[1]SETUP!$H$32)+10*INDEX([1]SETUP!$E$21:$E$35,[1]SETUP!$H$32)+INDEX([1]SETUP!$F$21:$F$35,[1]SETUP!$H$32)),100*INDEX([1]SETUP!$D$21:$D$35,[1]SETUP!$U$32)+10*INDEX([1]SETUP!$E$21:$E$35,[1]SETUP!$U$32)+INDEX([1]SETUP!$F$21:$F$35,[1]SETUP!$U$32)))</f>
        <v/>
      </c>
      <c r="O31" s="36"/>
      <c r="P31" s="36"/>
      <c r="Q31" s="36"/>
      <c r="R31" s="36"/>
      <c r="S31" s="36"/>
      <c r="T31" s="36"/>
      <c r="U31" s="12"/>
      <c r="V31" s="12"/>
      <c r="W31" s="12"/>
      <c r="X31" s="12"/>
      <c r="Y31" s="12"/>
      <c r="Z31" s="12"/>
      <c r="AA31" s="12"/>
    </row>
    <row r="32" spans="1:27" ht="21" customHeight="1">
      <c r="A32" s="39" t="s">
        <v>41</v>
      </c>
      <c r="B32" s="39"/>
      <c r="C32" s="39"/>
      <c r="D32" s="39"/>
      <c r="E32" s="39"/>
      <c r="F32" s="39"/>
      <c r="G32" s="39"/>
      <c r="H32" s="40"/>
      <c r="I32" s="40"/>
      <c r="J32" s="40"/>
      <c r="K32" s="29">
        <f>IFERROR(IF(INDEX([1]SUMMARY!$G$4:$G$63,MATCH('[1]PRINT CONTROL'!$B$4,[1]SUMMARY!$B$4:$B$63,0))=0,"",INDEX([1]SUMMARY!$G$4:$G$63,MATCH('[1]PRINT CONTROL'!$B$4,[1]SUMMARY!$B$4:$B$63,0))),"")</f>
        <v>91</v>
      </c>
      <c r="L32" s="16" t="str">
        <f>IFERROR(IF(INDEX([1]SUMMARY!$K$4:$K$63,MATCH('[1]PRINT CONTROL'!$B$4,[1]SUMMARY!$B$4:$B$63,0))&lt;&gt;"COMPLETE","",IF(INDEX([1]SUMMARY!$I$4:$I$63,MATCH('[1]PRINT CONTROL'!$B$4,[1]SUMMARY!$B$4:$B$63,0))=0,"PASSED","WITH DEFICIENCY")),"")</f>
        <v>PASSED</v>
      </c>
      <c r="M32" s="16"/>
      <c r="O32" s="41" t="s">
        <v>42</v>
      </c>
      <c r="P32" s="41"/>
      <c r="Q32" s="41"/>
      <c r="R32" s="41"/>
      <c r="S32" s="41"/>
      <c r="T32" s="41"/>
    </row>
    <row r="33" spans="1:27" ht="12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27" ht="12.6" customHeight="1">
      <c r="O34" s="15" t="s">
        <v>43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9.6" customHeight="1"/>
    <row r="36" spans="1:27" ht="15" customHeight="1">
      <c r="A36" s="42" t="s">
        <v>44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O36" s="43" t="s">
        <v>45</v>
      </c>
      <c r="P36" s="35"/>
      <c r="Q36" s="35"/>
      <c r="R36" s="35"/>
      <c r="S36" s="35"/>
      <c r="T36" s="35"/>
      <c r="U36" s="12"/>
      <c r="V36" s="12"/>
      <c r="W36" s="12"/>
      <c r="X36" s="44" t="s">
        <v>46</v>
      </c>
      <c r="Y36" s="35"/>
      <c r="Z36" s="35"/>
      <c r="AA36" s="35"/>
    </row>
    <row r="37" spans="1:27" ht="15" customHeight="1">
      <c r="A37" s="45" t="s">
        <v>47</v>
      </c>
      <c r="B37" s="45"/>
      <c r="C37" s="45"/>
      <c r="D37" s="45"/>
      <c r="E37" s="45" t="s">
        <v>48</v>
      </c>
      <c r="F37" s="45"/>
      <c r="G37" s="45"/>
      <c r="H37" s="45"/>
      <c r="I37" s="45"/>
      <c r="J37" s="45" t="s">
        <v>49</v>
      </c>
      <c r="K37" s="45"/>
      <c r="L37" s="45"/>
      <c r="M37" s="45"/>
      <c r="U37" s="12"/>
      <c r="V37" s="12"/>
      <c r="W37" s="12"/>
      <c r="X37" s="12"/>
      <c r="Y37" s="12"/>
      <c r="Z37" s="12"/>
      <c r="AA37" s="12"/>
    </row>
    <row r="38" spans="1:27" ht="15" customHeight="1">
      <c r="B38" s="38" t="s">
        <v>50</v>
      </c>
      <c r="C38" s="38"/>
      <c r="D38" s="38"/>
      <c r="E38" s="38"/>
      <c r="G38" s="38" t="s">
        <v>51</v>
      </c>
      <c r="H38" s="38"/>
      <c r="I38" s="38"/>
      <c r="J38" s="38"/>
      <c r="K38" s="38"/>
      <c r="L38" s="38" t="s">
        <v>52</v>
      </c>
      <c r="M38" s="38"/>
      <c r="U38" s="38"/>
      <c r="V38" s="38"/>
      <c r="W38" s="38"/>
      <c r="X38" s="38"/>
      <c r="Y38" s="12"/>
      <c r="Z38" s="12"/>
      <c r="AA38" s="12"/>
    </row>
    <row r="39" spans="1:27" ht="15" customHeight="1">
      <c r="B39" s="38" t="s">
        <v>53</v>
      </c>
      <c r="C39" s="38"/>
      <c r="D39" s="38"/>
      <c r="E39" s="38"/>
      <c r="G39" s="38" t="s">
        <v>54</v>
      </c>
      <c r="H39" s="38"/>
      <c r="I39" s="38"/>
      <c r="J39" s="38"/>
      <c r="K39" s="38"/>
      <c r="L39" s="38" t="s">
        <v>52</v>
      </c>
      <c r="M39" s="38"/>
      <c r="O39" s="35"/>
      <c r="P39" s="35"/>
      <c r="Q39" s="35"/>
      <c r="R39" s="35"/>
      <c r="S39" s="35"/>
      <c r="T39" s="35"/>
      <c r="U39" s="12"/>
      <c r="V39" s="12"/>
      <c r="W39" s="12"/>
      <c r="X39" s="12"/>
      <c r="Y39" s="12"/>
      <c r="Z39" s="12"/>
      <c r="AA39" s="12"/>
    </row>
    <row r="40" spans="1:27" ht="15" customHeight="1">
      <c r="B40" s="38" t="s">
        <v>55</v>
      </c>
      <c r="C40" s="38"/>
      <c r="D40" s="38"/>
      <c r="E40" s="38"/>
      <c r="G40" s="38" t="s">
        <v>56</v>
      </c>
      <c r="H40" s="38"/>
      <c r="I40" s="38"/>
      <c r="J40" s="38"/>
      <c r="K40" s="38"/>
      <c r="L40" s="38" t="s">
        <v>52</v>
      </c>
      <c r="M40" s="38"/>
      <c r="O40" s="46" t="s">
        <v>42</v>
      </c>
      <c r="P40" s="46"/>
      <c r="Q40" s="46"/>
      <c r="R40" s="46"/>
      <c r="S40" s="46"/>
      <c r="T40" s="46"/>
      <c r="U40" s="12"/>
      <c r="V40" s="12"/>
      <c r="W40" s="12"/>
      <c r="X40" s="12"/>
      <c r="Y40" s="12"/>
      <c r="Z40" s="12"/>
      <c r="AA40" s="12"/>
    </row>
    <row r="41" spans="1:27">
      <c r="B41" s="38" t="s">
        <v>57</v>
      </c>
      <c r="C41" s="38"/>
      <c r="D41" s="38"/>
      <c r="E41" s="38"/>
      <c r="G41" s="38" t="s">
        <v>58</v>
      </c>
      <c r="H41" s="38"/>
      <c r="I41" s="38"/>
      <c r="J41" s="38"/>
      <c r="K41" s="38"/>
      <c r="L41" s="38" t="s">
        <v>59</v>
      </c>
      <c r="M41" s="38"/>
    </row>
    <row r="42" spans="1:27">
      <c r="B42" s="38" t="s">
        <v>60</v>
      </c>
      <c r="C42" s="38"/>
      <c r="D42" s="38"/>
      <c r="E42" s="38"/>
      <c r="G42" s="38" t="s">
        <v>61</v>
      </c>
      <c r="H42" s="38"/>
      <c r="I42" s="38"/>
      <c r="J42" s="38"/>
      <c r="K42" s="38"/>
      <c r="L42" s="38" t="s">
        <v>59</v>
      </c>
      <c r="M42" s="38"/>
    </row>
  </sheetData>
  <mergeCells count="83">
    <mergeCell ref="A37:D37"/>
    <mergeCell ref="E37:I37"/>
    <mergeCell ref="J37:M37"/>
    <mergeCell ref="O39:T39"/>
    <mergeCell ref="O40:T40"/>
    <mergeCell ref="A32:J32"/>
    <mergeCell ref="L32:M32"/>
    <mergeCell ref="O32:T32"/>
    <mergeCell ref="O34:AA34"/>
    <mergeCell ref="A36:M36"/>
    <mergeCell ref="P36:T36"/>
    <mergeCell ref="Y36:AA36"/>
    <mergeCell ref="A30:G30"/>
    <mergeCell ref="L30:M30"/>
    <mergeCell ref="V30:AA30"/>
    <mergeCell ref="A31:G31"/>
    <mergeCell ref="L31:M31"/>
    <mergeCell ref="O31:T31"/>
    <mergeCell ref="A28:G28"/>
    <mergeCell ref="L28:M28"/>
    <mergeCell ref="O28:Q28"/>
    <mergeCell ref="A29:G29"/>
    <mergeCell ref="L29:M29"/>
    <mergeCell ref="V29:AA29"/>
    <mergeCell ref="A26:G26"/>
    <mergeCell ref="L26:M26"/>
    <mergeCell ref="Q26:T26"/>
    <mergeCell ref="A27:G27"/>
    <mergeCell ref="L27:M27"/>
    <mergeCell ref="S27:V27"/>
    <mergeCell ref="A23:G23"/>
    <mergeCell ref="L23:M23"/>
    <mergeCell ref="A24:G24"/>
    <mergeCell ref="L24:M24"/>
    <mergeCell ref="O24:AA24"/>
    <mergeCell ref="A25:G25"/>
    <mergeCell ref="L25:M25"/>
    <mergeCell ref="O25:AA25"/>
    <mergeCell ref="A21:G21"/>
    <mergeCell ref="L21:M21"/>
    <mergeCell ref="O21:Q21"/>
    <mergeCell ref="R21:AA21"/>
    <mergeCell ref="A22:G22"/>
    <mergeCell ref="L22:M22"/>
    <mergeCell ref="O22:Q22"/>
    <mergeCell ref="R22:AA22"/>
    <mergeCell ref="A18:G19"/>
    <mergeCell ref="H18:J18"/>
    <mergeCell ref="K18:K19"/>
    <mergeCell ref="L18:M19"/>
    <mergeCell ref="O19:AA19"/>
    <mergeCell ref="A20:G20"/>
    <mergeCell ref="L20:M20"/>
    <mergeCell ref="O20:Q20"/>
    <mergeCell ref="R20:AA20"/>
    <mergeCell ref="R12:AA14"/>
    <mergeCell ref="A14:M14"/>
    <mergeCell ref="A15:M15"/>
    <mergeCell ref="O15:Q17"/>
    <mergeCell ref="R15:AA17"/>
    <mergeCell ref="A17:M17"/>
    <mergeCell ref="L10:M10"/>
    <mergeCell ref="B11:G11"/>
    <mergeCell ref="I11:J11"/>
    <mergeCell ref="L11:M11"/>
    <mergeCell ref="B12:J12"/>
    <mergeCell ref="O12:Q14"/>
    <mergeCell ref="A6:M6"/>
    <mergeCell ref="A7:M7"/>
    <mergeCell ref="A8:M8"/>
    <mergeCell ref="O8:AA8"/>
    <mergeCell ref="F9:G9"/>
    <mergeCell ref="H9:I9"/>
    <mergeCell ref="O9:Q11"/>
    <mergeCell ref="R9:AA11"/>
    <mergeCell ref="B10:G10"/>
    <mergeCell ref="I10:J10"/>
    <mergeCell ref="A1:M1"/>
    <mergeCell ref="A2:M2"/>
    <mergeCell ref="O2:AA2"/>
    <mergeCell ref="A3:M3"/>
    <mergeCell ref="A4:M4"/>
    <mergeCell ref="A5:M5"/>
  </mergeCells>
  <conditionalFormatting sqref="H20:H31">
    <cfRule type="expression" dxfId="2" priority="1">
      <formula>AND($A20&lt;&gt;"",INT($N20/100)=0)</formula>
    </cfRule>
  </conditionalFormatting>
  <conditionalFormatting sqref="I20:I31">
    <cfRule type="expression" dxfId="1" priority="2">
      <formula>AND($A20&lt;&gt;"",MOD(INT($N20/10),10)=0)</formula>
    </cfRule>
  </conditionalFormatting>
  <conditionalFormatting sqref="J20:J31">
    <cfRule type="expression" dxfId="0" priority="3">
      <formula>AND($A20&lt;&gt;"",MOD($N20,10)=0)</formula>
    </cfRule>
  </conditionalFormatting>
  <dataValidations count="1">
    <dataValidation type="whole" sqref="H20:J31" xr:uid="{EDBAC3D7-093D-4A3C-81D2-2F73D05687B9}">
      <formula1>0</formula1>
      <formula2>100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 LAINE LIWAG</dc:creator>
  <cp:lastModifiedBy>DENNY LAINE LIWAG</cp:lastModifiedBy>
  <dcterms:created xsi:type="dcterms:W3CDTF">2026-08-10T02:30:30Z</dcterms:created>
  <dcterms:modified xsi:type="dcterms:W3CDTF">2026-08-10T02:34:26Z</dcterms:modified>
</cp:coreProperties>
</file>