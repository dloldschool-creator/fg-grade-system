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epedph-my.sharepoint.com/personal/denny_liwag_deped_gov_ph/Documents/Documents/FGNMHS/ICT Coor/2026-2027/FG-Grade-System-webapp/sf-templates/"/>
    </mc:Choice>
  </mc:AlternateContent>
  <xr:revisionPtr revIDLastSave="4" documentId="8_{DDD3D376-4790-4D3C-A3C5-AA96FCECB56A}" xr6:coauthVersionLast="47" xr6:coauthVersionMax="47" xr10:uidLastSave="{4C965E12-48E9-43C6-A249-FF158A57CEC7}"/>
  <bookViews>
    <workbookView xWindow="-108" yWindow="-108" windowWidth="23256" windowHeight="12456" xr2:uid="{106AC608-A687-44A1-AED2-895F47801BE6}"/>
  </bookViews>
  <sheets>
    <sheet name="SF2"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K111" i="1" l="1"/>
  <c r="BJ107" i="1"/>
  <c r="AD12" i="1"/>
  <c r="I12" i="1"/>
  <c r="BN11" i="1"/>
  <c r="AN8" i="1"/>
  <c r="U8" i="1"/>
  <c r="BC7" i="1"/>
  <c r="I7" i="1"/>
  <c r="BV5" i="1"/>
  <c r="BH5" i="1"/>
  <c r="AQ5" i="1"/>
  <c r="Y5" i="1"/>
  <c r="I5" i="1"/>
  <c r="CC3" i="1"/>
  <c r="BW95" i="1" l="1"/>
  <c r="BU95" i="1"/>
  <c r="BW101" i="1"/>
  <c r="BW92" i="1"/>
  <c r="BI71" i="1"/>
  <c r="BU101" i="1"/>
  <c r="BU92" i="1"/>
  <c r="BW100" i="1"/>
  <c r="BU100" i="1"/>
  <c r="BW98" i="1"/>
  <c r="BW77" i="1"/>
  <c r="BU98" i="1"/>
  <c r="BX98" i="1" s="1"/>
  <c r="BU77" i="1"/>
  <c r="BX100" i="1" l="1"/>
  <c r="BX92" i="1"/>
  <c r="BX101" i="1"/>
  <c r="Z14" i="1"/>
  <c r="BB14" i="1"/>
  <c r="BX95" i="1"/>
  <c r="BE14" i="1"/>
  <c r="BE43" i="1" s="1" a="1"/>
  <c r="BE43" i="1" s="1"/>
  <c r="AI14" i="1"/>
  <c r="BI43" i="1"/>
  <c r="AW14" i="1"/>
  <c r="K14" i="1"/>
  <c r="BI69" i="1"/>
  <c r="AA14" i="1"/>
  <c r="BD14" i="1"/>
  <c r="BD43" i="1" s="1" a="1"/>
  <c r="BD43" i="1" s="1"/>
  <c r="AV14" i="1"/>
  <c r="AH14" i="1"/>
  <c r="AR14" i="1"/>
  <c r="S14" i="1"/>
  <c r="AE14" i="1"/>
  <c r="AY14" i="1"/>
  <c r="BU82" i="1"/>
  <c r="AU14" i="1"/>
  <c r="AN14" i="1"/>
  <c r="AB14" i="1"/>
  <c r="BU89" i="1"/>
  <c r="BO71" i="1"/>
  <c r="W14" i="1"/>
  <c r="AP14" i="1"/>
  <c r="N14" i="1"/>
  <c r="AS14" i="1"/>
  <c r="O14" i="1"/>
  <c r="AL14" i="1"/>
  <c r="BX77" i="1"/>
  <c r="BW82" i="1"/>
  <c r="V14" i="1"/>
  <c r="M14" i="1"/>
  <c r="BW89" i="1"/>
  <c r="AN43" i="1" l="1" a="1"/>
  <c r="AN43" i="1" s="1"/>
  <c r="AA43" i="1" a="1"/>
  <c r="AA43" i="1" s="1"/>
  <c r="M43" i="1" a="1"/>
  <c r="M43" i="1" s="1"/>
  <c r="AB43" i="1" a="1"/>
  <c r="AB43" i="1" s="1"/>
  <c r="K43" i="1" a="1"/>
  <c r="K43" i="1" s="1"/>
  <c r="AU43" i="1" a="1"/>
  <c r="AU43" i="1" s="1"/>
  <c r="AW43" i="1" a="1"/>
  <c r="AW43" i="1" s="1"/>
  <c r="V43" i="1" a="1"/>
  <c r="V43" i="1" s="1"/>
  <c r="AL43" i="1" a="1"/>
  <c r="AL43" i="1" s="1"/>
  <c r="AY43" i="1" a="1"/>
  <c r="AY43" i="1" s="1"/>
  <c r="AI43" i="1" a="1"/>
  <c r="AI43" i="1" s="1"/>
  <c r="O43" i="1" a="1"/>
  <c r="O43" i="1" s="1"/>
  <c r="AE43" i="1" a="1"/>
  <c r="AE43" i="1" s="1"/>
  <c r="AS43" i="1" a="1"/>
  <c r="AS43" i="1" s="1"/>
  <c r="S43" i="1" a="1"/>
  <c r="S43" i="1" s="1"/>
  <c r="N43" i="1" a="1"/>
  <c r="N43" i="1" s="1"/>
  <c r="AR43" i="1" a="1"/>
  <c r="AR43" i="1" s="1"/>
  <c r="BB17" i="1"/>
  <c r="BB43" i="1" a="1"/>
  <c r="BB43" i="1" s="1"/>
  <c r="AP43" i="1" a="1"/>
  <c r="AP43" i="1" s="1"/>
  <c r="AH43" i="1" a="1"/>
  <c r="AH43" i="1" s="1"/>
  <c r="Z17" i="1"/>
  <c r="Z43" i="1" a="1"/>
  <c r="Z43" i="1" s="1"/>
  <c r="W43" i="1" a="1"/>
  <c r="W43" i="1" s="1"/>
  <c r="AV43" i="1" a="1"/>
  <c r="AV43" i="1" s="1"/>
  <c r="CC28" i="1"/>
  <c r="BI28" i="1" s="1"/>
  <c r="BX89" i="1"/>
  <c r="BI70" i="1"/>
  <c r="CC30" i="1"/>
  <c r="BB16" i="1"/>
  <c r="CC44" i="1"/>
  <c r="BB69" i="1"/>
  <c r="Z16" i="1"/>
  <c r="CC52" i="1"/>
  <c r="CC39" i="1"/>
  <c r="BI44" i="1"/>
  <c r="V69" i="1"/>
  <c r="V17" i="1"/>
  <c r="V16" i="1"/>
  <c r="CC57" i="1"/>
  <c r="AN69" i="1"/>
  <c r="AN16" i="1"/>
  <c r="AN17" i="1"/>
  <c r="AE69" i="1"/>
  <c r="AE17" i="1"/>
  <c r="AE16" i="1"/>
  <c r="CC38" i="1"/>
  <c r="AW69" i="1"/>
  <c r="AW70" i="1" s="1"/>
  <c r="AW17" i="1"/>
  <c r="AW16" i="1"/>
  <c r="BU74" i="1"/>
  <c r="BU84" i="1" s="1"/>
  <c r="CC22" i="1"/>
  <c r="CC68" i="1"/>
  <c r="AU69" i="1"/>
  <c r="AU17" i="1"/>
  <c r="AU16" i="1"/>
  <c r="CC21" i="1"/>
  <c r="CC56" i="1"/>
  <c r="CC65" i="1"/>
  <c r="BD70" i="1"/>
  <c r="BD69" i="1"/>
  <c r="BD17" i="1"/>
  <c r="BD16" i="1"/>
  <c r="CC59" i="1"/>
  <c r="N69" i="1"/>
  <c r="N16" i="1"/>
  <c r="N17" i="1"/>
  <c r="CC53" i="1"/>
  <c r="AR69" i="1"/>
  <c r="AR17" i="1"/>
  <c r="AR16" i="1"/>
  <c r="CC27" i="1"/>
  <c r="S69" i="1"/>
  <c r="S17" i="1"/>
  <c r="S16" i="1"/>
  <c r="AP69" i="1"/>
  <c r="AP17" i="1"/>
  <c r="AP16" i="1"/>
  <c r="BX82" i="1"/>
  <c r="AH69" i="1"/>
  <c r="AH17" i="1"/>
  <c r="AH16" i="1"/>
  <c r="AA69" i="1"/>
  <c r="AA70" i="1" s="1"/>
  <c r="AA17" i="1"/>
  <c r="AA16" i="1"/>
  <c r="AI69" i="1"/>
  <c r="AI70" i="1" s="1"/>
  <c r="AI17" i="1"/>
  <c r="AI16" i="1"/>
  <c r="CC47" i="1"/>
  <c r="CC58" i="1"/>
  <c r="CC20" i="1"/>
  <c r="W69" i="1"/>
  <c r="W17" i="1"/>
  <c r="W16" i="1"/>
  <c r="CC64" i="1"/>
  <c r="CC32" i="1"/>
  <c r="CC31" i="1"/>
  <c r="CC41" i="1"/>
  <c r="CC46" i="1"/>
  <c r="CC26" i="1"/>
  <c r="AY69" i="1"/>
  <c r="AY17" i="1"/>
  <c r="AY16" i="1"/>
  <c r="CC49" i="1"/>
  <c r="CC67" i="1"/>
  <c r="CC18" i="1"/>
  <c r="BP28" i="1"/>
  <c r="CC61" i="1"/>
  <c r="AL69" i="1"/>
  <c r="AL17" i="1"/>
  <c r="AL16" i="1"/>
  <c r="CC19" i="1"/>
  <c r="CC42" i="1"/>
  <c r="O69" i="1"/>
  <c r="O17" i="1"/>
  <c r="O16" i="1"/>
  <c r="CC55" i="1"/>
  <c r="CC60" i="1"/>
  <c r="CC63" i="1"/>
  <c r="CC34" i="1"/>
  <c r="CC40" i="1"/>
  <c r="CC25" i="1"/>
  <c r="CC48" i="1"/>
  <c r="AS69" i="1"/>
  <c r="AS17" i="1"/>
  <c r="AS16" i="1"/>
  <c r="CC51" i="1"/>
  <c r="CC23" i="1"/>
  <c r="CC54" i="1"/>
  <c r="CC50" i="1"/>
  <c r="Z69" i="1"/>
  <c r="M69" i="1"/>
  <c r="M17" i="1"/>
  <c r="M16" i="1"/>
  <c r="CC24" i="1"/>
  <c r="CC66" i="1"/>
  <c r="AV69" i="1"/>
  <c r="AV17" i="1"/>
  <c r="AV16" i="1"/>
  <c r="K69" i="1"/>
  <c r="K17" i="1"/>
  <c r="K16" i="1"/>
  <c r="BE70" i="1"/>
  <c r="BE69" i="1"/>
  <c r="BE17" i="1"/>
  <c r="BE16" i="1"/>
  <c r="CC36" i="1"/>
  <c r="CC35" i="1"/>
  <c r="CC37" i="1"/>
  <c r="AB69" i="1"/>
  <c r="AB17" i="1"/>
  <c r="AB16" i="1"/>
  <c r="CC62" i="1"/>
  <c r="CC45" i="1"/>
  <c r="CC29" i="1"/>
  <c r="CC33" i="1"/>
  <c r="BW74" i="1"/>
  <c r="BW84" i="1" s="1"/>
  <c r="BL44" i="1"/>
  <c r="BL52" i="1"/>
  <c r="BL28" i="1"/>
  <c r="AH61" i="1" l="1"/>
  <c r="BD61" i="1"/>
  <c r="K61" i="1"/>
  <c r="AI61" i="1"/>
  <c r="BE61" i="1"/>
  <c r="M61" i="1"/>
  <c r="AL61" i="1"/>
  <c r="N61" i="1"/>
  <c r="AN61" i="1"/>
  <c r="O61" i="1"/>
  <c r="AP61" i="1"/>
  <c r="S61" i="1"/>
  <c r="AR61" i="1"/>
  <c r="V61" i="1"/>
  <c r="AS61" i="1"/>
  <c r="W61" i="1"/>
  <c r="AU61" i="1"/>
  <c r="Z61" i="1"/>
  <c r="AV61" i="1"/>
  <c r="AA61" i="1"/>
  <c r="AW61" i="1"/>
  <c r="AB61" i="1"/>
  <c r="AY61" i="1"/>
  <c r="AE61" i="1"/>
  <c r="BB61" i="1"/>
  <c r="AB63" i="1"/>
  <c r="AY63" i="1"/>
  <c r="AE63" i="1"/>
  <c r="BB63" i="1"/>
  <c r="AH63" i="1"/>
  <c r="BD63" i="1"/>
  <c r="K63" i="1"/>
  <c r="AI63" i="1"/>
  <c r="BE63" i="1"/>
  <c r="M63" i="1"/>
  <c r="AL63" i="1"/>
  <c r="N63" i="1"/>
  <c r="AN63" i="1"/>
  <c r="O63" i="1"/>
  <c r="AP63" i="1"/>
  <c r="S63" i="1"/>
  <c r="AR63" i="1"/>
  <c r="V63" i="1"/>
  <c r="AS63" i="1"/>
  <c r="W63" i="1"/>
  <c r="AU63" i="1"/>
  <c r="Z63" i="1"/>
  <c r="AV63" i="1"/>
  <c r="AA63" i="1"/>
  <c r="AW63" i="1"/>
  <c r="AA64" i="1"/>
  <c r="AW64" i="1"/>
  <c r="AB64" i="1"/>
  <c r="AY64" i="1"/>
  <c r="AE64" i="1"/>
  <c r="BB64" i="1"/>
  <c r="AH64" i="1"/>
  <c r="BD64" i="1"/>
  <c r="K64" i="1"/>
  <c r="AI64" i="1"/>
  <c r="BE64" i="1"/>
  <c r="M64" i="1"/>
  <c r="AL64" i="1"/>
  <c r="N64" i="1"/>
  <c r="AN64" i="1"/>
  <c r="O64" i="1"/>
  <c r="AP64" i="1"/>
  <c r="S64" i="1"/>
  <c r="AR64" i="1"/>
  <c r="V64" i="1"/>
  <c r="AS64" i="1"/>
  <c r="W64" i="1"/>
  <c r="AU64" i="1"/>
  <c r="Z64" i="1"/>
  <c r="AV64" i="1"/>
  <c r="Z65" i="1"/>
  <c r="AV65" i="1"/>
  <c r="AA65" i="1"/>
  <c r="AW65" i="1"/>
  <c r="AB65" i="1"/>
  <c r="AY65" i="1"/>
  <c r="AE65" i="1"/>
  <c r="BB65" i="1"/>
  <c r="AH65" i="1"/>
  <c r="BD65" i="1"/>
  <c r="K65" i="1"/>
  <c r="AI65" i="1"/>
  <c r="BE65" i="1"/>
  <c r="M65" i="1"/>
  <c r="AL65" i="1"/>
  <c r="N65" i="1"/>
  <c r="AN65" i="1"/>
  <c r="O65" i="1"/>
  <c r="AP65" i="1"/>
  <c r="S65" i="1"/>
  <c r="AR65" i="1"/>
  <c r="V65" i="1"/>
  <c r="AS65" i="1"/>
  <c r="W65" i="1"/>
  <c r="AU65" i="1"/>
  <c r="AE50" i="1"/>
  <c r="BB50" i="1"/>
  <c r="AH50" i="1"/>
  <c r="BD50" i="1"/>
  <c r="K50" i="1"/>
  <c r="AI50" i="1"/>
  <c r="BE50" i="1"/>
  <c r="M50" i="1"/>
  <c r="AL50" i="1"/>
  <c r="N50" i="1"/>
  <c r="AN50" i="1"/>
  <c r="O50" i="1"/>
  <c r="AP50" i="1"/>
  <c r="S50" i="1"/>
  <c r="AR50" i="1"/>
  <c r="V50" i="1"/>
  <c r="AS50" i="1"/>
  <c r="W50" i="1"/>
  <c r="AU50" i="1"/>
  <c r="Z50" i="1"/>
  <c r="AV50" i="1"/>
  <c r="AA50" i="1"/>
  <c r="AW50" i="1"/>
  <c r="AB50" i="1"/>
  <c r="AY50" i="1"/>
  <c r="K60" i="1"/>
  <c r="AI60" i="1"/>
  <c r="BE60" i="1"/>
  <c r="M60" i="1"/>
  <c r="AL60" i="1"/>
  <c r="N60" i="1"/>
  <c r="AN60" i="1"/>
  <c r="O60" i="1"/>
  <c r="AP60" i="1"/>
  <c r="S60" i="1"/>
  <c r="AR60" i="1"/>
  <c r="V60" i="1"/>
  <c r="AS60" i="1"/>
  <c r="W60" i="1"/>
  <c r="AU60" i="1"/>
  <c r="Z60" i="1"/>
  <c r="AV60" i="1"/>
  <c r="AA60" i="1"/>
  <c r="AW60" i="1"/>
  <c r="AB60" i="1"/>
  <c r="AY60" i="1"/>
  <c r="AE60" i="1"/>
  <c r="BB60" i="1"/>
  <c r="AH60" i="1"/>
  <c r="BD60" i="1"/>
  <c r="S56" i="1"/>
  <c r="AR56" i="1"/>
  <c r="V56" i="1"/>
  <c r="AS56" i="1"/>
  <c r="W56" i="1"/>
  <c r="AU56" i="1"/>
  <c r="Z56" i="1"/>
  <c r="AV56" i="1"/>
  <c r="AA56" i="1"/>
  <c r="AW56" i="1"/>
  <c r="AB56" i="1"/>
  <c r="AY56" i="1"/>
  <c r="AE56" i="1"/>
  <c r="BB56" i="1"/>
  <c r="AH56" i="1"/>
  <c r="BD56" i="1"/>
  <c r="K56" i="1"/>
  <c r="AI56" i="1"/>
  <c r="BE56" i="1"/>
  <c r="M56" i="1"/>
  <c r="AL56" i="1"/>
  <c r="N56" i="1"/>
  <c r="AN56" i="1"/>
  <c r="O56" i="1"/>
  <c r="AP56" i="1"/>
  <c r="AA52" i="1"/>
  <c r="AW52" i="1"/>
  <c r="AB52" i="1"/>
  <c r="AY52" i="1"/>
  <c r="AE52" i="1"/>
  <c r="BB52" i="1"/>
  <c r="AH52" i="1"/>
  <c r="BD52" i="1"/>
  <c r="K52" i="1"/>
  <c r="AI52" i="1"/>
  <c r="BE52" i="1"/>
  <c r="M52" i="1"/>
  <c r="AL52" i="1"/>
  <c r="N52" i="1"/>
  <c r="AN52" i="1"/>
  <c r="O52" i="1"/>
  <c r="AP52" i="1"/>
  <c r="S52" i="1"/>
  <c r="AR52" i="1"/>
  <c r="V52" i="1"/>
  <c r="AS52" i="1"/>
  <c r="W52" i="1"/>
  <c r="AU52" i="1"/>
  <c r="Z52" i="1"/>
  <c r="AV52" i="1"/>
  <c r="AE62" i="1"/>
  <c r="BB62" i="1"/>
  <c r="AH62" i="1"/>
  <c r="BD62" i="1"/>
  <c r="K62" i="1"/>
  <c r="AI62" i="1"/>
  <c r="BE62" i="1"/>
  <c r="M62" i="1"/>
  <c r="AL62" i="1"/>
  <c r="N62" i="1"/>
  <c r="AN62" i="1"/>
  <c r="O62" i="1"/>
  <c r="AP62" i="1"/>
  <c r="S62" i="1"/>
  <c r="AR62" i="1"/>
  <c r="V62" i="1"/>
  <c r="AS62" i="1"/>
  <c r="W62" i="1"/>
  <c r="AU62" i="1"/>
  <c r="Z62" i="1"/>
  <c r="AV62" i="1"/>
  <c r="AA62" i="1"/>
  <c r="AW62" i="1"/>
  <c r="AB62" i="1"/>
  <c r="AY62" i="1"/>
  <c r="W54" i="1"/>
  <c r="AU54" i="1"/>
  <c r="Z54" i="1"/>
  <c r="AV54" i="1"/>
  <c r="AA54" i="1"/>
  <c r="AW54" i="1"/>
  <c r="AB54" i="1"/>
  <c r="AY54" i="1"/>
  <c r="AE54" i="1"/>
  <c r="BB54" i="1"/>
  <c r="AH54" i="1"/>
  <c r="BD54" i="1"/>
  <c r="K54" i="1"/>
  <c r="AI54" i="1"/>
  <c r="BE54" i="1"/>
  <c r="M54" i="1"/>
  <c r="AL54" i="1"/>
  <c r="N54" i="1"/>
  <c r="AN54" i="1"/>
  <c r="O54" i="1"/>
  <c r="AP54" i="1"/>
  <c r="S54" i="1"/>
  <c r="AR54" i="1"/>
  <c r="V54" i="1"/>
  <c r="AS54" i="1"/>
  <c r="V55" i="1"/>
  <c r="AS55" i="1"/>
  <c r="W55" i="1"/>
  <c r="AU55" i="1"/>
  <c r="Z55" i="1"/>
  <c r="AV55" i="1"/>
  <c r="AA55" i="1"/>
  <c r="AW55" i="1"/>
  <c r="AB55" i="1"/>
  <c r="AY55" i="1"/>
  <c r="AE55" i="1"/>
  <c r="BB55" i="1"/>
  <c r="AH55" i="1"/>
  <c r="BD55" i="1"/>
  <c r="K55" i="1"/>
  <c r="AI55" i="1"/>
  <c r="BE55" i="1"/>
  <c r="M55" i="1"/>
  <c r="AL55" i="1"/>
  <c r="N55" i="1"/>
  <c r="AN55" i="1"/>
  <c r="O55" i="1"/>
  <c r="AP55" i="1"/>
  <c r="S55" i="1"/>
  <c r="AR55" i="1"/>
  <c r="V67" i="1"/>
  <c r="AS67" i="1"/>
  <c r="W67" i="1"/>
  <c r="AU67" i="1"/>
  <c r="Z67" i="1"/>
  <c r="AV67" i="1"/>
  <c r="AA67" i="1"/>
  <c r="AW67" i="1"/>
  <c r="AB67" i="1"/>
  <c r="AY67" i="1"/>
  <c r="AE67" i="1"/>
  <c r="BB67" i="1"/>
  <c r="AH67" i="1"/>
  <c r="BD67" i="1"/>
  <c r="K67" i="1"/>
  <c r="AI67" i="1"/>
  <c r="BE67" i="1"/>
  <c r="M67" i="1"/>
  <c r="AL67" i="1"/>
  <c r="N67" i="1"/>
  <c r="AN67" i="1"/>
  <c r="O67" i="1"/>
  <c r="AP67" i="1"/>
  <c r="S67" i="1"/>
  <c r="AR67" i="1"/>
  <c r="AH49" i="1"/>
  <c r="BD49" i="1"/>
  <c r="K49" i="1"/>
  <c r="AI49" i="1"/>
  <c r="BE49" i="1"/>
  <c r="M49" i="1"/>
  <c r="AL49" i="1"/>
  <c r="N49" i="1"/>
  <c r="AN49" i="1"/>
  <c r="O49" i="1"/>
  <c r="AP49" i="1"/>
  <c r="S49" i="1"/>
  <c r="AR49" i="1"/>
  <c r="V49" i="1"/>
  <c r="AS49" i="1"/>
  <c r="W49" i="1"/>
  <c r="AU49" i="1"/>
  <c r="Z49" i="1"/>
  <c r="AV49" i="1"/>
  <c r="AA49" i="1"/>
  <c r="AW49" i="1"/>
  <c r="AB49" i="1"/>
  <c r="AY49" i="1"/>
  <c r="AE49" i="1"/>
  <c r="BB49" i="1"/>
  <c r="Z53" i="1"/>
  <c r="AV53" i="1"/>
  <c r="AA53" i="1"/>
  <c r="AW53" i="1"/>
  <c r="AB53" i="1"/>
  <c r="AY53" i="1"/>
  <c r="AE53" i="1"/>
  <c r="BB53" i="1"/>
  <c r="AH53" i="1"/>
  <c r="BD53" i="1"/>
  <c r="K53" i="1"/>
  <c r="AI53" i="1"/>
  <c r="BE53" i="1"/>
  <c r="M53" i="1"/>
  <c r="AL53" i="1"/>
  <c r="N53" i="1"/>
  <c r="AN53" i="1"/>
  <c r="O53" i="1"/>
  <c r="AP53" i="1"/>
  <c r="S53" i="1"/>
  <c r="AR53" i="1"/>
  <c r="V53" i="1"/>
  <c r="AS53" i="1"/>
  <c r="W53" i="1"/>
  <c r="AU53" i="1"/>
  <c r="AB51" i="1"/>
  <c r="AY51" i="1"/>
  <c r="AE51" i="1"/>
  <c r="BB51" i="1"/>
  <c r="AH51" i="1"/>
  <c r="BD51" i="1"/>
  <c r="K51" i="1"/>
  <c r="AI51" i="1"/>
  <c r="BE51" i="1"/>
  <c r="M51" i="1"/>
  <c r="AL51" i="1"/>
  <c r="N51" i="1"/>
  <c r="AN51" i="1"/>
  <c r="O51" i="1"/>
  <c r="AP51" i="1"/>
  <c r="S51" i="1"/>
  <c r="AR51" i="1"/>
  <c r="V51" i="1"/>
  <c r="AS51" i="1"/>
  <c r="W51" i="1"/>
  <c r="AU51" i="1"/>
  <c r="Z51" i="1"/>
  <c r="AV51" i="1"/>
  <c r="AA51" i="1"/>
  <c r="AW51" i="1"/>
  <c r="N58" i="1"/>
  <c r="AN58" i="1"/>
  <c r="O58" i="1"/>
  <c r="AP58" i="1"/>
  <c r="S58" i="1"/>
  <c r="AR58" i="1"/>
  <c r="V58" i="1"/>
  <c r="AS58" i="1"/>
  <c r="W58" i="1"/>
  <c r="AU58" i="1"/>
  <c r="Z58" i="1"/>
  <c r="AV58" i="1"/>
  <c r="AA58" i="1"/>
  <c r="AW58" i="1"/>
  <c r="AB58" i="1"/>
  <c r="AY58" i="1"/>
  <c r="AE58" i="1"/>
  <c r="BB58" i="1"/>
  <c r="AH58" i="1"/>
  <c r="BD58" i="1"/>
  <c r="K58" i="1"/>
  <c r="AI58" i="1"/>
  <c r="BE58" i="1"/>
  <c r="M58" i="1"/>
  <c r="AL58" i="1"/>
  <c r="S68" i="1"/>
  <c r="AR68" i="1"/>
  <c r="V68" i="1"/>
  <c r="AS68" i="1"/>
  <c r="W68" i="1"/>
  <c r="AU68" i="1"/>
  <c r="Z68" i="1"/>
  <c r="AV68" i="1"/>
  <c r="AA68" i="1"/>
  <c r="AW68" i="1"/>
  <c r="AB68" i="1"/>
  <c r="AY68" i="1"/>
  <c r="AE68" i="1"/>
  <c r="BB68" i="1"/>
  <c r="AH68" i="1"/>
  <c r="BD68" i="1"/>
  <c r="K68" i="1"/>
  <c r="AI68" i="1"/>
  <c r="BE68" i="1"/>
  <c r="M68" i="1"/>
  <c r="AL68" i="1"/>
  <c r="N68" i="1"/>
  <c r="AN68" i="1"/>
  <c r="O68" i="1"/>
  <c r="AP68" i="1"/>
  <c r="W66" i="1"/>
  <c r="AU66" i="1"/>
  <c r="Z66" i="1"/>
  <c r="AV66" i="1"/>
  <c r="AA66" i="1"/>
  <c r="AW66" i="1"/>
  <c r="AB66" i="1"/>
  <c r="AY66" i="1"/>
  <c r="AE66" i="1"/>
  <c r="BB66" i="1"/>
  <c r="AH66" i="1"/>
  <c r="BD66" i="1"/>
  <c r="K66" i="1"/>
  <c r="AI66" i="1"/>
  <c r="BE66" i="1"/>
  <c r="M66" i="1"/>
  <c r="AL66" i="1"/>
  <c r="N66" i="1"/>
  <c r="AN66" i="1"/>
  <c r="O66" i="1"/>
  <c r="AP66" i="1"/>
  <c r="S66" i="1"/>
  <c r="AR66" i="1"/>
  <c r="V66" i="1"/>
  <c r="AS66" i="1"/>
  <c r="M59" i="1"/>
  <c r="AL59" i="1"/>
  <c r="N59" i="1"/>
  <c r="AN59" i="1"/>
  <c r="O59" i="1"/>
  <c r="AP59" i="1"/>
  <c r="S59" i="1"/>
  <c r="AR59" i="1"/>
  <c r="V59" i="1"/>
  <c r="AS59" i="1"/>
  <c r="W59" i="1"/>
  <c r="AU59" i="1"/>
  <c r="Z59" i="1"/>
  <c r="AV59" i="1"/>
  <c r="AA59" i="1"/>
  <c r="AW59" i="1"/>
  <c r="AB59" i="1"/>
  <c r="AY59" i="1"/>
  <c r="AE59" i="1"/>
  <c r="BB59" i="1"/>
  <c r="AH59" i="1"/>
  <c r="BD59" i="1"/>
  <c r="K59" i="1"/>
  <c r="AI59" i="1"/>
  <c r="BE59" i="1"/>
  <c r="O57" i="1"/>
  <c r="AP57" i="1"/>
  <c r="S57" i="1"/>
  <c r="AR57" i="1"/>
  <c r="V57" i="1"/>
  <c r="AS57" i="1"/>
  <c r="W57" i="1"/>
  <c r="AU57" i="1"/>
  <c r="Z57" i="1"/>
  <c r="AV57" i="1"/>
  <c r="AA57" i="1"/>
  <c r="AW57" i="1"/>
  <c r="AB57" i="1"/>
  <c r="AY57" i="1"/>
  <c r="AE57" i="1"/>
  <c r="BB57" i="1"/>
  <c r="AH57" i="1"/>
  <c r="BD57" i="1"/>
  <c r="K57" i="1"/>
  <c r="AI57" i="1"/>
  <c r="BE57" i="1"/>
  <c r="M57" i="1"/>
  <c r="AL57" i="1"/>
  <c r="N57" i="1"/>
  <c r="AN57" i="1"/>
  <c r="K48" i="1"/>
  <c r="AI48" i="1"/>
  <c r="BE48" i="1"/>
  <c r="M48" i="1"/>
  <c r="AL48" i="1"/>
  <c r="N48" i="1"/>
  <c r="AN48" i="1"/>
  <c r="O48" i="1"/>
  <c r="AP48" i="1"/>
  <c r="S48" i="1"/>
  <c r="AR48" i="1"/>
  <c r="V48" i="1"/>
  <c r="AS48" i="1"/>
  <c r="W48" i="1"/>
  <c r="AU48" i="1"/>
  <c r="Z48" i="1"/>
  <c r="AV48" i="1"/>
  <c r="AA48" i="1"/>
  <c r="AW48" i="1"/>
  <c r="AB48" i="1"/>
  <c r="AY48" i="1"/>
  <c r="AE48" i="1"/>
  <c r="BB48" i="1"/>
  <c r="AH48" i="1"/>
  <c r="BD48" i="1"/>
  <c r="AV70" i="1"/>
  <c r="W36" i="1"/>
  <c r="AU36" i="1"/>
  <c r="Z36" i="1"/>
  <c r="AV36" i="1"/>
  <c r="AA36" i="1"/>
  <c r="AW36" i="1"/>
  <c r="AB36" i="1"/>
  <c r="AY36" i="1"/>
  <c r="AE36" i="1"/>
  <c r="BB36" i="1"/>
  <c r="AH36" i="1"/>
  <c r="BD36" i="1"/>
  <c r="K36" i="1"/>
  <c r="AI36" i="1"/>
  <c r="BE36" i="1"/>
  <c r="M36" i="1"/>
  <c r="AL36" i="1"/>
  <c r="N36" i="1"/>
  <c r="AN36" i="1"/>
  <c r="O36" i="1"/>
  <c r="AP36" i="1"/>
  <c r="S36" i="1"/>
  <c r="AR36" i="1"/>
  <c r="V36" i="1"/>
  <c r="AS36" i="1"/>
  <c r="AH19" i="1"/>
  <c r="BD19" i="1"/>
  <c r="K19" i="1"/>
  <c r="AI19" i="1"/>
  <c r="BE19" i="1"/>
  <c r="M19" i="1"/>
  <c r="AL19" i="1"/>
  <c r="N19" i="1"/>
  <c r="AN19" i="1"/>
  <c r="O19" i="1"/>
  <c r="AP19" i="1"/>
  <c r="S19" i="1"/>
  <c r="AR19" i="1"/>
  <c r="V19" i="1"/>
  <c r="AS19" i="1"/>
  <c r="W19" i="1"/>
  <c r="AU19" i="1"/>
  <c r="Z19" i="1"/>
  <c r="AV19" i="1"/>
  <c r="AA19" i="1"/>
  <c r="AW19" i="1"/>
  <c r="AB19" i="1"/>
  <c r="AY19" i="1"/>
  <c r="AE19" i="1"/>
  <c r="BB19" i="1"/>
  <c r="W47" i="1"/>
  <c r="AU47" i="1"/>
  <c r="Z47" i="1"/>
  <c r="AV47" i="1"/>
  <c r="AA47" i="1"/>
  <c r="AW47" i="1"/>
  <c r="AB47" i="1"/>
  <c r="AY47" i="1"/>
  <c r="AE47" i="1"/>
  <c r="BB47" i="1"/>
  <c r="AH47" i="1"/>
  <c r="BD47" i="1"/>
  <c r="K47" i="1"/>
  <c r="AI47" i="1"/>
  <c r="BE47" i="1"/>
  <c r="M47" i="1"/>
  <c r="AL47" i="1"/>
  <c r="N47" i="1"/>
  <c r="AN47" i="1"/>
  <c r="O47" i="1"/>
  <c r="AP47" i="1"/>
  <c r="S47" i="1"/>
  <c r="AR47" i="1"/>
  <c r="V47" i="1"/>
  <c r="AS47" i="1"/>
  <c r="O39" i="1"/>
  <c r="AP39" i="1"/>
  <c r="S39" i="1"/>
  <c r="AR39" i="1"/>
  <c r="V39" i="1"/>
  <c r="AS39" i="1"/>
  <c r="W39" i="1"/>
  <c r="AU39" i="1"/>
  <c r="Z39" i="1"/>
  <c r="AV39" i="1"/>
  <c r="AA39" i="1"/>
  <c r="AW39" i="1"/>
  <c r="AB39" i="1"/>
  <c r="AY39" i="1"/>
  <c r="AE39" i="1"/>
  <c r="BB39" i="1"/>
  <c r="AH39" i="1"/>
  <c r="BD39" i="1"/>
  <c r="K39" i="1"/>
  <c r="AI39" i="1"/>
  <c r="BE39" i="1"/>
  <c r="M39" i="1"/>
  <c r="AL39" i="1"/>
  <c r="N39" i="1"/>
  <c r="AN39" i="1"/>
  <c r="Z35" i="1"/>
  <c r="AV35" i="1"/>
  <c r="AA35" i="1"/>
  <c r="AW35" i="1"/>
  <c r="AB35" i="1"/>
  <c r="AY35" i="1"/>
  <c r="AE35" i="1"/>
  <c r="BB35" i="1"/>
  <c r="AH35" i="1"/>
  <c r="BD35" i="1"/>
  <c r="K35" i="1"/>
  <c r="AI35" i="1"/>
  <c r="BE35" i="1"/>
  <c r="M35" i="1"/>
  <c r="AL35" i="1"/>
  <c r="N35" i="1"/>
  <c r="AN35" i="1"/>
  <c r="O35" i="1"/>
  <c r="AP35" i="1"/>
  <c r="S35" i="1"/>
  <c r="AR35" i="1"/>
  <c r="V35" i="1"/>
  <c r="AS35" i="1"/>
  <c r="W35" i="1"/>
  <c r="AU35" i="1"/>
  <c r="K42" i="1"/>
  <c r="AI42" i="1"/>
  <c r="BE42" i="1"/>
  <c r="M42" i="1"/>
  <c r="AL42" i="1"/>
  <c r="N42" i="1"/>
  <c r="AN42" i="1"/>
  <c r="O42" i="1"/>
  <c r="AP42" i="1"/>
  <c r="S42" i="1"/>
  <c r="AR42" i="1"/>
  <c r="V42" i="1"/>
  <c r="AS42" i="1"/>
  <c r="W42" i="1"/>
  <c r="AU42" i="1"/>
  <c r="Z42" i="1"/>
  <c r="AV42" i="1"/>
  <c r="AA42" i="1"/>
  <c r="AW42" i="1"/>
  <c r="AB42" i="1"/>
  <c r="AY42" i="1"/>
  <c r="AE42" i="1"/>
  <c r="BB42" i="1"/>
  <c r="AH42" i="1"/>
  <c r="BD42" i="1"/>
  <c r="W24" i="1"/>
  <c r="AU24" i="1"/>
  <c r="Z24" i="1"/>
  <c r="AV24" i="1"/>
  <c r="AA24" i="1"/>
  <c r="AW24" i="1"/>
  <c r="AB24" i="1"/>
  <c r="AY24" i="1"/>
  <c r="AE24" i="1"/>
  <c r="BB24" i="1"/>
  <c r="AH24" i="1"/>
  <c r="BD24" i="1"/>
  <c r="K24" i="1"/>
  <c r="AI24" i="1"/>
  <c r="BE24" i="1"/>
  <c r="M24" i="1"/>
  <c r="AL24" i="1"/>
  <c r="N24" i="1"/>
  <c r="AN24" i="1"/>
  <c r="O24" i="1"/>
  <c r="AP24" i="1"/>
  <c r="S24" i="1"/>
  <c r="AR24" i="1"/>
  <c r="V24" i="1"/>
  <c r="AS24" i="1"/>
  <c r="S26" i="1"/>
  <c r="AR26" i="1"/>
  <c r="V26" i="1"/>
  <c r="AS26" i="1"/>
  <c r="W26" i="1"/>
  <c r="AU26" i="1"/>
  <c r="Z26" i="1"/>
  <c r="AV26" i="1"/>
  <c r="AA26" i="1"/>
  <c r="AW26" i="1"/>
  <c r="AB26" i="1"/>
  <c r="AY26" i="1"/>
  <c r="AE26" i="1"/>
  <c r="BB26" i="1"/>
  <c r="AH26" i="1"/>
  <c r="BD26" i="1"/>
  <c r="K26" i="1"/>
  <c r="AI26" i="1"/>
  <c r="BE26" i="1"/>
  <c r="M26" i="1"/>
  <c r="AL26" i="1"/>
  <c r="N26" i="1"/>
  <c r="AN26" i="1"/>
  <c r="O26" i="1"/>
  <c r="AP26" i="1"/>
  <c r="V25" i="1"/>
  <c r="AS25" i="1"/>
  <c r="W25" i="1"/>
  <c r="AU25" i="1"/>
  <c r="Z25" i="1"/>
  <c r="AV25" i="1"/>
  <c r="AA25" i="1"/>
  <c r="AW25" i="1"/>
  <c r="AB25" i="1"/>
  <c r="AY25" i="1"/>
  <c r="AE25" i="1"/>
  <c r="BB25" i="1"/>
  <c r="AH25" i="1"/>
  <c r="BD25" i="1"/>
  <c r="K25" i="1"/>
  <c r="AI25" i="1"/>
  <c r="BE25" i="1"/>
  <c r="M25" i="1"/>
  <c r="AL25" i="1"/>
  <c r="N25" i="1"/>
  <c r="AN25" i="1"/>
  <c r="O25" i="1"/>
  <c r="AP25" i="1"/>
  <c r="S25" i="1"/>
  <c r="AR25" i="1"/>
  <c r="Z46" i="1"/>
  <c r="AV46" i="1"/>
  <c r="AA46" i="1"/>
  <c r="AW46" i="1"/>
  <c r="AB46" i="1"/>
  <c r="AY46" i="1"/>
  <c r="AE46" i="1"/>
  <c r="BB46" i="1"/>
  <c r="AH46" i="1"/>
  <c r="BD46" i="1"/>
  <c r="K46" i="1"/>
  <c r="AI46" i="1"/>
  <c r="BE46" i="1"/>
  <c r="M46" i="1"/>
  <c r="AL46" i="1"/>
  <c r="N46" i="1"/>
  <c r="AN46" i="1"/>
  <c r="O46" i="1"/>
  <c r="AP46" i="1"/>
  <c r="S46" i="1"/>
  <c r="AR46" i="1"/>
  <c r="V46" i="1"/>
  <c r="AS46" i="1"/>
  <c r="W46" i="1"/>
  <c r="AU46" i="1"/>
  <c r="M41" i="1"/>
  <c r="AL41" i="1"/>
  <c r="N41" i="1"/>
  <c r="AN41" i="1"/>
  <c r="O41" i="1"/>
  <c r="AP41" i="1"/>
  <c r="S41" i="1"/>
  <c r="AR41" i="1"/>
  <c r="V41" i="1"/>
  <c r="AS41" i="1"/>
  <c r="W41" i="1"/>
  <c r="AU41" i="1"/>
  <c r="Z41" i="1"/>
  <c r="AV41" i="1"/>
  <c r="AA41" i="1"/>
  <c r="AW41" i="1"/>
  <c r="AB41" i="1"/>
  <c r="AY41" i="1"/>
  <c r="AE41" i="1"/>
  <c r="BB41" i="1"/>
  <c r="AH41" i="1"/>
  <c r="BD41" i="1"/>
  <c r="K41" i="1"/>
  <c r="AI41" i="1"/>
  <c r="BE41" i="1"/>
  <c r="AA22" i="1"/>
  <c r="AW22" i="1"/>
  <c r="AB22" i="1"/>
  <c r="AY22" i="1"/>
  <c r="AE22" i="1"/>
  <c r="BB22" i="1"/>
  <c r="AH22" i="1"/>
  <c r="BD22" i="1"/>
  <c r="K22" i="1"/>
  <c r="AI22" i="1"/>
  <c r="BE22" i="1"/>
  <c r="M22" i="1"/>
  <c r="AL22" i="1"/>
  <c r="N22" i="1"/>
  <c r="AN22" i="1"/>
  <c r="O22" i="1"/>
  <c r="AP22" i="1"/>
  <c r="S22" i="1"/>
  <c r="AR22" i="1"/>
  <c r="V22" i="1"/>
  <c r="AS22" i="1"/>
  <c r="W22" i="1"/>
  <c r="AU22" i="1"/>
  <c r="Z22" i="1"/>
  <c r="AV22" i="1"/>
  <c r="M29" i="1"/>
  <c r="AL29" i="1"/>
  <c r="N29" i="1"/>
  <c r="AN29" i="1"/>
  <c r="O29" i="1"/>
  <c r="AP29" i="1"/>
  <c r="S29" i="1"/>
  <c r="AR29" i="1"/>
  <c r="V29" i="1"/>
  <c r="AS29" i="1"/>
  <c r="W29" i="1"/>
  <c r="AU29" i="1"/>
  <c r="Z29" i="1"/>
  <c r="AV29" i="1"/>
  <c r="AA29" i="1"/>
  <c r="AW29" i="1"/>
  <c r="AB29" i="1"/>
  <c r="AY29" i="1"/>
  <c r="AE29" i="1"/>
  <c r="BB29" i="1"/>
  <c r="AH29" i="1"/>
  <c r="BD29" i="1"/>
  <c r="K29" i="1"/>
  <c r="AI29" i="1"/>
  <c r="BE29" i="1"/>
  <c r="AA34" i="1"/>
  <c r="AW34" i="1"/>
  <c r="AB34" i="1"/>
  <c r="AY34" i="1"/>
  <c r="AE34" i="1"/>
  <c r="BB34" i="1"/>
  <c r="AH34" i="1"/>
  <c r="BD34" i="1"/>
  <c r="K34" i="1"/>
  <c r="AI34" i="1"/>
  <c r="BE34" i="1"/>
  <c r="M34" i="1"/>
  <c r="AL34" i="1"/>
  <c r="N34" i="1"/>
  <c r="AN34" i="1"/>
  <c r="O34" i="1"/>
  <c r="AP34" i="1"/>
  <c r="S34" i="1"/>
  <c r="AR34" i="1"/>
  <c r="V34" i="1"/>
  <c r="AS34" i="1"/>
  <c r="W34" i="1"/>
  <c r="AU34" i="1"/>
  <c r="Z34" i="1"/>
  <c r="AV34" i="1"/>
  <c r="AH31" i="1"/>
  <c r="BD31" i="1"/>
  <c r="K31" i="1"/>
  <c r="AI31" i="1"/>
  <c r="BE31" i="1"/>
  <c r="M31" i="1"/>
  <c r="AL31" i="1"/>
  <c r="N31" i="1"/>
  <c r="AN31" i="1"/>
  <c r="O31" i="1"/>
  <c r="AP31" i="1"/>
  <c r="S31" i="1"/>
  <c r="AR31" i="1"/>
  <c r="V31" i="1"/>
  <c r="AS31" i="1"/>
  <c r="W31" i="1"/>
  <c r="AU31" i="1"/>
  <c r="Z31" i="1"/>
  <c r="AV31" i="1"/>
  <c r="AA31" i="1"/>
  <c r="AW31" i="1"/>
  <c r="AB31" i="1"/>
  <c r="AY31" i="1"/>
  <c r="AE31" i="1"/>
  <c r="BB31" i="1"/>
  <c r="AB44" i="1"/>
  <c r="AY44" i="1"/>
  <c r="AE44" i="1"/>
  <c r="BB44" i="1"/>
  <c r="AH44" i="1"/>
  <c r="BD44" i="1"/>
  <c r="K44" i="1"/>
  <c r="AI44" i="1"/>
  <c r="BE44" i="1"/>
  <c r="M44" i="1"/>
  <c r="AL44" i="1"/>
  <c r="N44" i="1"/>
  <c r="AN44" i="1"/>
  <c r="O44" i="1"/>
  <c r="AP44" i="1"/>
  <c r="S44" i="1"/>
  <c r="AR44" i="1"/>
  <c r="V44" i="1"/>
  <c r="AS44" i="1"/>
  <c r="W44" i="1"/>
  <c r="AU44" i="1"/>
  <c r="Z44" i="1"/>
  <c r="AV44" i="1"/>
  <c r="AA44" i="1"/>
  <c r="AW44" i="1"/>
  <c r="AB33" i="1"/>
  <c r="AY33" i="1"/>
  <c r="AE33" i="1"/>
  <c r="BB33" i="1"/>
  <c r="AH33" i="1"/>
  <c r="BD33" i="1"/>
  <c r="K33" i="1"/>
  <c r="AI33" i="1"/>
  <c r="BE33" i="1"/>
  <c r="M33" i="1"/>
  <c r="AL33" i="1"/>
  <c r="N33" i="1"/>
  <c r="AN33" i="1"/>
  <c r="O33" i="1"/>
  <c r="AP33" i="1"/>
  <c r="S33" i="1"/>
  <c r="AR33" i="1"/>
  <c r="V33" i="1"/>
  <c r="AS33" i="1"/>
  <c r="W33" i="1"/>
  <c r="AU33" i="1"/>
  <c r="Z33" i="1"/>
  <c r="AV33" i="1"/>
  <c r="AA33" i="1"/>
  <c r="AW33" i="1"/>
  <c r="N40" i="1"/>
  <c r="AN40" i="1"/>
  <c r="O40" i="1"/>
  <c r="AP40" i="1"/>
  <c r="S40" i="1"/>
  <c r="AR40" i="1"/>
  <c r="V40" i="1"/>
  <c r="AS40" i="1"/>
  <c r="W40" i="1"/>
  <c r="AU40" i="1"/>
  <c r="Z40" i="1"/>
  <c r="AV40" i="1"/>
  <c r="AA40" i="1"/>
  <c r="AW40" i="1"/>
  <c r="AB40" i="1"/>
  <c r="AY40" i="1"/>
  <c r="AE40" i="1"/>
  <c r="BB40" i="1"/>
  <c r="AH40" i="1"/>
  <c r="BD40" i="1"/>
  <c r="K40" i="1"/>
  <c r="AI40" i="1"/>
  <c r="BE40" i="1"/>
  <c r="M40" i="1"/>
  <c r="AL40" i="1"/>
  <c r="AA45" i="1"/>
  <c r="AW45" i="1"/>
  <c r="AB45" i="1"/>
  <c r="AY45" i="1"/>
  <c r="AE45" i="1"/>
  <c r="BB45" i="1"/>
  <c r="AH45" i="1"/>
  <c r="BD45" i="1"/>
  <c r="K45" i="1"/>
  <c r="AI45" i="1"/>
  <c r="BE45" i="1"/>
  <c r="M45" i="1"/>
  <c r="AL45" i="1"/>
  <c r="N45" i="1"/>
  <c r="AN45" i="1"/>
  <c r="O45" i="1"/>
  <c r="AP45" i="1"/>
  <c r="S45" i="1"/>
  <c r="AR45" i="1"/>
  <c r="V45" i="1"/>
  <c r="AS45" i="1"/>
  <c r="W45" i="1"/>
  <c r="AU45" i="1"/>
  <c r="Z45" i="1"/>
  <c r="AV45" i="1"/>
  <c r="AE32" i="1"/>
  <c r="BB32" i="1"/>
  <c r="AH32" i="1"/>
  <c r="BD32" i="1"/>
  <c r="K32" i="1"/>
  <c r="AI32" i="1"/>
  <c r="BE32" i="1"/>
  <c r="M32" i="1"/>
  <c r="AL32" i="1"/>
  <c r="N32" i="1"/>
  <c r="AN32" i="1"/>
  <c r="O32" i="1"/>
  <c r="AP32" i="1"/>
  <c r="S32" i="1"/>
  <c r="AR32" i="1"/>
  <c r="V32" i="1"/>
  <c r="AS32" i="1"/>
  <c r="W32" i="1"/>
  <c r="AU32" i="1"/>
  <c r="Z32" i="1"/>
  <c r="AV32" i="1"/>
  <c r="AA32" i="1"/>
  <c r="AW32" i="1"/>
  <c r="AB32" i="1"/>
  <c r="AY32" i="1"/>
  <c r="V37" i="1"/>
  <c r="AS37" i="1"/>
  <c r="W37" i="1"/>
  <c r="AU37" i="1"/>
  <c r="Z37" i="1"/>
  <c r="AV37" i="1"/>
  <c r="AA37" i="1"/>
  <c r="AW37" i="1"/>
  <c r="AB37" i="1"/>
  <c r="AY37" i="1"/>
  <c r="AE37" i="1"/>
  <c r="BB37" i="1"/>
  <c r="AH37" i="1"/>
  <c r="BD37" i="1"/>
  <c r="K37" i="1"/>
  <c r="AI37" i="1"/>
  <c r="BE37" i="1"/>
  <c r="M37" i="1"/>
  <c r="AL37" i="1"/>
  <c r="N37" i="1"/>
  <c r="AN37" i="1"/>
  <c r="O37" i="1"/>
  <c r="AP37" i="1"/>
  <c r="S37" i="1"/>
  <c r="AR37" i="1"/>
  <c r="K30" i="1"/>
  <c r="AI30" i="1"/>
  <c r="BE30" i="1"/>
  <c r="M30" i="1"/>
  <c r="AL30" i="1"/>
  <c r="N30" i="1"/>
  <c r="AN30" i="1"/>
  <c r="O30" i="1"/>
  <c r="AP30" i="1"/>
  <c r="S30" i="1"/>
  <c r="AR30" i="1"/>
  <c r="V30" i="1"/>
  <c r="AS30" i="1"/>
  <c r="W30" i="1"/>
  <c r="AU30" i="1"/>
  <c r="Z30" i="1"/>
  <c r="AV30" i="1"/>
  <c r="AA30" i="1"/>
  <c r="AW30" i="1"/>
  <c r="AB30" i="1"/>
  <c r="AY30" i="1"/>
  <c r="AE30" i="1"/>
  <c r="BB30" i="1"/>
  <c r="AH30" i="1"/>
  <c r="BD30" i="1"/>
  <c r="K18" i="1"/>
  <c r="AI18" i="1"/>
  <c r="BE18" i="1"/>
  <c r="M18" i="1"/>
  <c r="AL18" i="1"/>
  <c r="N18" i="1"/>
  <c r="AN18" i="1"/>
  <c r="O18" i="1"/>
  <c r="AP18" i="1"/>
  <c r="S18" i="1"/>
  <c r="AR18" i="1"/>
  <c r="V18" i="1"/>
  <c r="AS18" i="1"/>
  <c r="W18" i="1"/>
  <c r="AU18" i="1"/>
  <c r="Z18" i="1"/>
  <c r="AV18" i="1"/>
  <c r="AA18" i="1"/>
  <c r="AW18" i="1"/>
  <c r="AB18" i="1"/>
  <c r="AY18" i="1"/>
  <c r="AE18" i="1"/>
  <c r="BB18" i="1"/>
  <c r="AH18" i="1"/>
  <c r="BD18" i="1"/>
  <c r="O27" i="1"/>
  <c r="AP27" i="1"/>
  <c r="S27" i="1"/>
  <c r="AR27" i="1"/>
  <c r="V27" i="1"/>
  <c r="AS27" i="1"/>
  <c r="W27" i="1"/>
  <c r="AU27" i="1"/>
  <c r="Z27" i="1"/>
  <c r="AV27" i="1"/>
  <c r="AA27" i="1"/>
  <c r="AW27" i="1"/>
  <c r="AB27" i="1"/>
  <c r="AY27" i="1"/>
  <c r="AE27" i="1"/>
  <c r="BB27" i="1"/>
  <c r="AH27" i="1"/>
  <c r="BD27" i="1"/>
  <c r="K27" i="1"/>
  <c r="AI27" i="1"/>
  <c r="BE27" i="1"/>
  <c r="M27" i="1"/>
  <c r="AL27" i="1"/>
  <c r="N27" i="1"/>
  <c r="AN27" i="1"/>
  <c r="Z23" i="1"/>
  <c r="AV23" i="1"/>
  <c r="AA23" i="1"/>
  <c r="AW23" i="1"/>
  <c r="AB23" i="1"/>
  <c r="AY23" i="1"/>
  <c r="AE23" i="1"/>
  <c r="BB23" i="1"/>
  <c r="AH23" i="1"/>
  <c r="BD23" i="1"/>
  <c r="K23" i="1"/>
  <c r="AI23" i="1"/>
  <c r="BE23" i="1"/>
  <c r="M23" i="1"/>
  <c r="AL23" i="1"/>
  <c r="N23" i="1"/>
  <c r="AN23" i="1"/>
  <c r="O23" i="1"/>
  <c r="AP23" i="1"/>
  <c r="S23" i="1"/>
  <c r="AR23" i="1"/>
  <c r="V23" i="1"/>
  <c r="AS23" i="1"/>
  <c r="W23" i="1"/>
  <c r="AU23" i="1"/>
  <c r="BP44" i="1"/>
  <c r="AE20" i="1"/>
  <c r="BB20" i="1"/>
  <c r="AH20" i="1"/>
  <c r="BD20" i="1"/>
  <c r="K20" i="1"/>
  <c r="AI20" i="1"/>
  <c r="BE20" i="1"/>
  <c r="M20" i="1"/>
  <c r="AL20" i="1"/>
  <c r="N20" i="1"/>
  <c r="AN20" i="1"/>
  <c r="O20" i="1"/>
  <c r="AP20" i="1"/>
  <c r="S20" i="1"/>
  <c r="AR20" i="1"/>
  <c r="V20" i="1"/>
  <c r="AS20" i="1"/>
  <c r="W20" i="1"/>
  <c r="AU20" i="1"/>
  <c r="Z20" i="1"/>
  <c r="AV20" i="1"/>
  <c r="AA20" i="1"/>
  <c r="AW20" i="1"/>
  <c r="AB20" i="1"/>
  <c r="AY20" i="1"/>
  <c r="AB21" i="1"/>
  <c r="AY21" i="1"/>
  <c r="AE21" i="1"/>
  <c r="BB21" i="1"/>
  <c r="AH21" i="1"/>
  <c r="BD21" i="1"/>
  <c r="K21" i="1"/>
  <c r="AI21" i="1"/>
  <c r="BE21" i="1"/>
  <c r="M21" i="1"/>
  <c r="AL21" i="1"/>
  <c r="N21" i="1"/>
  <c r="AN21" i="1"/>
  <c r="O21" i="1"/>
  <c r="AP21" i="1"/>
  <c r="S21" i="1"/>
  <c r="AR21" i="1"/>
  <c r="V21" i="1"/>
  <c r="AS21" i="1"/>
  <c r="W21" i="1"/>
  <c r="AU21" i="1"/>
  <c r="Z21" i="1"/>
  <c r="AV21" i="1"/>
  <c r="AA21" i="1"/>
  <c r="AW21" i="1"/>
  <c r="S38" i="1"/>
  <c r="AR38" i="1"/>
  <c r="V38" i="1"/>
  <c r="AS38" i="1"/>
  <c r="W38" i="1"/>
  <c r="AU38" i="1"/>
  <c r="Z38" i="1"/>
  <c r="AV38" i="1"/>
  <c r="AA38" i="1"/>
  <c r="AW38" i="1"/>
  <c r="AB38" i="1"/>
  <c r="AY38" i="1"/>
  <c r="AE38" i="1"/>
  <c r="BB38" i="1"/>
  <c r="AH38" i="1"/>
  <c r="BD38" i="1"/>
  <c r="K38" i="1"/>
  <c r="AI38" i="1"/>
  <c r="BE38" i="1"/>
  <c r="M38" i="1"/>
  <c r="AL38" i="1"/>
  <c r="N38" i="1"/>
  <c r="AN38" i="1"/>
  <c r="O38" i="1"/>
  <c r="AP38" i="1"/>
  <c r="G44" i="1"/>
  <c r="G28" i="1"/>
  <c r="N28" i="1"/>
  <c r="AN28" i="1"/>
  <c r="O28" i="1"/>
  <c r="AP28" i="1"/>
  <c r="S28" i="1"/>
  <c r="AR28" i="1"/>
  <c r="V28" i="1"/>
  <c r="AS28" i="1"/>
  <c r="W28" i="1"/>
  <c r="AU28" i="1"/>
  <c r="Z28" i="1"/>
  <c r="AV28" i="1"/>
  <c r="AA28" i="1"/>
  <c r="AW28" i="1"/>
  <c r="AB28" i="1"/>
  <c r="AY28" i="1"/>
  <c r="AE28" i="1"/>
  <c r="BB28" i="1"/>
  <c r="AH28" i="1"/>
  <c r="BD28" i="1"/>
  <c r="K28" i="1"/>
  <c r="AI28" i="1"/>
  <c r="BE28" i="1"/>
  <c r="M28" i="1"/>
  <c r="AL28" i="1"/>
  <c r="V70" i="1"/>
  <c r="S70" i="1"/>
  <c r="AU70" i="1"/>
  <c r="AL70" i="1"/>
  <c r="G39" i="1"/>
  <c r="AN70" i="1"/>
  <c r="AS70" i="1"/>
  <c r="G30" i="1"/>
  <c r="BB70" i="1"/>
  <c r="BI52" i="1"/>
  <c r="AH70" i="1"/>
  <c r="BI39" i="1"/>
  <c r="BP52" i="1"/>
  <c r="O70" i="1"/>
  <c r="BL39" i="1"/>
  <c r="BP30" i="1"/>
  <c r="BP39" i="1"/>
  <c r="M70" i="1"/>
  <c r="G52" i="1"/>
  <c r="AB70" i="1"/>
  <c r="AE70" i="1"/>
  <c r="AR70" i="1"/>
  <c r="AP70" i="1"/>
  <c r="K70" i="1"/>
  <c r="W70" i="1"/>
  <c r="BI30" i="1"/>
  <c r="AY70" i="1"/>
  <c r="N70" i="1"/>
  <c r="G36" i="1"/>
  <c r="BP36" i="1"/>
  <c r="BL36" i="1"/>
  <c r="BI36" i="1"/>
  <c r="BP29" i="1"/>
  <c r="BI29" i="1"/>
  <c r="G29" i="1"/>
  <c r="BP23" i="1"/>
  <c r="BL23" i="1"/>
  <c r="BI23" i="1"/>
  <c r="G23" i="1"/>
  <c r="BL60" i="1"/>
  <c r="BI60" i="1"/>
  <c r="G60" i="1"/>
  <c r="BP60" i="1"/>
  <c r="BP45" i="1"/>
  <c r="BL45" i="1"/>
  <c r="BI45" i="1"/>
  <c r="G45" i="1"/>
  <c r="BP51" i="1"/>
  <c r="BL51" i="1"/>
  <c r="BI51" i="1"/>
  <c r="G51" i="1"/>
  <c r="BP55" i="1"/>
  <c r="BL55" i="1"/>
  <c r="BI55" i="1"/>
  <c r="G55" i="1"/>
  <c r="BP27" i="1"/>
  <c r="BI27" i="1"/>
  <c r="G27" i="1"/>
  <c r="BP59" i="1"/>
  <c r="BL59" i="1"/>
  <c r="BI59" i="1"/>
  <c r="G59" i="1"/>
  <c r="BL62" i="1"/>
  <c r="BI62" i="1"/>
  <c r="G62" i="1"/>
  <c r="BP62" i="1"/>
  <c r="BL66" i="1"/>
  <c r="BI66" i="1"/>
  <c r="G66" i="1"/>
  <c r="BP66" i="1"/>
  <c r="G24" i="1"/>
  <c r="BP24" i="1"/>
  <c r="BL24" i="1"/>
  <c r="BI24" i="1"/>
  <c r="BP61" i="1"/>
  <c r="BL61" i="1"/>
  <c r="BI61" i="1"/>
  <c r="G61" i="1"/>
  <c r="BL68" i="1"/>
  <c r="BI68" i="1"/>
  <c r="G68" i="1"/>
  <c r="BP68" i="1"/>
  <c r="G20" i="1"/>
  <c r="BP20" i="1"/>
  <c r="BL20" i="1"/>
  <c r="BI20" i="1"/>
  <c r="G22" i="1"/>
  <c r="BP22" i="1"/>
  <c r="BL22" i="1"/>
  <c r="BI22" i="1"/>
  <c r="G26" i="1"/>
  <c r="BP26" i="1"/>
  <c r="BL26" i="1"/>
  <c r="BI26" i="1"/>
  <c r="BX74" i="1"/>
  <c r="BX84" i="1" s="1"/>
  <c r="BL46" i="1"/>
  <c r="BI46" i="1"/>
  <c r="G46" i="1"/>
  <c r="BP46" i="1"/>
  <c r="BL58" i="1"/>
  <c r="BI58" i="1"/>
  <c r="G58" i="1"/>
  <c r="BP58" i="1"/>
  <c r="BL69" i="1"/>
  <c r="BW86" i="1"/>
  <c r="BW88" i="1" s="1"/>
  <c r="BL48" i="1"/>
  <c r="BI48" i="1"/>
  <c r="G48" i="1"/>
  <c r="BP48" i="1"/>
  <c r="Z70" i="1"/>
  <c r="BP41" i="1"/>
  <c r="BL41" i="1"/>
  <c r="BI41" i="1"/>
  <c r="G41" i="1"/>
  <c r="BP47" i="1"/>
  <c r="BL47" i="1"/>
  <c r="BI47" i="1"/>
  <c r="G47" i="1"/>
  <c r="BP53" i="1"/>
  <c r="BL53" i="1"/>
  <c r="BI53" i="1"/>
  <c r="G53" i="1"/>
  <c r="BP65" i="1"/>
  <c r="BL65" i="1"/>
  <c r="BI65" i="1"/>
  <c r="G65" i="1"/>
  <c r="BP37" i="1"/>
  <c r="BL37" i="1"/>
  <c r="BI37" i="1"/>
  <c r="G37" i="1"/>
  <c r="BP25" i="1"/>
  <c r="BL25" i="1"/>
  <c r="BI25" i="1"/>
  <c r="G25" i="1"/>
  <c r="G42" i="1"/>
  <c r="BP42" i="1"/>
  <c r="BL42" i="1"/>
  <c r="BI42" i="1"/>
  <c r="BP31" i="1"/>
  <c r="BL31" i="1"/>
  <c r="BI31" i="1"/>
  <c r="G31" i="1"/>
  <c r="BL56" i="1"/>
  <c r="BI56" i="1"/>
  <c r="G56" i="1"/>
  <c r="BP56" i="1"/>
  <c r="BP35" i="1"/>
  <c r="BL35" i="1"/>
  <c r="BI35" i="1"/>
  <c r="G35" i="1"/>
  <c r="G40" i="1"/>
  <c r="BP40" i="1"/>
  <c r="BL40" i="1"/>
  <c r="BI40" i="1"/>
  <c r="BP19" i="1"/>
  <c r="BL19" i="1"/>
  <c r="BI19" i="1"/>
  <c r="G19" i="1"/>
  <c r="G18" i="1"/>
  <c r="BP18" i="1"/>
  <c r="BL18" i="1"/>
  <c r="BI18" i="1"/>
  <c r="G32" i="1"/>
  <c r="BP32" i="1"/>
  <c r="BL32" i="1"/>
  <c r="BI32" i="1"/>
  <c r="BP21" i="1"/>
  <c r="BL21" i="1"/>
  <c r="BI21" i="1"/>
  <c r="G21" i="1"/>
  <c r="BL50" i="1"/>
  <c r="BI50" i="1"/>
  <c r="G50" i="1"/>
  <c r="BP50" i="1"/>
  <c r="G34" i="1"/>
  <c r="BP34" i="1"/>
  <c r="BL34" i="1"/>
  <c r="BI34" i="1"/>
  <c r="BP67" i="1"/>
  <c r="BL67" i="1"/>
  <c r="BI67" i="1"/>
  <c r="G67" i="1"/>
  <c r="BL64" i="1"/>
  <c r="BI64" i="1"/>
  <c r="G64" i="1"/>
  <c r="BP64" i="1"/>
  <c r="BP57" i="1"/>
  <c r="BL57" i="1"/>
  <c r="BI57" i="1"/>
  <c r="G57" i="1"/>
  <c r="BP33" i="1"/>
  <c r="BL33" i="1"/>
  <c r="BI33" i="1"/>
  <c r="G33" i="1"/>
  <c r="BL54" i="1"/>
  <c r="BI54" i="1"/>
  <c r="G54" i="1"/>
  <c r="BP54" i="1"/>
  <c r="BP63" i="1"/>
  <c r="BL63" i="1"/>
  <c r="BI63" i="1"/>
  <c r="G63" i="1"/>
  <c r="BP49" i="1"/>
  <c r="BL49" i="1"/>
  <c r="BI49" i="1"/>
  <c r="G49" i="1"/>
  <c r="G38" i="1"/>
  <c r="BP38" i="1"/>
  <c r="BL38" i="1"/>
  <c r="BI38" i="1"/>
  <c r="BL29" i="1"/>
  <c r="BL27" i="1" l="1"/>
  <c r="BL43" i="1"/>
  <c r="BL70" i="1" s="1"/>
  <c r="BU86" i="1"/>
  <c r="BL30" i="1"/>
  <c r="BU88" i="1" l="1"/>
  <c r="BX86" i="1"/>
  <c r="BX8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<sst xmlns="http://schemas.openxmlformats.org/spreadsheetml/2006/main" count="77" uniqueCount="74">
  <si>
    <t>Select Month in</t>
  </si>
  <si>
    <t>School Form 2 Daily Attendance Report of Learners For Senior High School (SF2-SHS)</t>
  </si>
  <si>
    <t xml:space="preserve">School Name </t>
  </si>
  <si>
    <t xml:space="preserve">School ID </t>
  </si>
  <si>
    <t xml:space="preserve">District </t>
  </si>
  <si>
    <t xml:space="preserve">Division </t>
  </si>
  <si>
    <t>Region</t>
  </si>
  <si>
    <t xml:space="preserve">School Year </t>
  </si>
  <si>
    <t>Term</t>
  </si>
  <si>
    <t xml:space="preserve">Grade Level </t>
  </si>
  <si>
    <t>Track and Strand</t>
  </si>
  <si>
    <t>Course (for TVL only)</t>
  </si>
  <si>
    <t>Month of</t>
  </si>
  <si>
    <t xml:space="preserve">Section </t>
  </si>
  <si>
    <t>No.</t>
  </si>
  <si>
    <t>NAME
(Last Name, First Name, Middle Name)</t>
  </si>
  <si>
    <t>DATE</t>
  </si>
  <si>
    <t>Total for the Month</t>
  </si>
  <si>
    <t>REMARKS (If NLS, state reason, please refer to legend number 2. If TRANSFERRED IN/OUT, write the name of School.)</t>
  </si>
  <si>
    <t>ABSENT</t>
  </si>
  <si>
    <t>PRESENT</t>
  </si>
  <si>
    <t>&lt;=== MALE | TOTAL Per Day ===&gt;</t>
  </si>
  <si>
    <t>&lt;=== FEMALE | TOTAL Per Day ===&gt;</t>
  </si>
  <si>
    <t>Combined TOTAL Per Day</t>
  </si>
  <si>
    <t>GUIDELINES:</t>
  </si>
  <si>
    <t>1. CODES FOR CHECKING ATTENDANCE</t>
  </si>
  <si>
    <t>Summary</t>
  </si>
  <si>
    <t>1. The attendance shall be accomplished daily. Refer to the codes for checking learners' attendance.
2. Dates shall be written in the columns after Learner's Name.
3. To compute the following:</t>
  </si>
  <si>
    <t>(blank) - Present; X - Absent; T-L - Late Comer; T-C - Cutting Classes</t>
  </si>
  <si>
    <t>M</t>
  </si>
  <si>
    <t>F</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</si>
  <si>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</si>
  <si>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</si>
  <si>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</si>
  <si>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</si>
  <si>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</si>
  <si>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</si>
  <si>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</si>
  <si>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</si>
  <si>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</si>
  <si>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</si>
  <si>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</si>
  <si>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</si>
  <si>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</si>
  <si>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</si>
  <si>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</si>
  <si>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</si>
  <si>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</si>
  <si>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</si>
  <si>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</si>
  <si>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</si>
  <si>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</si>
  <si>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</si>
  <si>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</si>
  <si>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</si>
  <si>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</si>
  <si>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</si>
  <si>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c. School-Related Factors</t>
  </si>
  <si>
    <t xml:space="preserve">     NLS</t>
  </si>
  <si>
    <t>c.1. Teacher Factor
c.2. Physical condition of classroom
c.3. Peer influence</t>
  </si>
  <si>
    <t>Transferred Out</t>
  </si>
  <si>
    <t>d. Geographic/Environmental</t>
  </si>
  <si>
    <t xml:space="preserve">      Transferred In</t>
  </si>
  <si>
    <t>d.1. Distance between home and school
d.2. Armed conflict (incl. Tribal wars &amp; clanfeuds)
d.3. Calamities/Disasters</t>
  </si>
  <si>
    <t xml:space="preserve">      Shifted Out</t>
  </si>
  <si>
    <t xml:space="preserve">      Shifted In</t>
  </si>
  <si>
    <t>e. Financial-Related</t>
  </si>
  <si>
    <t>e.1. Child labor, work</t>
  </si>
  <si>
    <t>I certify that this is a true and correct report.</t>
  </si>
  <si>
    <t>f. Others (Specify)</t>
  </si>
  <si>
    <t>(Signature of Adviser over Printed Name)</t>
  </si>
  <si>
    <t>Attested by:</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</si>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</sst>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
  </numFmts>
  <fonts count="25">
    <font>
      <sz val="11"/>
      <name val="Carlito"/>
    </font>
    <font>
      <sz val="10"/>
      <name val="Arial"/>
      <family val="2"/>
    </font>
    <font>
      <sz val="9"/>
      <name val="SansSerif"/>
    </font>
    <font>
      <b/>
      <sz val="8"/>
      <color rgb="FF17365D"/>
      <name val="SansSerif"/>
    </font>
    <font>
      <b/>
      <sz val="8"/>
      <color rgb="FF17365D"/>
      <name val="Arial"/>
      <family val="2"/>
    </font>
    <font>
      <b/>
      <sz val="10"/>
      <color rgb="FF17365D"/>
      <name val="SansSerif"/>
    </font>
    <font>
      <b/>
      <sz val="10"/>
      <color rgb="FF17365D"/>
      <name val="Arial"/>
      <family val="2"/>
    </font>
    <font>
      <b/>
      <sz val="10"/>
      <name val="Arial"/>
      <family val="2"/>
    </font>
    <font>
      <b/>
      <sz val="11"/>
      <color indexed="72"/>
      <name val="SansSerif"/>
    </font>
    <font>
      <sz val="11"/>
      <color theme="10"/>
      <name val="Carlito"/>
    </font>
    <font>
      <b/>
      <sz val="11"/>
      <color rgb="FF0B7A4B"/>
      <name val="Carlito"/>
    </font>
    <font>
      <sz val="8"/>
      <color indexed="72"/>
      <name val="SansSerif"/>
    </font>
    <font>
      <sz val="7"/>
      <color indexed="72"/>
      <name val="SansSerif"/>
    </font>
    <font>
      <sz val="6"/>
      <color indexed="72"/>
      <name val="SansSerif"/>
    </font>
    <font>
      <b/>
      <sz val="6"/>
      <color indexed="72"/>
      <name val="SansSerif"/>
    </font>
    <font>
      <b/>
      <sz val="8"/>
      <color indexed="72"/>
      <name val="SansSerif"/>
    </font>
    <font>
      <b/>
      <sz val="5"/>
      <color indexed="72"/>
      <name val="SansSerif"/>
    </font>
    <font>
      <sz val="9"/>
      <color indexed="72"/>
      <name val="SansSerif"/>
    </font>
    <font>
      <b/>
      <sz val="5"/>
      <color indexed="72"/>
      <name val="Arial Narrow"/>
      <family val="2"/>
    </font>
    <font>
      <sz val="5"/>
      <color indexed="72"/>
      <name val="SansSerif"/>
    </font>
    <font>
      <i/>
      <sz val="5"/>
      <color indexed="72"/>
      <name val="SansSerif"/>
    </font>
    <font>
      <b/>
      <i/>
      <sz val="5"/>
      <color indexed="72"/>
      <name val="SansSerif"/>
    </font>
    <font>
      <b/>
      <sz val="5"/>
      <color indexed="31"/>
      <name val="SansSerif"/>
    </font>
    <font>
      <sz val="5"/>
      <color indexed="31"/>
      <name val="SansSerif"/>
    </font>
    <font>
      <i/>
      <sz val="8"/>
      <color indexed="72"/>
      <name val="SansSerif"/>
    </font>
  </fonts>
  <fills count="4">
    <fill>
      <patternFill patternType="none"/>
    </fill>
    <fill>
      <patternFill patternType="gray125"/>
    </fill>
    <fill>
      <patternFill patternType="solid">
        <fgColor indexed="9"/>
      </patternFill>
    </fill>
    <fill>
      <patternFill patternType="solid">
        <fgColor indexed="55"/>
      </patternFill>
    </fill>
  </fills>
  <borders count="5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style="thin">
        <color indexed="8"/>
      </top>
      <bottom/>
      <diagonal/>
    </border>
    <border>
      <left/>
      <right style="medium">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medium">
        <color indexed="8"/>
      </right>
      <top/>
      <bottom style="thin">
        <color indexed="8"/>
      </bottom>
      <diagonal/>
    </border>
    <border>
      <left style="medium">
        <color indexed="8"/>
      </left>
      <right/>
      <top/>
      <bottom style="thin">
        <color indexed="8"/>
      </bottom>
      <diagonal/>
    </border>
    <border>
      <left/>
      <right style="thin">
        <color indexed="9"/>
      </right>
      <top/>
      <bottom/>
      <diagonal/>
    </border>
    <border>
      <left style="medium">
        <color indexed="8"/>
      </left>
      <right/>
      <top style="thin">
        <color indexed="8"/>
      </top>
      <bottom/>
      <diagonal/>
    </border>
  </borders>
  <cellStyleXfs count="3">
    <xf numFmtId="0" fontId="0" fillId="0" borderId="0"/>
    <xf numFmtId="0" fontId="1" fillId="0" borderId="0" applyNumberFormat="0" applyFont="0" applyFill="0" applyBorder="0" applyAlignment="0" applyProtection="0"/>
    <xf numFmtId="0" fontId="9" fillId="0" borderId="0" applyNumberFormat="0" applyFill="0" applyBorder="0" applyAlignment="0" applyProtection="0"/>
  </cellStyleXfs>
  <cellXfs count="258">
    <xf numFmtId="0" fontId="0" fillId="0" borderId="0" xfId="0"/>
    <xf numFmtId="0" fontId="2" fillId="0" borderId="0" xfId="1" applyNumberFormat="1" applyFont="1" applyFill="1" applyBorder="1" applyAlignment="1">
      <alignment horizontal="left" vertical="top"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0" borderId="0" xfId="1" applyNumberFormat="1" applyFont="1" applyFill="1" applyBorder="1" applyAlignment="1"/>
    <xf numFmtId="164" fontId="0" fillId="0" borderId="0" xfId="0" applyNumberFormat="1"/>
    <xf numFmtId="0" fontId="5" fillId="0" borderId="0" xfId="0" applyFont="1" applyAlignment="1">
      <alignment horizontal="center" vertical="center" wrapText="1"/>
    </xf>
    <xf numFmtId="0" fontId="6" fillId="0" borderId="0" xfId="0" applyFont="1" applyAlignment="1">
      <alignment horizontal="center" vertical="center"/>
    </xf>
    <xf numFmtId="0" fontId="7" fillId="0" borderId="0" xfId="1" applyNumberFormat="1" applyFont="1" applyFill="1" applyBorder="1" applyAlignment="1"/>
    <xf numFmtId="0" fontId="8" fillId="0" borderId="0" xfId="1" applyNumberFormat="1" applyFont="1" applyFill="1" applyBorder="1" applyAlignment="1">
      <alignment horizontal="center" vertical="center" wrapText="1"/>
    </xf>
    <xf numFmtId="0" fontId="1" fillId="0" borderId="0" xfId="1" applyNumberFormat="1" applyFont="1" applyFill="1" applyBorder="1" applyAlignment="1"/>
    <xf numFmtId="0" fontId="10" fillId="0" borderId="0" xfId="2" applyFont="1" applyFill="1" applyBorder="1" applyAlignment="1">
      <alignment horizontal="left" vertical="top"/>
    </xf>
    <xf numFmtId="0" fontId="11" fillId="0" borderId="0" xfId="1" applyNumberFormat="1" applyFont="1" applyFill="1" applyBorder="1" applyAlignment="1">
      <alignment horizontal="right" vertical="center" wrapText="1"/>
    </xf>
    <xf numFmtId="0" fontId="12" fillId="0" borderId="1" xfId="1" applyFont="1" applyBorder="1" applyAlignment="1">
      <alignment horizontal="center" vertical="center" wrapText="1"/>
    </xf>
    <xf numFmtId="0" fontId="12" fillId="0" borderId="2" xfId="1" applyFont="1" applyBorder="1" applyAlignment="1">
      <alignment horizontal="center" vertical="center" wrapText="1"/>
    </xf>
    <xf numFmtId="0" fontId="12" fillId="0" borderId="3" xfId="1" applyFont="1" applyBorder="1" applyAlignment="1">
      <alignment horizontal="center" vertical="center" wrapText="1"/>
    </xf>
    <xf numFmtId="0" fontId="11" fillId="0" borderId="1" xfId="1" applyFont="1" applyBorder="1" applyAlignment="1">
      <alignment horizontal="center" vertical="center" wrapText="1"/>
    </xf>
    <xf numFmtId="0" fontId="11" fillId="0" borderId="2" xfId="1" applyFont="1" applyBorder="1" applyAlignment="1">
      <alignment horizontal="center" vertical="center" wrapText="1"/>
    </xf>
    <xf numFmtId="0" fontId="11" fillId="0" borderId="3" xfId="1" applyFont="1" applyBorder="1" applyAlignment="1">
      <alignment horizontal="center" vertical="center" wrapText="1"/>
    </xf>
    <xf numFmtId="0" fontId="11" fillId="0" borderId="0" xfId="1" applyNumberFormat="1" applyFont="1" applyFill="1" applyBorder="1" applyAlignment="1">
      <alignment horizontal="right" wrapText="1"/>
    </xf>
    <xf numFmtId="0" fontId="12" fillId="0" borderId="4" xfId="1" applyFont="1" applyBorder="1" applyAlignment="1">
      <alignment horizontal="center" vertical="center" wrapText="1"/>
    </xf>
    <xf numFmtId="0" fontId="12" fillId="0" borderId="5" xfId="1" applyFont="1" applyBorder="1" applyAlignment="1">
      <alignment horizontal="center" vertical="center" wrapText="1"/>
    </xf>
    <xf numFmtId="0" fontId="12" fillId="0" borderId="6" xfId="1" applyFont="1" applyBorder="1" applyAlignment="1">
      <alignment horizontal="center" vertical="center" wrapText="1"/>
    </xf>
    <xf numFmtId="0" fontId="13" fillId="0" borderId="4" xfId="1" applyFont="1" applyBorder="1" applyAlignment="1">
      <alignment horizontal="center" vertical="center" wrapText="1"/>
    </xf>
    <xf numFmtId="0" fontId="13" fillId="0" borderId="5" xfId="1" applyFont="1" applyBorder="1" applyAlignment="1">
      <alignment horizontal="center" vertical="center" wrapText="1"/>
    </xf>
    <xf numFmtId="0" fontId="13"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8" xfId="1" applyFont="1" applyBorder="1" applyAlignment="1">
      <alignment horizontal="center" vertical="center" wrapText="1"/>
    </xf>
    <xf numFmtId="0" fontId="12" fillId="0" borderId="9" xfId="1" applyFont="1" applyBorder="1" applyAlignment="1">
      <alignment horizontal="center" vertical="center" wrapText="1"/>
    </xf>
    <xf numFmtId="0" fontId="11" fillId="0" borderId="4" xfId="1" applyFont="1" applyBorder="1" applyAlignment="1">
      <alignment horizontal="center" vertical="center" wrapText="1"/>
    </xf>
    <xf numFmtId="0" fontId="11" fillId="0" borderId="5" xfId="1" applyFont="1" applyBorder="1" applyAlignment="1">
      <alignment horizontal="center" vertical="center" wrapText="1"/>
    </xf>
    <xf numFmtId="0" fontId="11"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8" xfId="1" applyFont="1" applyBorder="1" applyAlignment="1">
      <alignment horizontal="center" vertical="center" wrapText="1"/>
    </xf>
    <xf numFmtId="0" fontId="13" fillId="0" borderId="9" xfId="1" applyFont="1" applyBorder="1" applyAlignment="1">
      <alignment horizontal="center" vertical="center" wrapText="1"/>
    </xf>
    <xf numFmtId="0" fontId="11" fillId="0" borderId="7" xfId="1" applyFont="1" applyBorder="1" applyAlignment="1">
      <alignment horizontal="center" vertical="center" wrapText="1"/>
    </xf>
    <xf numFmtId="0" fontId="11" fillId="0" borderId="8" xfId="1" applyFont="1" applyBorder="1" applyAlignment="1">
      <alignment horizontal="center" vertical="center" wrapText="1"/>
    </xf>
    <xf numFmtId="0" fontId="11" fillId="0" borderId="9" xfId="1" applyFont="1" applyBorder="1" applyAlignment="1">
      <alignment horizontal="center" vertical="center" wrapText="1"/>
    </xf>
    <xf numFmtId="164" fontId="2" fillId="0" borderId="0" xfId="0" applyNumberFormat="1" applyFont="1" applyAlignment="1">
      <alignment horizontal="left" vertical="top" wrapText="1"/>
    </xf>
    <xf numFmtId="164" fontId="1" fillId="0" borderId="0" xfId="0" applyNumberFormat="1" applyFont="1"/>
    <xf numFmtId="0" fontId="14" fillId="0" borderId="10" xfId="1" applyFont="1" applyBorder="1" applyAlignment="1">
      <alignment horizontal="center" vertical="center" wrapText="1"/>
    </xf>
    <xf numFmtId="0" fontId="14" fillId="0" borderId="11" xfId="1" applyFont="1" applyBorder="1" applyAlignment="1">
      <alignment horizontal="center" vertical="center" wrapText="1"/>
    </xf>
    <xf numFmtId="0" fontId="14" fillId="0" borderId="12" xfId="1" applyFont="1" applyBorder="1" applyAlignment="1">
      <alignment horizontal="center" vertical="center" wrapText="1"/>
    </xf>
    <xf numFmtId="0" fontId="13" fillId="0" borderId="13" xfId="1" applyFont="1" applyBorder="1" applyAlignment="1">
      <alignment horizontal="left" vertical="center" wrapText="1"/>
    </xf>
    <xf numFmtId="0" fontId="13" fillId="0" borderId="14" xfId="1" applyFont="1" applyBorder="1" applyAlignment="1">
      <alignment horizontal="left" vertical="center" wrapText="1"/>
    </xf>
    <xf numFmtId="0" fontId="13" fillId="0" borderId="15" xfId="1" applyFont="1" applyBorder="1" applyAlignment="1">
      <alignment horizontal="left" vertical="center" wrapText="1"/>
    </xf>
    <xf numFmtId="0" fontId="15" fillId="0" borderId="10" xfId="1" applyFont="1" applyBorder="1" applyAlignment="1">
      <alignment horizontal="center" vertical="center" wrapText="1"/>
    </xf>
    <xf numFmtId="0" fontId="15" fillId="0" borderId="11" xfId="1" applyFont="1" applyBorder="1" applyAlignment="1">
      <alignment horizontal="center" vertical="center" wrapText="1"/>
    </xf>
    <xf numFmtId="0" fontId="15" fillId="0" borderId="12" xfId="1" applyFont="1" applyBorder="1" applyAlignment="1">
      <alignment horizontal="center" vertical="center" wrapText="1"/>
    </xf>
    <xf numFmtId="0" fontId="16" fillId="0" borderId="10" xfId="1" applyFont="1" applyBorder="1" applyAlignment="1">
      <alignment horizontal="center" vertical="center" wrapText="1"/>
    </xf>
    <xf numFmtId="0" fontId="16" fillId="0" borderId="11" xfId="1" applyFont="1" applyBorder="1" applyAlignment="1">
      <alignment horizontal="center" vertical="center" wrapText="1"/>
    </xf>
    <xf numFmtId="0" fontId="16" fillId="0" borderId="12" xfId="1" applyFont="1" applyBorder="1" applyAlignment="1">
      <alignment horizontal="center" vertical="center" wrapText="1"/>
    </xf>
    <xf numFmtId="0" fontId="14" fillId="0" borderId="16" xfId="1" applyFont="1" applyBorder="1" applyAlignment="1">
      <alignment horizontal="center" vertical="center" wrapText="1"/>
    </xf>
    <xf numFmtId="0" fontId="14" fillId="0" borderId="17" xfId="1" applyFont="1" applyBorder="1" applyAlignment="1">
      <alignment horizontal="center" vertical="center" wrapText="1"/>
    </xf>
    <xf numFmtId="0" fontId="17" fillId="0" borderId="18" xfId="1" applyFont="1" applyBorder="1" applyAlignment="1">
      <alignment horizontal="left" vertical="top" wrapText="1"/>
    </xf>
    <xf numFmtId="0" fontId="17" fillId="0" borderId="3" xfId="1" applyFont="1" applyBorder="1" applyAlignment="1">
      <alignment horizontal="left" vertical="top" wrapText="1"/>
    </xf>
    <xf numFmtId="0" fontId="17" fillId="0" borderId="19" xfId="1" applyNumberFormat="1" applyFont="1" applyFill="1" applyBorder="1" applyAlignment="1">
      <alignment horizontal="left" vertical="top" wrapText="1"/>
    </xf>
    <xf numFmtId="0" fontId="17" fillId="0" borderId="1" xfId="1" applyFont="1" applyBorder="1" applyAlignment="1">
      <alignment horizontal="left" vertical="top" wrapText="1"/>
    </xf>
    <xf numFmtId="0" fontId="17" fillId="0" borderId="2" xfId="1" applyFont="1" applyBorder="1" applyAlignment="1">
      <alignment horizontal="left" vertical="top" wrapText="1"/>
    </xf>
    <xf numFmtId="0" fontId="17" fillId="0" borderId="20" xfId="1" applyNumberFormat="1" applyFont="1" applyFill="1" applyBorder="1" applyAlignment="1">
      <alignment horizontal="left" vertical="top" wrapText="1"/>
    </xf>
    <xf numFmtId="0" fontId="15" fillId="0" borderId="21" xfId="1" applyFont="1" applyBorder="1" applyAlignment="1">
      <alignment horizontal="center" vertical="center" wrapText="1"/>
    </xf>
    <xf numFmtId="0" fontId="15" fillId="0" borderId="22" xfId="1" applyFont="1" applyBorder="1" applyAlignment="1">
      <alignment horizontal="center" vertical="center" wrapText="1"/>
    </xf>
    <xf numFmtId="0" fontId="15" fillId="0" borderId="23" xfId="1" applyFont="1" applyBorder="1" applyAlignment="1">
      <alignment horizontal="center" vertical="center" wrapText="1"/>
    </xf>
    <xf numFmtId="0" fontId="16" fillId="0" borderId="16" xfId="1" applyFont="1" applyBorder="1" applyAlignment="1">
      <alignment horizontal="center" vertical="center" wrapText="1"/>
    </xf>
    <xf numFmtId="0" fontId="16" fillId="0" borderId="17" xfId="1" applyFont="1" applyBorder="1" applyAlignment="1">
      <alignment horizontal="center" vertical="center" wrapText="1"/>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4" fillId="0" borderId="23" xfId="1" applyFont="1" applyBorder="1" applyAlignment="1">
      <alignment horizontal="center" vertical="center" wrapText="1"/>
    </xf>
    <xf numFmtId="0" fontId="13" fillId="0" borderId="24" xfId="1" applyFont="1" applyBorder="1" applyAlignment="1">
      <alignment horizontal="center" vertical="center" wrapText="1"/>
    </xf>
    <xf numFmtId="0" fontId="13" fillId="0" borderId="25" xfId="1" applyFont="1" applyBorder="1" applyAlignment="1">
      <alignment horizontal="center" vertical="center" wrapText="1"/>
    </xf>
    <xf numFmtId="0" fontId="13" fillId="0" borderId="26" xfId="1" applyNumberFormat="1" applyFont="1" applyFill="1" applyBorder="1" applyAlignment="1">
      <alignment horizontal="center" vertical="center" wrapText="1"/>
    </xf>
    <xf numFmtId="0" fontId="13" fillId="0" borderId="27" xfId="1" applyFont="1" applyBorder="1" applyAlignment="1">
      <alignment horizontal="center" vertical="center" wrapText="1"/>
    </xf>
    <xf numFmtId="0" fontId="13" fillId="0" borderId="28" xfId="1" applyFont="1" applyBorder="1" applyAlignment="1">
      <alignment horizontal="center" vertical="center" wrapText="1"/>
    </xf>
    <xf numFmtId="0" fontId="13" fillId="0" borderId="29" xfId="1" applyNumberFormat="1" applyFont="1" applyFill="1" applyBorder="1" applyAlignment="1">
      <alignment horizontal="center" vertical="center" wrapText="1"/>
    </xf>
    <xf numFmtId="0" fontId="16" fillId="0" borderId="30" xfId="1" applyFont="1" applyBorder="1" applyAlignment="1">
      <alignment horizontal="center" vertical="center" wrapText="1"/>
    </xf>
    <xf numFmtId="0" fontId="16" fillId="0" borderId="31" xfId="1" applyFont="1" applyBorder="1" applyAlignment="1">
      <alignment horizontal="center" vertical="center" wrapText="1"/>
    </xf>
    <xf numFmtId="0" fontId="16" fillId="0" borderId="32" xfId="1" applyFont="1" applyBorder="1" applyAlignment="1">
      <alignment horizontal="center" vertical="center" wrapText="1"/>
    </xf>
    <xf numFmtId="0" fontId="16" fillId="0" borderId="21" xfId="1" applyFont="1" applyBorder="1" applyAlignment="1">
      <alignment horizontal="center" vertical="center" wrapText="1"/>
    </xf>
    <xf numFmtId="0" fontId="16" fillId="0" borderId="22" xfId="1" applyFont="1" applyBorder="1" applyAlignment="1">
      <alignment horizontal="center" vertical="center" wrapText="1"/>
    </xf>
    <xf numFmtId="0" fontId="16" fillId="0" borderId="23" xfId="1" applyFont="1" applyBorder="1" applyAlignment="1">
      <alignment horizontal="center" vertical="center" wrapText="1"/>
    </xf>
    <xf numFmtId="165" fontId="12" fillId="0" borderId="18" xfId="1" applyNumberFormat="1" applyFont="1" applyBorder="1" applyAlignment="1">
      <alignment horizontal="center" vertical="center" wrapText="1"/>
    </xf>
    <xf numFmtId="165" fontId="12" fillId="0" borderId="2" xfId="1" applyNumberFormat="1" applyFont="1" applyBorder="1" applyAlignment="1">
      <alignment horizontal="center" vertical="center" wrapText="1"/>
    </xf>
    <xf numFmtId="165" fontId="12" fillId="0" borderId="3" xfId="1" applyNumberFormat="1" applyFont="1" applyBorder="1" applyAlignment="1">
      <alignment horizontal="center" vertical="center" wrapText="1"/>
    </xf>
    <xf numFmtId="0" fontId="12" fillId="0" borderId="1" xfId="1" applyFont="1" applyBorder="1" applyAlignment="1">
      <alignment horizontal="left" vertical="center" wrapText="1"/>
    </xf>
    <xf numFmtId="0" fontId="12" fillId="0" borderId="2" xfId="1" applyFont="1" applyBorder="1" applyAlignment="1">
      <alignment horizontal="left" vertical="center" wrapText="1"/>
    </xf>
    <xf numFmtId="0" fontId="12" fillId="0" borderId="3" xfId="1" applyFont="1" applyBorder="1" applyAlignment="1">
      <alignment horizontal="left" vertical="center" wrapText="1"/>
    </xf>
    <xf numFmtId="0" fontId="17" fillId="0" borderId="33" xfId="1" applyFont="1" applyBorder="1" applyAlignment="1">
      <alignment horizontal="left" vertical="top" wrapText="1"/>
    </xf>
    <xf numFmtId="0" fontId="17" fillId="0" borderId="34" xfId="1" applyNumberFormat="1" applyFont="1" applyFill="1" applyBorder="1" applyAlignment="1">
      <alignment horizontal="left" vertical="top" wrapText="1"/>
    </xf>
    <xf numFmtId="0" fontId="18" fillId="0" borderId="18" xfId="1" applyFont="1" applyBorder="1" applyAlignment="1">
      <alignment horizontal="center" vertical="center" wrapText="1"/>
    </xf>
    <xf numFmtId="0" fontId="18" fillId="0" borderId="2" xfId="1" applyFont="1" applyBorder="1" applyAlignment="1">
      <alignment horizontal="center" vertical="center" wrapText="1"/>
    </xf>
    <xf numFmtId="0" fontId="18" fillId="0" borderId="33" xfId="1" applyFont="1" applyBorder="1" applyAlignment="1">
      <alignment horizontal="center" vertical="center" wrapText="1"/>
    </xf>
    <xf numFmtId="0" fontId="18" fillId="0" borderId="1" xfId="1" applyFont="1" applyBorder="1" applyAlignment="1">
      <alignment horizontal="center" vertical="center" wrapText="1"/>
    </xf>
    <xf numFmtId="0" fontId="12" fillId="0" borderId="24" xfId="1" applyFont="1" applyBorder="1" applyAlignment="1">
      <alignment horizontal="center" vertical="center" wrapText="1"/>
    </xf>
    <xf numFmtId="0" fontId="12" fillId="0" borderId="28" xfId="1" applyFont="1" applyBorder="1" applyAlignment="1">
      <alignment horizontal="center" vertical="center" wrapText="1"/>
    </xf>
    <xf numFmtId="0" fontId="12" fillId="0" borderId="25" xfId="1" applyFont="1" applyBorder="1" applyAlignment="1">
      <alignment horizontal="center" vertical="center" wrapText="1"/>
    </xf>
    <xf numFmtId="0" fontId="12" fillId="0" borderId="35" xfId="1" applyFont="1" applyBorder="1" applyAlignment="1">
      <alignment horizontal="left" vertical="center" wrapText="1"/>
    </xf>
    <xf numFmtId="0" fontId="12" fillId="0" borderId="36" xfId="1" applyFont="1" applyBorder="1" applyAlignment="1">
      <alignment horizontal="left" vertical="center" wrapText="1"/>
    </xf>
    <xf numFmtId="0" fontId="12" fillId="0" borderId="37" xfId="1" applyFont="1" applyBorder="1" applyAlignment="1">
      <alignment horizontal="left" vertical="center" wrapText="1"/>
    </xf>
    <xf numFmtId="0" fontId="17" fillId="0" borderId="24" xfId="1" applyFont="1" applyBorder="1" applyAlignment="1">
      <alignment horizontal="left" vertical="top" wrapText="1"/>
    </xf>
    <xf numFmtId="0" fontId="17" fillId="0" borderId="25" xfId="1" applyFont="1" applyBorder="1" applyAlignment="1">
      <alignment horizontal="left" vertical="top" wrapText="1"/>
    </xf>
    <xf numFmtId="0" fontId="17" fillId="0" borderId="26" xfId="1" applyNumberFormat="1" applyFont="1" applyFill="1" applyBorder="1" applyAlignment="1">
      <alignment horizontal="left" vertical="top" wrapText="1"/>
    </xf>
    <xf numFmtId="0" fontId="17" fillId="0" borderId="27" xfId="1" applyFont="1" applyBorder="1" applyAlignment="1">
      <alignment horizontal="left" vertical="top" wrapText="1"/>
    </xf>
    <xf numFmtId="0" fontId="17" fillId="0" borderId="28" xfId="1" applyFont="1" applyBorder="1" applyAlignment="1">
      <alignment horizontal="left" vertical="top" wrapText="1"/>
    </xf>
    <xf numFmtId="0" fontId="17" fillId="0" borderId="38" xfId="1" applyFont="1" applyBorder="1" applyAlignment="1">
      <alignment horizontal="left" vertical="top" wrapText="1"/>
    </xf>
    <xf numFmtId="0" fontId="17" fillId="0" borderId="39" xfId="1" applyNumberFormat="1" applyFont="1" applyFill="1" applyBorder="1" applyAlignment="1">
      <alignment horizontal="left" vertical="top" wrapText="1"/>
    </xf>
    <xf numFmtId="0" fontId="18" fillId="0" borderId="24" xfId="1" applyFont="1" applyBorder="1" applyAlignment="1">
      <alignment horizontal="center" vertical="center" wrapText="1"/>
    </xf>
    <xf numFmtId="0" fontId="18" fillId="0" borderId="28" xfId="1" applyFont="1" applyBorder="1" applyAlignment="1">
      <alignment horizontal="center" vertical="center" wrapText="1"/>
    </xf>
    <xf numFmtId="0" fontId="18" fillId="0" borderId="38" xfId="1" applyFont="1" applyBorder="1" applyAlignment="1">
      <alignment horizontal="center" vertical="center" wrapText="1"/>
    </xf>
    <xf numFmtId="0" fontId="12" fillId="0" borderId="35" xfId="1" applyFont="1" applyBorder="1" applyAlignment="1">
      <alignment horizontal="center" vertical="center" wrapText="1"/>
    </xf>
    <xf numFmtId="0" fontId="12" fillId="0" borderId="36" xfId="1" applyFont="1" applyBorder="1" applyAlignment="1">
      <alignment horizontal="center" vertical="center" wrapText="1"/>
    </xf>
    <xf numFmtId="0" fontId="12" fillId="0" borderId="37" xfId="1" applyFont="1" applyBorder="1" applyAlignment="1">
      <alignment horizontal="center" vertical="center" wrapText="1"/>
    </xf>
    <xf numFmtId="0" fontId="12" fillId="0" borderId="27" xfId="1" applyFont="1" applyBorder="1" applyAlignment="1">
      <alignment horizontal="center" vertical="center" wrapText="1"/>
    </xf>
    <xf numFmtId="0" fontId="14" fillId="0" borderId="0" xfId="1" applyNumberFormat="1" applyFont="1" applyFill="1" applyBorder="1" applyAlignment="1">
      <alignment horizontal="left" vertical="center" wrapText="1"/>
    </xf>
    <xf numFmtId="0" fontId="16" fillId="0" borderId="4" xfId="1" applyFont="1" applyBorder="1" applyAlignment="1">
      <alignment horizontal="left" vertical="center" wrapText="1"/>
    </xf>
    <xf numFmtId="0" fontId="16" fillId="0" borderId="5" xfId="1" applyFont="1" applyBorder="1" applyAlignment="1">
      <alignment horizontal="left" vertical="center" wrapText="1"/>
    </xf>
    <xf numFmtId="0" fontId="16" fillId="0" borderId="6" xfId="1" applyFont="1" applyBorder="1" applyAlignment="1">
      <alignment horizontal="left" vertical="center" wrapText="1"/>
    </xf>
    <xf numFmtId="0" fontId="14" fillId="0" borderId="10" xfId="1" applyFont="1" applyBorder="1" applyAlignment="1">
      <alignment horizontal="left" vertical="top" wrapText="1"/>
    </xf>
    <xf numFmtId="0" fontId="14" fillId="0" borderId="11" xfId="1" applyFont="1" applyBorder="1" applyAlignment="1">
      <alignment horizontal="left" vertical="top" wrapText="1"/>
    </xf>
    <xf numFmtId="0" fontId="14" fillId="0" borderId="12" xfId="1" applyFont="1" applyBorder="1" applyAlignment="1">
      <alignment horizontal="left" vertical="top" wrapText="1"/>
    </xf>
    <xf numFmtId="0" fontId="16" fillId="0" borderId="40" xfId="1" applyFont="1" applyBorder="1" applyAlignment="1">
      <alignment horizontal="center" vertical="center" wrapText="1"/>
    </xf>
    <xf numFmtId="0" fontId="16" fillId="0" borderId="14" xfId="1" applyFont="1" applyBorder="1" applyAlignment="1">
      <alignment horizontal="center" vertical="center" wrapText="1"/>
    </xf>
    <xf numFmtId="0" fontId="16" fillId="0" borderId="41" xfId="1" applyFont="1" applyBorder="1" applyAlignment="1">
      <alignment horizontal="center" vertical="center" wrapText="1"/>
    </xf>
    <xf numFmtId="0" fontId="13" fillId="0" borderId="0" xfId="1" applyNumberFormat="1" applyFont="1" applyFill="1" applyBorder="1" applyAlignment="1">
      <alignment horizontal="left" vertical="top" wrapText="1"/>
    </xf>
    <xf numFmtId="0" fontId="19" fillId="0" borderId="42" xfId="1" applyFont="1" applyBorder="1" applyAlignment="1">
      <alignment horizontal="center" vertical="top" wrapText="1"/>
    </xf>
    <xf numFmtId="0" fontId="19" fillId="0" borderId="0" xfId="1" applyFont="1" applyBorder="1" applyAlignment="1">
      <alignment horizontal="center" vertical="top" wrapText="1"/>
    </xf>
    <xf numFmtId="0" fontId="19" fillId="0" borderId="43" xfId="1" applyFont="1" applyBorder="1" applyAlignment="1">
      <alignment horizontal="center" vertical="top" wrapText="1"/>
    </xf>
    <xf numFmtId="0" fontId="14" fillId="0" borderId="21" xfId="1" applyFont="1" applyBorder="1" applyAlignment="1">
      <alignment horizontal="left" vertical="top" wrapText="1"/>
    </xf>
    <xf numFmtId="0" fontId="14" fillId="0" borderId="22" xfId="1" applyFont="1" applyBorder="1" applyAlignment="1">
      <alignment horizontal="left" vertical="top" wrapText="1"/>
    </xf>
    <xf numFmtId="0" fontId="14" fillId="0" borderId="23" xfId="1" applyFont="1" applyBorder="1" applyAlignment="1">
      <alignment horizontal="left" vertical="top" wrapText="1"/>
    </xf>
    <xf numFmtId="0" fontId="16" fillId="0" borderId="27" xfId="1" applyFont="1" applyBorder="1" applyAlignment="1">
      <alignment horizontal="center" vertical="center" wrapText="1"/>
    </xf>
    <xf numFmtId="0" fontId="16" fillId="0" borderId="25" xfId="1" applyFont="1" applyBorder="1" applyAlignment="1">
      <alignment horizontal="center" vertical="center" wrapText="1"/>
    </xf>
    <xf numFmtId="0" fontId="16" fillId="0" borderId="26" xfId="1" applyNumberFormat="1" applyFont="1" applyFill="1" applyBorder="1" applyAlignment="1">
      <alignment horizontal="center" vertical="center" wrapText="1"/>
    </xf>
    <xf numFmtId="0" fontId="16" fillId="0" borderId="28" xfId="1" applyFont="1" applyBorder="1" applyAlignment="1">
      <alignment horizontal="center" vertical="center" wrapText="1"/>
    </xf>
    <xf numFmtId="0" fontId="16" fillId="0" borderId="38" xfId="1" applyFont="1" applyBorder="1" applyAlignment="1">
      <alignment horizontal="center" vertical="center" wrapText="1"/>
    </xf>
    <xf numFmtId="0" fontId="12" fillId="2" borderId="4" xfId="1" applyFont="1" applyFill="1" applyBorder="1" applyAlignment="1">
      <alignment horizontal="center" vertical="center" wrapText="1"/>
    </xf>
    <xf numFmtId="0" fontId="12" fillId="2" borderId="6" xfId="1" applyFont="1" applyFill="1" applyBorder="1" applyAlignment="1">
      <alignment horizontal="center" vertical="center" wrapText="1"/>
    </xf>
    <xf numFmtId="0" fontId="12" fillId="2" borderId="44" xfId="1" applyFont="1" applyFill="1" applyBorder="1" applyAlignment="1">
      <alignment horizontal="center" vertical="center" wrapText="1"/>
    </xf>
    <xf numFmtId="0" fontId="12" fillId="2" borderId="5" xfId="1" applyFont="1" applyFill="1" applyBorder="1" applyAlignment="1">
      <alignment horizontal="center" vertical="center" wrapText="1"/>
    </xf>
    <xf numFmtId="0" fontId="12" fillId="2" borderId="45" xfId="1" applyFont="1" applyFill="1" applyBorder="1" applyAlignment="1">
      <alignment horizontal="center" vertical="center" wrapText="1"/>
    </xf>
    <xf numFmtId="0" fontId="13" fillId="0" borderId="16" xfId="1" applyFont="1" applyBorder="1" applyAlignment="1">
      <alignment horizontal="left" vertical="center" wrapText="1"/>
    </xf>
    <xf numFmtId="0" fontId="13" fillId="0" borderId="0" xfId="1" applyFont="1" applyBorder="1" applyAlignment="1">
      <alignment horizontal="left" vertical="center" wrapText="1"/>
    </xf>
    <xf numFmtId="0" fontId="13" fillId="0" borderId="43" xfId="1" applyFont="1" applyBorder="1" applyAlignment="1">
      <alignment horizontal="left" vertical="center" wrapText="1"/>
    </xf>
    <xf numFmtId="1" fontId="12" fillId="2" borderId="42" xfId="0" applyNumberFormat="1" applyFont="1" applyFill="1" applyBorder="1" applyAlignment="1">
      <alignment horizontal="center" vertical="center" wrapText="1"/>
    </xf>
    <xf numFmtId="1" fontId="12" fillId="2" borderId="43" xfId="0" applyNumberFormat="1" applyFont="1" applyFill="1" applyBorder="1" applyAlignment="1">
      <alignment horizontal="center" vertical="center" wrapText="1"/>
    </xf>
    <xf numFmtId="1" fontId="12" fillId="2" borderId="46" xfId="0" applyNumberFormat="1" applyFont="1" applyFill="1" applyBorder="1" applyAlignment="1">
      <alignment horizontal="center" vertical="center" wrapText="1"/>
    </xf>
    <xf numFmtId="0" fontId="12" fillId="2" borderId="17" xfId="1" applyFont="1" applyFill="1" applyBorder="1" applyAlignment="1">
      <alignment horizontal="center" vertical="center" wrapText="1"/>
    </xf>
    <xf numFmtId="0" fontId="16" fillId="0" borderId="42" xfId="1" applyFont="1" applyBorder="1" applyAlignment="1">
      <alignment horizontal="left" vertical="center" wrapText="1"/>
    </xf>
    <xf numFmtId="0" fontId="16" fillId="0" borderId="0" xfId="1" applyFont="1" applyBorder="1" applyAlignment="1">
      <alignment horizontal="left" vertical="center" wrapText="1"/>
    </xf>
    <xf numFmtId="0" fontId="16" fillId="0" borderId="43" xfId="1" applyFont="1" applyBorder="1" applyAlignment="1">
      <alignment horizontal="left" vertical="center" wrapText="1"/>
    </xf>
    <xf numFmtId="0" fontId="12" fillId="2" borderId="7" xfId="1" applyFont="1" applyFill="1" applyBorder="1" applyAlignment="1">
      <alignment horizontal="center" vertical="center" wrapText="1"/>
    </xf>
    <xf numFmtId="0" fontId="12" fillId="2" borderId="9" xfId="1" applyFont="1" applyFill="1" applyBorder="1" applyAlignment="1">
      <alignment horizontal="center" vertical="center" wrapText="1"/>
    </xf>
    <xf numFmtId="0" fontId="12" fillId="2" borderId="47" xfId="1" applyFont="1" applyFill="1" applyBorder="1" applyAlignment="1">
      <alignment horizontal="center" vertical="center" wrapText="1"/>
    </xf>
    <xf numFmtId="0" fontId="12" fillId="2" borderId="8" xfId="1" applyFont="1" applyFill="1" applyBorder="1" applyAlignment="1">
      <alignment horizontal="center" vertical="center" wrapText="1"/>
    </xf>
    <xf numFmtId="0" fontId="12" fillId="2" borderId="48" xfId="1" applyFont="1" applyFill="1" applyBorder="1" applyAlignment="1">
      <alignment horizontal="center" vertical="center" wrapText="1"/>
    </xf>
    <xf numFmtId="0" fontId="13" fillId="0" borderId="49" xfId="1" applyFont="1" applyBorder="1" applyAlignment="1">
      <alignment horizontal="left" vertical="center" wrapText="1"/>
    </xf>
    <xf numFmtId="0" fontId="13" fillId="0" borderId="8" xfId="1" applyFont="1" applyBorder="1" applyAlignment="1">
      <alignment horizontal="left" vertical="center" wrapText="1"/>
    </xf>
    <xf numFmtId="0" fontId="13" fillId="0" borderId="9" xfId="1" applyFont="1" applyBorder="1" applyAlignment="1">
      <alignment horizontal="left" vertical="center" wrapText="1"/>
    </xf>
    <xf numFmtId="0" fontId="20" fillId="0" borderId="16" xfId="1" applyFont="1" applyBorder="1" applyAlignment="1">
      <alignment horizontal="left" vertical="center" wrapText="1"/>
    </xf>
    <xf numFmtId="0" fontId="20" fillId="0" borderId="0" xfId="1" applyFont="1" applyBorder="1" applyAlignment="1">
      <alignment horizontal="left" vertical="center" wrapText="1"/>
    </xf>
    <xf numFmtId="0" fontId="20" fillId="0" borderId="50" xfId="1" applyFont="1" applyBorder="1" applyAlignment="1">
      <alignment horizontal="left" vertical="center" wrapText="1"/>
    </xf>
    <xf numFmtId="0" fontId="21" fillId="0" borderId="0" xfId="1" applyFont="1" applyBorder="1" applyAlignment="1">
      <alignment horizontal="left" vertical="center" wrapText="1"/>
    </xf>
    <xf numFmtId="0" fontId="21" fillId="0" borderId="43" xfId="1" applyFont="1" applyBorder="1" applyAlignment="1">
      <alignment horizontal="left" vertical="center" wrapText="1"/>
    </xf>
    <xf numFmtId="1" fontId="12" fillId="2" borderId="4" xfId="0" applyNumberFormat="1" applyFont="1" applyFill="1" applyBorder="1" applyAlignment="1">
      <alignment horizontal="center" vertical="center" wrapText="1"/>
    </xf>
    <xf numFmtId="1" fontId="12" fillId="2" borderId="6" xfId="0" applyNumberFormat="1" applyFont="1" applyFill="1" applyBorder="1" applyAlignment="1">
      <alignment horizontal="center" vertical="center" wrapText="1"/>
    </xf>
    <xf numFmtId="1" fontId="12" fillId="2" borderId="44" xfId="0" applyNumberFormat="1" applyFont="1" applyFill="1" applyBorder="1" applyAlignment="1">
      <alignment horizontal="center" vertical="center" wrapText="1"/>
    </xf>
    <xf numFmtId="0" fontId="13" fillId="0" borderId="0" xfId="1" applyNumberFormat="1" applyFont="1" applyFill="1" applyBorder="1" applyAlignment="1">
      <alignment horizontal="left" vertical="center" wrapText="1"/>
    </xf>
    <xf numFmtId="0" fontId="13" fillId="0" borderId="0" xfId="1" applyFont="1" applyBorder="1" applyAlignment="1">
      <alignment horizontal="center" vertical="center" wrapText="1"/>
    </xf>
    <xf numFmtId="0" fontId="13" fillId="0" borderId="0" xfId="1" applyNumberFormat="1" applyFont="1" applyFill="1" applyBorder="1" applyAlignment="1">
      <alignment horizontal="center" vertical="center" wrapText="1"/>
    </xf>
    <xf numFmtId="0" fontId="12" fillId="2" borderId="42" xfId="1" applyFont="1" applyFill="1" applyBorder="1" applyAlignment="1">
      <alignment horizontal="center" vertical="center" wrapText="1"/>
    </xf>
    <xf numFmtId="0" fontId="12" fillId="2" borderId="43" xfId="1" applyFont="1" applyFill="1" applyBorder="1" applyAlignment="1">
      <alignment horizontal="center" vertical="center" wrapText="1"/>
    </xf>
    <xf numFmtId="0" fontId="12" fillId="2" borderId="46" xfId="1" applyFont="1" applyFill="1" applyBorder="1" applyAlignment="1">
      <alignment horizontal="center" vertical="center" wrapText="1"/>
    </xf>
    <xf numFmtId="0" fontId="19" fillId="0" borderId="42" xfId="1" applyFont="1" applyBorder="1" applyAlignment="1">
      <alignment horizontal="left" vertical="top" wrapText="1"/>
    </xf>
    <xf numFmtId="0" fontId="19" fillId="0" borderId="0" xfId="1" applyFont="1" applyBorder="1" applyAlignment="1">
      <alignment horizontal="left" vertical="top" wrapText="1"/>
    </xf>
    <xf numFmtId="0" fontId="19" fillId="0" borderId="43" xfId="1" applyFont="1" applyBorder="1" applyAlignment="1">
      <alignment horizontal="left" vertical="top" wrapText="1"/>
    </xf>
    <xf numFmtId="0" fontId="12" fillId="2" borderId="0" xfId="1" applyFont="1" applyFill="1" applyBorder="1" applyAlignment="1">
      <alignment horizontal="center" vertical="center" wrapText="1"/>
    </xf>
    <xf numFmtId="0" fontId="20" fillId="0" borderId="49" xfId="1" applyFont="1" applyBorder="1" applyAlignment="1">
      <alignment horizontal="left" vertical="center" wrapText="1"/>
    </xf>
    <xf numFmtId="0" fontId="20" fillId="0" borderId="8" xfId="1" applyFont="1" applyBorder="1" applyAlignment="1">
      <alignment horizontal="left" vertical="center" wrapText="1"/>
    </xf>
    <xf numFmtId="0" fontId="17" fillId="2" borderId="7" xfId="1" applyNumberFormat="1" applyFont="1" applyFill="1" applyBorder="1" applyAlignment="1">
      <alignment horizontal="left" vertical="top" wrapText="1"/>
    </xf>
    <xf numFmtId="0" fontId="17" fillId="2" borderId="9" xfId="1" applyNumberFormat="1" applyFont="1" applyFill="1" applyBorder="1" applyAlignment="1">
      <alignment horizontal="left" vertical="top" wrapText="1"/>
    </xf>
    <xf numFmtId="0" fontId="17" fillId="2" borderId="47" xfId="1" applyNumberFormat="1" applyFont="1" applyFill="1" applyBorder="1" applyAlignment="1">
      <alignment horizontal="left" vertical="top" wrapText="1"/>
    </xf>
    <xf numFmtId="0" fontId="17" fillId="2" borderId="8" xfId="1" applyNumberFormat="1" applyFont="1" applyFill="1" applyBorder="1" applyAlignment="1">
      <alignment horizontal="left" vertical="top" wrapText="1"/>
    </xf>
    <xf numFmtId="0" fontId="17" fillId="2" borderId="48" xfId="1" applyNumberFormat="1" applyFont="1" applyFill="1" applyBorder="1" applyAlignment="1">
      <alignment horizontal="left" vertical="top" wrapText="1"/>
    </xf>
    <xf numFmtId="0" fontId="20" fillId="0" borderId="51" xfId="1" applyFont="1" applyBorder="1" applyAlignment="1">
      <alignment horizontal="left" wrapText="1"/>
    </xf>
    <xf numFmtId="0" fontId="20" fillId="0" borderId="5" xfId="1" applyFont="1" applyBorder="1" applyAlignment="1">
      <alignment horizontal="left" wrapText="1"/>
    </xf>
    <xf numFmtId="0" fontId="20" fillId="0" borderId="6" xfId="1" applyFont="1" applyBorder="1" applyAlignment="1">
      <alignment horizontal="left" wrapText="1"/>
    </xf>
    <xf numFmtId="1" fontId="19" fillId="0" borderId="4" xfId="0" applyNumberFormat="1" applyFont="1" applyBorder="1" applyAlignment="1">
      <alignment horizontal="left" vertical="center" wrapText="1"/>
    </xf>
    <xf numFmtId="1" fontId="19" fillId="0" borderId="6" xfId="0" applyNumberFormat="1" applyFont="1" applyBorder="1" applyAlignment="1">
      <alignment horizontal="left" vertical="center" wrapText="1"/>
    </xf>
    <xf numFmtId="1" fontId="19" fillId="0" borderId="44" xfId="0" applyNumberFormat="1" applyFont="1" applyBorder="1" applyAlignment="1">
      <alignment horizontal="left" vertical="center" wrapText="1"/>
    </xf>
    <xf numFmtId="0" fontId="19" fillId="0" borderId="5" xfId="1" applyFont="1" applyBorder="1" applyAlignment="1">
      <alignment horizontal="left" vertical="center" wrapText="1"/>
    </xf>
    <xf numFmtId="0" fontId="19" fillId="0" borderId="45" xfId="1" applyFont="1" applyBorder="1" applyAlignment="1">
      <alignment horizontal="left" vertical="center" wrapText="1"/>
    </xf>
    <xf numFmtId="0" fontId="21" fillId="0" borderId="49" xfId="1" applyFont="1" applyBorder="1" applyAlignment="1">
      <alignment horizontal="left" vertical="top" wrapText="1"/>
    </xf>
    <xf numFmtId="0" fontId="21" fillId="0" borderId="8" xfId="1" applyFont="1" applyBorder="1" applyAlignment="1">
      <alignment horizontal="left" vertical="top" wrapText="1"/>
    </xf>
    <xf numFmtId="0" fontId="21" fillId="0" borderId="9" xfId="1" applyFont="1" applyBorder="1" applyAlignment="1">
      <alignment horizontal="left" vertical="top" wrapText="1"/>
    </xf>
    <xf numFmtId="0" fontId="19" fillId="0" borderId="7" xfId="1" applyFont="1" applyBorder="1" applyAlignment="1">
      <alignment horizontal="left" vertical="center" wrapText="1"/>
    </xf>
    <xf numFmtId="0" fontId="19" fillId="0" borderId="9" xfId="1" applyFont="1" applyBorder="1" applyAlignment="1">
      <alignment horizontal="left" vertical="center" wrapText="1"/>
    </xf>
    <xf numFmtId="0" fontId="19" fillId="0" borderId="47" xfId="1" applyFont="1" applyBorder="1" applyAlignment="1">
      <alignment horizontal="left" vertical="center" wrapText="1"/>
    </xf>
    <xf numFmtId="0" fontId="19" fillId="0" borderId="8" xfId="1" applyFont="1" applyBorder="1" applyAlignment="1">
      <alignment horizontal="left" vertical="center" wrapText="1"/>
    </xf>
    <xf numFmtId="0" fontId="19" fillId="0" borderId="48" xfId="1" applyFont="1" applyBorder="1" applyAlignment="1">
      <alignment horizontal="left" vertical="center" wrapText="1"/>
    </xf>
    <xf numFmtId="10" fontId="19" fillId="0" borderId="4" xfId="0" applyNumberFormat="1" applyFont="1" applyBorder="1" applyAlignment="1">
      <alignment horizontal="left" vertical="center" wrapText="1"/>
    </xf>
    <xf numFmtId="10" fontId="19" fillId="0" borderId="6" xfId="0" applyNumberFormat="1" applyFont="1" applyBorder="1" applyAlignment="1">
      <alignment horizontal="left" vertical="center" wrapText="1"/>
    </xf>
    <xf numFmtId="10" fontId="19" fillId="0" borderId="44" xfId="0" applyNumberFormat="1" applyFont="1" applyBorder="1" applyAlignment="1">
      <alignment horizontal="left" vertical="center" wrapText="1"/>
    </xf>
    <xf numFmtId="0" fontId="20" fillId="0" borderId="43" xfId="1" applyFont="1" applyBorder="1" applyAlignment="1">
      <alignment horizontal="left" vertical="center" wrapText="1"/>
    </xf>
    <xf numFmtId="0" fontId="13" fillId="0" borderId="0" xfId="1" applyNumberFormat="1" applyFont="1" applyFill="1" applyBorder="1" applyAlignment="1">
      <alignment horizontal="justify" vertical="top" wrapText="1"/>
    </xf>
    <xf numFmtId="0" fontId="20" fillId="0" borderId="9" xfId="1" applyFont="1" applyBorder="1" applyAlignment="1">
      <alignment horizontal="left" vertical="center" wrapText="1"/>
    </xf>
    <xf numFmtId="10" fontId="19" fillId="0" borderId="1" xfId="0" applyNumberFormat="1" applyFont="1" applyBorder="1" applyAlignment="1">
      <alignment horizontal="left" vertical="center" wrapText="1"/>
    </xf>
    <xf numFmtId="10" fontId="19" fillId="0" borderId="3" xfId="0" applyNumberFormat="1" applyFont="1" applyBorder="1" applyAlignment="1">
      <alignment horizontal="left" vertical="center" wrapText="1"/>
    </xf>
    <xf numFmtId="10" fontId="19" fillId="0" borderId="19" xfId="0" applyNumberFormat="1" applyFont="1" applyBorder="1" applyAlignment="1">
      <alignment horizontal="left" vertical="center" wrapText="1"/>
    </xf>
    <xf numFmtId="0" fontId="19" fillId="0" borderId="2" xfId="1" applyFont="1" applyBorder="1" applyAlignment="1">
      <alignment horizontal="left" vertical="center" wrapText="1"/>
    </xf>
    <xf numFmtId="0" fontId="19" fillId="0" borderId="33" xfId="1" applyFont="1" applyBorder="1" applyAlignment="1">
      <alignment horizontal="left" vertical="center" wrapText="1"/>
    </xf>
    <xf numFmtId="1" fontId="19" fillId="0" borderId="1" xfId="0" applyNumberFormat="1" applyFont="1" applyBorder="1" applyAlignment="1">
      <alignment horizontal="left" vertical="center" wrapText="1"/>
    </xf>
    <xf numFmtId="1" fontId="19" fillId="0" borderId="3" xfId="0" applyNumberFormat="1" applyFont="1" applyBorder="1" applyAlignment="1">
      <alignment horizontal="left" vertical="center" wrapText="1"/>
    </xf>
    <xf numFmtId="1" fontId="19" fillId="0" borderId="19" xfId="0" applyNumberFormat="1" applyFont="1" applyBorder="1" applyAlignment="1">
      <alignment horizontal="left" vertical="center" wrapText="1"/>
    </xf>
    <xf numFmtId="0" fontId="22" fillId="3" borderId="16" xfId="1" applyFont="1" applyFill="1" applyBorder="1" applyAlignment="1">
      <alignment horizontal="center" vertical="center" wrapText="1"/>
    </xf>
    <xf numFmtId="0" fontId="22" fillId="3" borderId="0" xfId="1" applyFont="1" applyFill="1" applyBorder="1" applyAlignment="1">
      <alignment horizontal="center" vertical="center" wrapText="1"/>
    </xf>
    <xf numFmtId="0" fontId="22" fillId="3" borderId="43" xfId="1" applyFont="1" applyFill="1" applyBorder="1" applyAlignment="1">
      <alignment horizontal="center" vertical="center" wrapText="1"/>
    </xf>
    <xf numFmtId="0" fontId="23" fillId="3" borderId="4" xfId="1" applyFont="1" applyFill="1" applyBorder="1" applyAlignment="1">
      <alignment horizontal="left" vertical="center" wrapText="1"/>
    </xf>
    <xf numFmtId="0" fontId="23" fillId="3" borderId="6" xfId="1" applyFont="1" applyFill="1" applyBorder="1" applyAlignment="1">
      <alignment horizontal="left" vertical="center" wrapText="1"/>
    </xf>
    <xf numFmtId="0" fontId="23" fillId="3" borderId="44" xfId="1" applyFont="1" applyFill="1" applyBorder="1" applyAlignment="1">
      <alignment horizontal="left" vertical="center" wrapText="1"/>
    </xf>
    <xf numFmtId="0" fontId="23" fillId="3" borderId="5" xfId="1" applyFont="1" applyFill="1" applyBorder="1" applyAlignment="1">
      <alignment horizontal="left" vertical="center" wrapText="1"/>
    </xf>
    <xf numFmtId="0" fontId="23" fillId="3" borderId="45" xfId="1" applyFont="1" applyFill="1" applyBorder="1" applyAlignment="1">
      <alignment horizontal="left" vertical="center" wrapText="1"/>
    </xf>
    <xf numFmtId="0" fontId="22" fillId="3" borderId="49" xfId="1" applyFont="1" applyFill="1" applyBorder="1" applyAlignment="1">
      <alignment horizontal="center" vertical="center" wrapText="1"/>
    </xf>
    <xf numFmtId="0" fontId="22" fillId="3" borderId="8" xfId="1" applyFont="1" applyFill="1" applyBorder="1" applyAlignment="1">
      <alignment horizontal="center" vertical="center" wrapText="1"/>
    </xf>
    <xf numFmtId="0" fontId="22" fillId="3" borderId="9" xfId="1" applyFont="1" applyFill="1" applyBorder="1" applyAlignment="1">
      <alignment horizontal="center" vertical="center" wrapText="1"/>
    </xf>
    <xf numFmtId="0" fontId="23" fillId="3" borderId="7" xfId="1" applyFont="1" applyFill="1" applyBorder="1" applyAlignment="1">
      <alignment horizontal="left" vertical="center" wrapText="1"/>
    </xf>
    <xf numFmtId="0" fontId="23" fillId="3" borderId="9" xfId="1" applyFont="1" applyFill="1" applyBorder="1" applyAlignment="1">
      <alignment horizontal="left" vertical="center" wrapText="1"/>
    </xf>
    <xf numFmtId="0" fontId="23" fillId="3" borderId="47" xfId="1" applyFont="1" applyFill="1" applyBorder="1" applyAlignment="1">
      <alignment horizontal="left" vertical="center" wrapText="1"/>
    </xf>
    <xf numFmtId="0" fontId="23" fillId="3" borderId="8" xfId="1" applyFont="1" applyFill="1" applyBorder="1" applyAlignment="1">
      <alignment horizontal="left" vertical="center" wrapText="1"/>
    </xf>
    <xf numFmtId="0" fontId="23" fillId="3" borderId="48" xfId="1" applyFont="1" applyFill="1" applyBorder="1" applyAlignment="1">
      <alignment horizontal="left" vertical="center" wrapText="1"/>
    </xf>
    <xf numFmtId="0" fontId="19" fillId="0" borderId="51" xfId="1" applyFont="1" applyBorder="1" applyAlignment="1">
      <alignment horizontal="left" wrapText="1"/>
    </xf>
    <xf numFmtId="0" fontId="19" fillId="0" borderId="5" xfId="1" applyFont="1" applyBorder="1" applyAlignment="1">
      <alignment horizontal="left" wrapText="1"/>
    </xf>
    <xf numFmtId="0" fontId="19" fillId="0" borderId="6" xfId="1" applyFont="1" applyBorder="1" applyAlignment="1">
      <alignment horizontal="left" wrapText="1"/>
    </xf>
    <xf numFmtId="0" fontId="19" fillId="0" borderId="16" xfId="1" applyFont="1" applyBorder="1" applyAlignment="1">
      <alignment horizontal="left" wrapText="1"/>
    </xf>
    <xf numFmtId="0" fontId="19" fillId="0" borderId="0" xfId="1" applyFont="1" applyBorder="1" applyAlignment="1">
      <alignment horizontal="left" wrapText="1"/>
    </xf>
    <xf numFmtId="0" fontId="19" fillId="0" borderId="43" xfId="1" applyFont="1" applyBorder="1" applyAlignment="1">
      <alignment horizontal="left" wrapText="1"/>
    </xf>
    <xf numFmtId="0" fontId="19" fillId="0" borderId="42" xfId="1" applyFont="1" applyBorder="1" applyAlignment="1">
      <alignment horizontal="left" vertical="center" wrapText="1"/>
    </xf>
    <xf numFmtId="0" fontId="19" fillId="0" borderId="43" xfId="1" applyFont="1" applyBorder="1" applyAlignment="1">
      <alignment horizontal="left" vertical="center" wrapText="1"/>
    </xf>
    <xf numFmtId="0" fontId="19" fillId="0" borderId="46" xfId="1" applyFont="1" applyBorder="1" applyAlignment="1">
      <alignment horizontal="left" vertical="center" wrapText="1"/>
    </xf>
    <xf numFmtId="0" fontId="19" fillId="0" borderId="17" xfId="1" applyFont="1" applyBorder="1" applyAlignment="1">
      <alignment horizontal="left" vertical="center" wrapText="1"/>
    </xf>
    <xf numFmtId="0" fontId="21" fillId="0" borderId="49" xfId="1" applyFont="1" applyBorder="1" applyAlignment="1">
      <alignment horizontal="center" vertical="top" wrapText="1"/>
    </xf>
    <xf numFmtId="0" fontId="21" fillId="0" borderId="8" xfId="1" applyFont="1" applyBorder="1" applyAlignment="1">
      <alignment horizontal="center" vertical="top" wrapText="1"/>
    </xf>
    <xf numFmtId="0" fontId="21" fillId="0" borderId="9" xfId="1" applyFont="1" applyBorder="1" applyAlignment="1">
      <alignment horizontal="center" vertical="top" wrapText="1"/>
    </xf>
    <xf numFmtId="0" fontId="21" fillId="0" borderId="16" xfId="1" applyFont="1" applyBorder="1" applyAlignment="1">
      <alignment horizontal="center" vertical="top" wrapText="1"/>
    </xf>
    <xf numFmtId="0" fontId="21" fillId="0" borderId="0" xfId="1" applyFont="1" applyBorder="1" applyAlignment="1">
      <alignment horizontal="center" vertical="top" wrapText="1"/>
    </xf>
    <xf numFmtId="0" fontId="21" fillId="0" borderId="43" xfId="1" applyFont="1" applyBorder="1" applyAlignment="1">
      <alignment horizontal="center" vertical="top" wrapText="1"/>
    </xf>
    <xf numFmtId="0" fontId="19" fillId="0" borderId="16" xfId="1" applyFont="1" applyBorder="1" applyAlignment="1">
      <alignment horizontal="left" vertical="center" wrapText="1"/>
    </xf>
    <xf numFmtId="0" fontId="19" fillId="0" borderId="0" xfId="1" applyFont="1" applyBorder="1" applyAlignment="1">
      <alignment horizontal="left" vertical="center" wrapText="1"/>
    </xf>
    <xf numFmtId="0" fontId="19" fillId="0" borderId="49" xfId="1" applyFont="1" applyBorder="1" applyAlignment="1">
      <alignment horizontal="left" vertical="center" wrapText="1"/>
    </xf>
    <xf numFmtId="0" fontId="24" fillId="0" borderId="0" xfId="1" applyNumberFormat="1" applyFont="1" applyFill="1" applyBorder="1" applyAlignment="1">
      <alignment horizontal="left" vertical="center" wrapText="1"/>
    </xf>
    <xf numFmtId="0" fontId="16" fillId="0" borderId="42" xfId="1" applyFont="1" applyBorder="1" applyAlignment="1">
      <alignment horizontal="left" vertical="top" wrapText="1"/>
    </xf>
    <xf numFmtId="0" fontId="16" fillId="0" borderId="0" xfId="1" applyFont="1" applyBorder="1" applyAlignment="1">
      <alignment horizontal="left" vertical="top" wrapText="1"/>
    </xf>
    <xf numFmtId="0" fontId="16" fillId="0" borderId="43" xfId="1" applyFont="1" applyBorder="1" applyAlignment="1">
      <alignment horizontal="left" vertical="top" wrapText="1"/>
    </xf>
    <xf numFmtId="0" fontId="16" fillId="0" borderId="7" xfId="1" applyFont="1" applyBorder="1" applyAlignment="1">
      <alignment horizontal="left" vertical="top" wrapText="1"/>
    </xf>
    <xf numFmtId="0" fontId="16" fillId="0" borderId="8" xfId="1" applyFont="1" applyBorder="1" applyAlignment="1">
      <alignment horizontal="left" vertical="top" wrapText="1"/>
    </xf>
    <xf numFmtId="0" fontId="16" fillId="0" borderId="9" xfId="1" applyFont="1" applyBorder="1" applyAlignment="1">
      <alignment horizontal="left" vertical="top" wrapText="1"/>
    </xf>
    <xf numFmtId="0" fontId="17" fillId="0" borderId="0" xfId="1" applyFont="1" applyBorder="1" applyAlignment="1">
      <alignment horizontal="center" wrapText="1"/>
    </xf>
    <xf numFmtId="0" fontId="17" fillId="0" borderId="22" xfId="1" applyFont="1" applyBorder="1" applyAlignment="1">
      <alignment horizontal="center" wrapText="1"/>
    </xf>
    <xf numFmtId="0" fontId="13" fillId="0" borderId="0" xfId="1" applyNumberFormat="1" applyFont="1" applyFill="1" applyBorder="1" applyAlignment="1">
      <alignment horizontal="center" vertical="top" wrapText="1"/>
    </xf>
    <xf numFmtId="0" fontId="12" fillId="0" borderId="11" xfId="1" applyFont="1" applyBorder="1" applyAlignment="1">
      <alignment horizontal="center" vertical="top" wrapText="1"/>
    </xf>
  </cellXfs>
  <cellStyles count="3">
    <cellStyle name="Hyperlink" xfId="2" xr:uid="{5289EBBA-928B-4A8F-BC57-0200D503F5DE}"/>
    <cellStyle name="Normal" xfId="0" builtinId="0"/>
    <cellStyle name="Normal 2" xfId="1" xr:uid="{8875A7C6-99D2-465B-9D7B-42ED5A4C67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8</xdr:col>
      <xdr:colOff>45720</xdr:colOff>
      <xdr:row>3</xdr:row>
      <xdr:rowOff>0</xdr:rowOff>
    </xdr:to>
    <xdr:pic>
      <xdr:nvPicPr>
        <xdr:cNvPr id="2" name="/xl/media/image3.gif">
          <a:extLst>
            <a:ext uri="{FF2B5EF4-FFF2-40B4-BE49-F238E27FC236}">
              <a16:creationId xmlns:a16="http://schemas.microsoft.com/office/drawing/2014/main" id="{3B8500CC-4940-4025-A5DC-CB28A73DFF7E}"/>
            </a:ext>
          </a:extLst>
        </xdr:cNvPr>
        <xdr:cNvPicPr>
          <a:picLocks noChangeAspect="1"/>
        </xdr:cNvPicPr>
      </xdr:nvPicPr>
      <xdr:blipFill>
        <a:blip xmlns:r="http://schemas.openxmlformats.org/officeDocument/2006/relationships" r:embed="rId1"/>
        <a:stretch>
          <a:fillRect/>
        </a:stretch>
      </xdr:blipFill>
      <xdr:spPr>
        <a:xfrm>
          <a:off x="76200" y="0"/>
          <a:ext cx="769620" cy="822960"/>
        </a:xfrm>
        <a:prstGeom prst="rect">
          <a:avLst/>
        </a:prstGeom>
      </xdr:spPr>
    </xdr:pic>
    <xdr:clientData/>
  </xdr:twoCellAnchor>
  <xdr:twoCellAnchor editAs="oneCell">
    <xdr:from>
      <xdr:col>70</xdr:col>
      <xdr:colOff>0</xdr:colOff>
      <xdr:row>1</xdr:row>
      <xdr:rowOff>0</xdr:rowOff>
    </xdr:from>
    <xdr:to>
      <xdr:col>75</xdr:col>
      <xdr:colOff>190500</xdr:colOff>
      <xdr:row>2</xdr:row>
      <xdr:rowOff>312420</xdr:rowOff>
    </xdr:to>
    <xdr:pic>
      <xdr:nvPicPr>
        <xdr:cNvPr id="3" name="/xl/media/image4.png">
          <a:extLst>
            <a:ext uri="{FF2B5EF4-FFF2-40B4-BE49-F238E27FC236}">
              <a16:creationId xmlns:a16="http://schemas.microsoft.com/office/drawing/2014/main" id="{3B46DA8D-2654-430B-9CB6-CD090AB4EF64}"/>
            </a:ext>
          </a:extLst>
        </xdr:cNvPr>
        <xdr:cNvPicPr>
          <a:picLocks noChangeAspect="1"/>
        </xdr:cNvPicPr>
      </xdr:nvPicPr>
      <xdr:blipFill>
        <a:blip xmlns:r="http://schemas.openxmlformats.org/officeDocument/2006/relationships" r:embed="rId2"/>
        <a:stretch>
          <a:fillRect/>
        </a:stretch>
      </xdr:blipFill>
      <xdr:spPr>
        <a:xfrm>
          <a:off x="8221980" y="83820"/>
          <a:ext cx="952500" cy="5105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depedph-my.sharepoint.com/personal/denny_liwag_deped_gov_ph/Documents/Documents/FGNMHS/ICT%20Coor/2026-2027/Automation_Summary_Grades_SF9_SF10/FGNMHS_SHS_SoG_SF9_SF10_SF2_Automation_3Term_SY2026-2027_Revision9.xlsx" TargetMode="External"/><Relationship Id="rId2" Type="http://schemas.microsoft.com/office/2019/04/relationships/externalLinkLongPath" Target="/personal/denny_liwag_deped_gov_ph/Documents/Documents/FGNMHS/ICT%20Coor/2026-2027/Automation_Summary_Grades_SF9_SF10/FGNMHS_SHS_SoG_SF9_SF10_SF2_Automation_3Term_SY2026-2027_Revision9.xlsx?D7D3918F" TargetMode="External"/><Relationship Id="rId1" Type="http://schemas.openxmlformats.org/officeDocument/2006/relationships/externalLinkPath" Target="file:///\\D7D3918F\FGNMHS_SHS_SoG_SF9_SF10_SF2_Automation_3Term_SY2026-2027_Revision9.xlsx" TargetMode="External"/><Relationship Id="rId4" Type="http://schemas.openxmlformats.org/officeDocument/2006/relationships/externalLinkPath" Target="../../Automation_Summary_Grades_SF9_SF10/FGNMHS_SHS_SoG_SF9_SF10_SF2_Automation_3Term_SY2026-2027_Revision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Academic Subjects"/>
      <sheetName val="SYSTEM MAP"/>
      <sheetName val="SETUP"/>
      <sheetName val="LEARNERS"/>
      <sheetName val="TERM 1"/>
      <sheetName val="TERM 2"/>
      <sheetName val="TERM 3"/>
      <sheetName val="SUMMARY"/>
      <sheetName val="ATTENDANCE"/>
      <sheetName val="PRINT CONTROL"/>
      <sheetName val="SF9"/>
      <sheetName val="SF10 TEMP 3-TERM"/>
      <sheetName val="TEMP CARDS"/>
      <sheetName val="AWARD CERTIFICATE"/>
      <sheetName val="SUBJECT CATALOG"/>
      <sheetName val="SF9 TEMPLATE"/>
      <sheetName val="SF2"/>
      <sheetName val="SF2 CALENDAR"/>
      <sheetName val="ATTENDANCE DAILY"/>
      <sheetName val="INSTRUCTIONS"/>
    </sheetNames>
    <sheetDataSet>
      <sheetData sheetId="0"/>
      <sheetData sheetId="1"/>
      <sheetData sheetId="2">
        <row r="4">
          <cell r="B4" t="str">
            <v>2026-2027</v>
          </cell>
        </row>
        <row r="5">
          <cell r="B5" t="str">
            <v>FRANCISCO G. NEPOMUCENO MEMORIAL HIGH SCHOOL</v>
          </cell>
        </row>
        <row r="6">
          <cell r="B6" t="str">
            <v>301040</v>
          </cell>
        </row>
        <row r="7">
          <cell r="B7" t="str">
            <v>Region III</v>
          </cell>
        </row>
        <row r="8">
          <cell r="B8" t="str">
            <v>Schools Division of Angeles City</v>
          </cell>
        </row>
        <row r="10">
          <cell r="B10" t="str">
            <v>HERMES P. VARGAS</v>
          </cell>
        </row>
        <row r="12">
          <cell r="B12" t="str">
            <v>ANDRES BONIFACIO</v>
          </cell>
        </row>
        <row r="13">
          <cell r="B13">
            <v>11</v>
          </cell>
        </row>
        <row r="14">
          <cell r="B14" t="str">
            <v>Tesla</v>
          </cell>
        </row>
        <row r="15">
          <cell r="B15" t="str">
            <v>Academic</v>
          </cell>
        </row>
        <row r="16">
          <cell r="B16" t="str">
            <v>Arts, Social Sciences, and Humanities</v>
          </cell>
        </row>
        <row r="19">
          <cell r="B19" t="str">
            <v>1st District</v>
          </cell>
        </row>
      </sheetData>
      <sheetData sheetId="3"/>
      <sheetData sheetId="4"/>
      <sheetData sheetId="5"/>
      <sheetData sheetId="6"/>
      <sheetData sheetId="7"/>
      <sheetData sheetId="8"/>
      <sheetData sheetId="9">
        <row r="20">
          <cell r="B20" t="str">
            <v>July</v>
          </cell>
        </row>
      </sheetData>
      <sheetData sheetId="10"/>
      <sheetData sheetId="11"/>
      <sheetData sheetId="12"/>
      <sheetData sheetId="13"/>
      <sheetData sheetId="14"/>
      <sheetData sheetId="15"/>
      <sheetData sheetId="16"/>
      <sheetData sheetId="17">
        <row r="4">
          <cell r="A4" t="str">
            <v>June</v>
          </cell>
          <cell r="D4" t="str">
            <v>Term 1</v>
          </cell>
          <cell r="G4">
            <v>16</v>
          </cell>
        </row>
        <row r="5">
          <cell r="A5" t="str">
            <v>July</v>
          </cell>
          <cell r="D5" t="str">
            <v>Term 1</v>
          </cell>
          <cell r="G5">
            <v>23</v>
          </cell>
        </row>
        <row r="6">
          <cell r="A6" t="str">
            <v>August</v>
          </cell>
          <cell r="D6" t="str">
            <v>Term 1</v>
          </cell>
          <cell r="G6">
            <v>19</v>
          </cell>
        </row>
        <row r="7">
          <cell r="A7" t="str">
            <v>September</v>
          </cell>
          <cell r="D7" t="str">
            <v>Terms 1 and 2</v>
          </cell>
          <cell r="G7">
            <v>22</v>
          </cell>
        </row>
        <row r="8">
          <cell r="A8" t="str">
            <v>October</v>
          </cell>
          <cell r="D8" t="str">
            <v>Term 2</v>
          </cell>
          <cell r="G8">
            <v>22</v>
          </cell>
        </row>
        <row r="9">
          <cell r="A9" t="str">
            <v>November</v>
          </cell>
          <cell r="D9" t="str">
            <v>Term 2</v>
          </cell>
          <cell r="G9">
            <v>19</v>
          </cell>
        </row>
        <row r="10">
          <cell r="A10" t="str">
            <v>December</v>
          </cell>
          <cell r="D10" t="str">
            <v>Term 2</v>
          </cell>
          <cell r="G10">
            <v>13</v>
          </cell>
        </row>
        <row r="11">
          <cell r="A11" t="str">
            <v>January</v>
          </cell>
          <cell r="D11" t="str">
            <v>Term 3</v>
          </cell>
          <cell r="G11">
            <v>20</v>
          </cell>
        </row>
        <row r="12">
          <cell r="A12" t="str">
            <v>February</v>
          </cell>
          <cell r="D12" t="str">
            <v>Term 3</v>
          </cell>
          <cell r="G12">
            <v>20</v>
          </cell>
        </row>
        <row r="13">
          <cell r="A13" t="str">
            <v>March</v>
          </cell>
          <cell r="D13" t="str">
            <v>Term 3</v>
          </cell>
          <cell r="G13">
            <v>21</v>
          </cell>
        </row>
        <row r="14">
          <cell r="A14" t="str">
            <v>April</v>
          </cell>
          <cell r="D14" t="str">
            <v>Term 3</v>
          </cell>
          <cell r="G14">
            <v>6</v>
          </cell>
        </row>
        <row r="19">
          <cell r="A19">
            <v>46181</v>
          </cell>
          <cell r="C19" t="str">
            <v>June</v>
          </cell>
          <cell r="H19" t="str">
            <v>Yes</v>
          </cell>
          <cell r="J19">
            <v>1</v>
          </cell>
        </row>
        <row r="20">
          <cell r="A20">
            <v>46182</v>
          </cell>
          <cell r="C20" t="str">
            <v>June</v>
          </cell>
          <cell r="H20" t="str">
            <v>Yes</v>
          </cell>
          <cell r="J20">
            <v>2</v>
          </cell>
        </row>
        <row r="21">
          <cell r="A21">
            <v>46183</v>
          </cell>
          <cell r="C21" t="str">
            <v>June</v>
          </cell>
          <cell r="H21" t="str">
            <v>Yes</v>
          </cell>
          <cell r="J21">
            <v>3</v>
          </cell>
        </row>
        <row r="22">
          <cell r="A22">
            <v>46184</v>
          </cell>
          <cell r="C22" t="str">
            <v>June</v>
          </cell>
          <cell r="H22" t="str">
            <v>Yes</v>
          </cell>
          <cell r="J22">
            <v>4</v>
          </cell>
        </row>
        <row r="23">
          <cell r="A23">
            <v>46185</v>
          </cell>
          <cell r="C23" t="str">
            <v>June</v>
          </cell>
          <cell r="H23" t="str">
            <v>No</v>
          </cell>
          <cell r="J23" t="str">
            <v/>
          </cell>
        </row>
        <row r="24">
          <cell r="A24">
            <v>46186</v>
          </cell>
          <cell r="C24" t="str">
            <v>June</v>
          </cell>
          <cell r="H24" t="str">
            <v>No</v>
          </cell>
          <cell r="J24" t="str">
            <v/>
          </cell>
        </row>
        <row r="25">
          <cell r="A25">
            <v>46187</v>
          </cell>
          <cell r="C25" t="str">
            <v>June</v>
          </cell>
          <cell r="H25" t="str">
            <v>No</v>
          </cell>
          <cell r="J25" t="str">
            <v/>
          </cell>
        </row>
        <row r="26">
          <cell r="A26">
            <v>46188</v>
          </cell>
          <cell r="C26" t="str">
            <v>June</v>
          </cell>
          <cell r="H26" t="str">
            <v>Yes</v>
          </cell>
          <cell r="J26">
            <v>5</v>
          </cell>
        </row>
        <row r="27">
          <cell r="A27">
            <v>46189</v>
          </cell>
          <cell r="C27" t="str">
            <v>June</v>
          </cell>
          <cell r="H27" t="str">
            <v>Yes</v>
          </cell>
          <cell r="J27">
            <v>6</v>
          </cell>
        </row>
        <row r="28">
          <cell r="A28">
            <v>46190</v>
          </cell>
          <cell r="C28" t="str">
            <v>June</v>
          </cell>
          <cell r="H28" t="str">
            <v>Yes</v>
          </cell>
          <cell r="J28">
            <v>7</v>
          </cell>
        </row>
        <row r="29">
          <cell r="A29">
            <v>46191</v>
          </cell>
          <cell r="C29" t="str">
            <v>June</v>
          </cell>
          <cell r="H29" t="str">
            <v>Yes</v>
          </cell>
          <cell r="J29">
            <v>8</v>
          </cell>
        </row>
        <row r="30">
          <cell r="A30">
            <v>46192</v>
          </cell>
          <cell r="C30" t="str">
            <v>June</v>
          </cell>
          <cell r="H30" t="str">
            <v>Yes</v>
          </cell>
          <cell r="J30">
            <v>9</v>
          </cell>
        </row>
        <row r="31">
          <cell r="A31">
            <v>46193</v>
          </cell>
          <cell r="C31" t="str">
            <v>June</v>
          </cell>
          <cell r="H31" t="str">
            <v>No</v>
          </cell>
          <cell r="J31" t="str">
            <v/>
          </cell>
        </row>
        <row r="32">
          <cell r="A32">
            <v>46194</v>
          </cell>
          <cell r="C32" t="str">
            <v>June</v>
          </cell>
          <cell r="H32" t="str">
            <v>No</v>
          </cell>
          <cell r="J32" t="str">
            <v/>
          </cell>
        </row>
        <row r="33">
          <cell r="A33">
            <v>46195</v>
          </cell>
          <cell r="C33" t="str">
            <v>June</v>
          </cell>
          <cell r="H33" t="str">
            <v>Yes</v>
          </cell>
          <cell r="J33">
            <v>10</v>
          </cell>
        </row>
        <row r="34">
          <cell r="A34">
            <v>46196</v>
          </cell>
          <cell r="C34" t="str">
            <v>June</v>
          </cell>
          <cell r="H34" t="str">
            <v>Yes</v>
          </cell>
          <cell r="J34">
            <v>11</v>
          </cell>
        </row>
        <row r="35">
          <cell r="A35">
            <v>46197</v>
          </cell>
          <cell r="C35" t="str">
            <v>June</v>
          </cell>
          <cell r="H35" t="str">
            <v>Yes</v>
          </cell>
          <cell r="J35">
            <v>12</v>
          </cell>
        </row>
        <row r="36">
          <cell r="A36">
            <v>46198</v>
          </cell>
          <cell r="C36" t="str">
            <v>June</v>
          </cell>
          <cell r="H36" t="str">
            <v>Yes</v>
          </cell>
          <cell r="J36">
            <v>13</v>
          </cell>
        </row>
        <row r="37">
          <cell r="A37">
            <v>46199</v>
          </cell>
          <cell r="C37" t="str">
            <v>June</v>
          </cell>
          <cell r="H37" t="str">
            <v>Yes</v>
          </cell>
          <cell r="J37">
            <v>14</v>
          </cell>
        </row>
        <row r="38">
          <cell r="A38">
            <v>46200</v>
          </cell>
          <cell r="C38" t="str">
            <v>June</v>
          </cell>
          <cell r="H38" t="str">
            <v>No</v>
          </cell>
          <cell r="J38" t="str">
            <v/>
          </cell>
        </row>
        <row r="39">
          <cell r="A39">
            <v>46201</v>
          </cell>
          <cell r="C39" t="str">
            <v>June</v>
          </cell>
          <cell r="H39" t="str">
            <v>No</v>
          </cell>
          <cell r="J39" t="str">
            <v/>
          </cell>
        </row>
        <row r="40">
          <cell r="A40">
            <v>46202</v>
          </cell>
          <cell r="C40" t="str">
            <v>June</v>
          </cell>
          <cell r="H40" t="str">
            <v>Yes</v>
          </cell>
          <cell r="J40">
            <v>15</v>
          </cell>
        </row>
        <row r="41">
          <cell r="A41">
            <v>46203</v>
          </cell>
          <cell r="C41" t="str">
            <v>June</v>
          </cell>
          <cell r="H41" t="str">
            <v>Yes</v>
          </cell>
          <cell r="J41">
            <v>16</v>
          </cell>
        </row>
        <row r="42">
          <cell r="A42">
            <v>46204</v>
          </cell>
          <cell r="C42" t="str">
            <v>July</v>
          </cell>
          <cell r="H42" t="str">
            <v>Yes</v>
          </cell>
          <cell r="J42">
            <v>1</v>
          </cell>
        </row>
        <row r="43">
          <cell r="A43">
            <v>46205</v>
          </cell>
          <cell r="C43" t="str">
            <v>July</v>
          </cell>
          <cell r="H43" t="str">
            <v>Yes</v>
          </cell>
          <cell r="J43">
            <v>2</v>
          </cell>
        </row>
        <row r="44">
          <cell r="A44">
            <v>46206</v>
          </cell>
          <cell r="C44" t="str">
            <v>July</v>
          </cell>
          <cell r="H44" t="str">
            <v>Yes</v>
          </cell>
          <cell r="J44">
            <v>3</v>
          </cell>
        </row>
        <row r="45">
          <cell r="A45">
            <v>46207</v>
          </cell>
          <cell r="C45" t="str">
            <v>July</v>
          </cell>
          <cell r="H45" t="str">
            <v>No</v>
          </cell>
          <cell r="J45" t="str">
            <v/>
          </cell>
        </row>
        <row r="46">
          <cell r="A46">
            <v>46208</v>
          </cell>
          <cell r="C46" t="str">
            <v>July</v>
          </cell>
          <cell r="H46" t="str">
            <v>No</v>
          </cell>
          <cell r="J46" t="str">
            <v/>
          </cell>
        </row>
        <row r="47">
          <cell r="A47">
            <v>46209</v>
          </cell>
          <cell r="C47" t="str">
            <v>July</v>
          </cell>
          <cell r="H47" t="str">
            <v>Yes</v>
          </cell>
          <cell r="J47">
            <v>4</v>
          </cell>
        </row>
        <row r="48">
          <cell r="A48">
            <v>46210</v>
          </cell>
          <cell r="C48" t="str">
            <v>July</v>
          </cell>
          <cell r="H48" t="str">
            <v>Yes</v>
          </cell>
          <cell r="J48">
            <v>5</v>
          </cell>
        </row>
        <row r="49">
          <cell r="A49">
            <v>46211</v>
          </cell>
          <cell r="C49" t="str">
            <v>July</v>
          </cell>
          <cell r="H49" t="str">
            <v>Yes</v>
          </cell>
          <cell r="J49">
            <v>6</v>
          </cell>
        </row>
        <row r="50">
          <cell r="A50">
            <v>46212</v>
          </cell>
          <cell r="C50" t="str">
            <v>July</v>
          </cell>
          <cell r="H50" t="str">
            <v>Yes</v>
          </cell>
          <cell r="J50">
            <v>7</v>
          </cell>
        </row>
        <row r="51">
          <cell r="A51">
            <v>46213</v>
          </cell>
          <cell r="C51" t="str">
            <v>July</v>
          </cell>
          <cell r="H51" t="str">
            <v>Yes</v>
          </cell>
          <cell r="J51">
            <v>8</v>
          </cell>
        </row>
        <row r="52">
          <cell r="A52">
            <v>46214</v>
          </cell>
          <cell r="C52" t="str">
            <v>July</v>
          </cell>
          <cell r="H52" t="str">
            <v>No</v>
          </cell>
          <cell r="J52" t="str">
            <v/>
          </cell>
        </row>
        <row r="53">
          <cell r="A53">
            <v>46215</v>
          </cell>
          <cell r="C53" t="str">
            <v>July</v>
          </cell>
          <cell r="H53" t="str">
            <v>No</v>
          </cell>
          <cell r="J53" t="str">
            <v/>
          </cell>
        </row>
        <row r="54">
          <cell r="A54">
            <v>46216</v>
          </cell>
          <cell r="C54" t="str">
            <v>July</v>
          </cell>
          <cell r="H54" t="str">
            <v>Yes</v>
          </cell>
          <cell r="J54">
            <v>9</v>
          </cell>
        </row>
        <row r="55">
          <cell r="A55">
            <v>46217</v>
          </cell>
          <cell r="C55" t="str">
            <v>July</v>
          </cell>
          <cell r="H55" t="str">
            <v>Yes</v>
          </cell>
          <cell r="J55">
            <v>10</v>
          </cell>
        </row>
        <row r="56">
          <cell r="A56">
            <v>46218</v>
          </cell>
          <cell r="C56" t="str">
            <v>July</v>
          </cell>
          <cell r="H56" t="str">
            <v>Yes</v>
          </cell>
          <cell r="J56">
            <v>11</v>
          </cell>
        </row>
        <row r="57">
          <cell r="A57">
            <v>46219</v>
          </cell>
          <cell r="C57" t="str">
            <v>July</v>
          </cell>
          <cell r="H57" t="str">
            <v>Yes</v>
          </cell>
          <cell r="J57">
            <v>12</v>
          </cell>
        </row>
        <row r="58">
          <cell r="A58">
            <v>46220</v>
          </cell>
          <cell r="C58" t="str">
            <v>July</v>
          </cell>
          <cell r="H58" t="str">
            <v>Yes</v>
          </cell>
          <cell r="J58">
            <v>13</v>
          </cell>
        </row>
        <row r="59">
          <cell r="A59">
            <v>46221</v>
          </cell>
          <cell r="C59" t="str">
            <v>July</v>
          </cell>
          <cell r="H59" t="str">
            <v>No</v>
          </cell>
          <cell r="J59" t="str">
            <v/>
          </cell>
        </row>
        <row r="60">
          <cell r="A60">
            <v>46222</v>
          </cell>
          <cell r="C60" t="str">
            <v>July</v>
          </cell>
          <cell r="H60" t="str">
            <v>No</v>
          </cell>
          <cell r="J60" t="str">
            <v/>
          </cell>
        </row>
        <row r="61">
          <cell r="A61">
            <v>46223</v>
          </cell>
          <cell r="C61" t="str">
            <v>July</v>
          </cell>
          <cell r="H61" t="str">
            <v>Yes</v>
          </cell>
          <cell r="J61">
            <v>14</v>
          </cell>
        </row>
        <row r="62">
          <cell r="A62">
            <v>46224</v>
          </cell>
          <cell r="C62" t="str">
            <v>July</v>
          </cell>
          <cell r="H62" t="str">
            <v>Yes</v>
          </cell>
          <cell r="J62">
            <v>15</v>
          </cell>
        </row>
        <row r="63">
          <cell r="A63">
            <v>46225</v>
          </cell>
          <cell r="C63" t="str">
            <v>July</v>
          </cell>
          <cell r="H63" t="str">
            <v>Yes</v>
          </cell>
          <cell r="J63">
            <v>16</v>
          </cell>
        </row>
        <row r="64">
          <cell r="A64">
            <v>46226</v>
          </cell>
          <cell r="C64" t="str">
            <v>July</v>
          </cell>
          <cell r="H64" t="str">
            <v>Yes</v>
          </cell>
          <cell r="J64">
            <v>17</v>
          </cell>
        </row>
        <row r="65">
          <cell r="A65">
            <v>46227</v>
          </cell>
          <cell r="C65" t="str">
            <v>July</v>
          </cell>
          <cell r="H65" t="str">
            <v>Yes</v>
          </cell>
          <cell r="J65">
            <v>18</v>
          </cell>
        </row>
        <row r="66">
          <cell r="A66">
            <v>46228</v>
          </cell>
          <cell r="C66" t="str">
            <v>July</v>
          </cell>
          <cell r="H66" t="str">
            <v>No</v>
          </cell>
          <cell r="J66" t="str">
            <v/>
          </cell>
        </row>
        <row r="67">
          <cell r="A67">
            <v>46229</v>
          </cell>
          <cell r="C67" t="str">
            <v>July</v>
          </cell>
          <cell r="H67" t="str">
            <v>No</v>
          </cell>
          <cell r="J67" t="str">
            <v/>
          </cell>
        </row>
        <row r="68">
          <cell r="A68">
            <v>46230</v>
          </cell>
          <cell r="C68" t="str">
            <v>July</v>
          </cell>
          <cell r="H68" t="str">
            <v>Yes</v>
          </cell>
          <cell r="J68">
            <v>19</v>
          </cell>
        </row>
        <row r="69">
          <cell r="A69">
            <v>46231</v>
          </cell>
          <cell r="C69" t="str">
            <v>July</v>
          </cell>
          <cell r="H69" t="str">
            <v>Yes</v>
          </cell>
          <cell r="J69">
            <v>20</v>
          </cell>
        </row>
        <row r="70">
          <cell r="A70">
            <v>46232</v>
          </cell>
          <cell r="C70" t="str">
            <v>July</v>
          </cell>
          <cell r="H70" t="str">
            <v>Yes</v>
          </cell>
          <cell r="J70">
            <v>21</v>
          </cell>
        </row>
        <row r="71">
          <cell r="A71">
            <v>46233</v>
          </cell>
          <cell r="C71" t="str">
            <v>July</v>
          </cell>
          <cell r="H71" t="str">
            <v>Yes</v>
          </cell>
          <cell r="J71">
            <v>22</v>
          </cell>
        </row>
        <row r="72">
          <cell r="A72">
            <v>46234</v>
          </cell>
          <cell r="C72" t="str">
            <v>July</v>
          </cell>
          <cell r="H72" t="str">
            <v>Yes</v>
          </cell>
          <cell r="J72">
            <v>23</v>
          </cell>
        </row>
        <row r="73">
          <cell r="A73">
            <v>46235</v>
          </cell>
          <cell r="C73" t="str">
            <v>August</v>
          </cell>
          <cell r="H73" t="str">
            <v>No</v>
          </cell>
          <cell r="J73" t="str">
            <v/>
          </cell>
        </row>
        <row r="74">
          <cell r="A74">
            <v>46236</v>
          </cell>
          <cell r="C74" t="str">
            <v>August</v>
          </cell>
          <cell r="H74" t="str">
            <v>No</v>
          </cell>
          <cell r="J74" t="str">
            <v/>
          </cell>
        </row>
        <row r="75">
          <cell r="A75">
            <v>46237</v>
          </cell>
          <cell r="C75" t="str">
            <v>August</v>
          </cell>
          <cell r="H75" t="str">
            <v>Yes</v>
          </cell>
          <cell r="J75">
            <v>1</v>
          </cell>
        </row>
        <row r="76">
          <cell r="A76">
            <v>46238</v>
          </cell>
          <cell r="C76" t="str">
            <v>August</v>
          </cell>
          <cell r="H76" t="str">
            <v>Yes</v>
          </cell>
          <cell r="J76">
            <v>2</v>
          </cell>
        </row>
        <row r="77">
          <cell r="A77">
            <v>46239</v>
          </cell>
          <cell r="C77" t="str">
            <v>August</v>
          </cell>
          <cell r="H77" t="str">
            <v>Yes</v>
          </cell>
          <cell r="J77">
            <v>3</v>
          </cell>
        </row>
        <row r="78">
          <cell r="A78">
            <v>46240</v>
          </cell>
          <cell r="C78" t="str">
            <v>August</v>
          </cell>
          <cell r="H78" t="str">
            <v>Yes</v>
          </cell>
          <cell r="J78">
            <v>4</v>
          </cell>
        </row>
        <row r="79">
          <cell r="A79">
            <v>46241</v>
          </cell>
          <cell r="C79" t="str">
            <v>August</v>
          </cell>
          <cell r="H79" t="str">
            <v>Yes</v>
          </cell>
          <cell r="J79">
            <v>5</v>
          </cell>
        </row>
        <row r="80">
          <cell r="A80">
            <v>46242</v>
          </cell>
          <cell r="C80" t="str">
            <v>August</v>
          </cell>
          <cell r="H80" t="str">
            <v>No</v>
          </cell>
          <cell r="J80" t="str">
            <v/>
          </cell>
        </row>
        <row r="81">
          <cell r="A81">
            <v>46243</v>
          </cell>
          <cell r="C81" t="str">
            <v>August</v>
          </cell>
          <cell r="H81" t="str">
            <v>No</v>
          </cell>
          <cell r="J81" t="str">
            <v/>
          </cell>
        </row>
        <row r="82">
          <cell r="A82">
            <v>46244</v>
          </cell>
          <cell r="C82" t="str">
            <v>August</v>
          </cell>
          <cell r="H82" t="str">
            <v>Yes</v>
          </cell>
          <cell r="J82">
            <v>6</v>
          </cell>
        </row>
        <row r="83">
          <cell r="A83">
            <v>46245</v>
          </cell>
          <cell r="C83" t="str">
            <v>August</v>
          </cell>
          <cell r="H83" t="str">
            <v>Yes</v>
          </cell>
          <cell r="J83">
            <v>7</v>
          </cell>
        </row>
        <row r="84">
          <cell r="A84">
            <v>46246</v>
          </cell>
          <cell r="C84" t="str">
            <v>August</v>
          </cell>
          <cell r="H84" t="str">
            <v>Yes</v>
          </cell>
          <cell r="J84">
            <v>8</v>
          </cell>
        </row>
        <row r="85">
          <cell r="A85">
            <v>46247</v>
          </cell>
          <cell r="C85" t="str">
            <v>August</v>
          </cell>
          <cell r="H85" t="str">
            <v>Yes</v>
          </cell>
          <cell r="J85">
            <v>9</v>
          </cell>
        </row>
        <row r="86">
          <cell r="A86">
            <v>46248</v>
          </cell>
          <cell r="C86" t="str">
            <v>August</v>
          </cell>
          <cell r="H86" t="str">
            <v>Yes</v>
          </cell>
          <cell r="J86">
            <v>10</v>
          </cell>
        </row>
        <row r="87">
          <cell r="A87">
            <v>46249</v>
          </cell>
          <cell r="C87" t="str">
            <v>August</v>
          </cell>
          <cell r="H87" t="str">
            <v>No</v>
          </cell>
          <cell r="J87" t="str">
            <v/>
          </cell>
        </row>
        <row r="88">
          <cell r="A88">
            <v>46250</v>
          </cell>
          <cell r="C88" t="str">
            <v>August</v>
          </cell>
          <cell r="H88" t="str">
            <v>No</v>
          </cell>
          <cell r="J88" t="str">
            <v/>
          </cell>
        </row>
        <row r="89">
          <cell r="A89">
            <v>46251</v>
          </cell>
          <cell r="C89" t="str">
            <v>August</v>
          </cell>
          <cell r="H89" t="str">
            <v>Yes</v>
          </cell>
          <cell r="J89">
            <v>11</v>
          </cell>
        </row>
        <row r="90">
          <cell r="A90">
            <v>46252</v>
          </cell>
          <cell r="C90" t="str">
            <v>August</v>
          </cell>
          <cell r="H90" t="str">
            <v>Yes</v>
          </cell>
          <cell r="J90">
            <v>12</v>
          </cell>
        </row>
        <row r="91">
          <cell r="A91">
            <v>46253</v>
          </cell>
          <cell r="C91" t="str">
            <v>August</v>
          </cell>
          <cell r="H91" t="str">
            <v>Yes</v>
          </cell>
          <cell r="J91">
            <v>13</v>
          </cell>
        </row>
        <row r="92">
          <cell r="A92">
            <v>46254</v>
          </cell>
          <cell r="C92" t="str">
            <v>August</v>
          </cell>
          <cell r="H92" t="str">
            <v>Yes</v>
          </cell>
          <cell r="J92">
            <v>14</v>
          </cell>
        </row>
        <row r="93">
          <cell r="A93">
            <v>46255</v>
          </cell>
          <cell r="C93" t="str">
            <v>August</v>
          </cell>
          <cell r="H93" t="str">
            <v>No</v>
          </cell>
          <cell r="J93" t="str">
            <v/>
          </cell>
        </row>
        <row r="94">
          <cell r="A94">
            <v>46256</v>
          </cell>
          <cell r="C94" t="str">
            <v>August</v>
          </cell>
          <cell r="H94" t="str">
            <v>No</v>
          </cell>
          <cell r="J94" t="str">
            <v/>
          </cell>
        </row>
        <row r="95">
          <cell r="A95">
            <v>46257</v>
          </cell>
          <cell r="C95" t="str">
            <v>August</v>
          </cell>
          <cell r="H95" t="str">
            <v>No</v>
          </cell>
          <cell r="J95" t="str">
            <v/>
          </cell>
        </row>
        <row r="96">
          <cell r="A96">
            <v>46258</v>
          </cell>
          <cell r="C96" t="str">
            <v>August</v>
          </cell>
          <cell r="H96" t="str">
            <v>Yes</v>
          </cell>
          <cell r="J96">
            <v>15</v>
          </cell>
        </row>
        <row r="97">
          <cell r="A97">
            <v>46259</v>
          </cell>
          <cell r="C97" t="str">
            <v>August</v>
          </cell>
          <cell r="H97" t="str">
            <v>Yes</v>
          </cell>
          <cell r="J97">
            <v>16</v>
          </cell>
        </row>
        <row r="98">
          <cell r="A98">
            <v>46260</v>
          </cell>
          <cell r="C98" t="str">
            <v>August</v>
          </cell>
          <cell r="H98" t="str">
            <v>Yes</v>
          </cell>
          <cell r="J98">
            <v>17</v>
          </cell>
        </row>
        <row r="99">
          <cell r="A99">
            <v>46261</v>
          </cell>
          <cell r="C99" t="str">
            <v>August</v>
          </cell>
          <cell r="H99" t="str">
            <v>Yes</v>
          </cell>
          <cell r="J99">
            <v>18</v>
          </cell>
        </row>
        <row r="100">
          <cell r="A100">
            <v>46262</v>
          </cell>
          <cell r="C100" t="str">
            <v>August</v>
          </cell>
          <cell r="H100" t="str">
            <v>Yes</v>
          </cell>
          <cell r="J100">
            <v>19</v>
          </cell>
        </row>
        <row r="101">
          <cell r="A101">
            <v>46263</v>
          </cell>
          <cell r="C101" t="str">
            <v>August</v>
          </cell>
          <cell r="H101" t="str">
            <v>No</v>
          </cell>
          <cell r="J101" t="str">
            <v/>
          </cell>
        </row>
        <row r="102">
          <cell r="A102">
            <v>46264</v>
          </cell>
          <cell r="C102" t="str">
            <v>August</v>
          </cell>
          <cell r="H102" t="str">
            <v>No</v>
          </cell>
          <cell r="J102" t="str">
            <v/>
          </cell>
        </row>
        <row r="103">
          <cell r="A103">
            <v>46265</v>
          </cell>
          <cell r="C103" t="str">
            <v>August</v>
          </cell>
          <cell r="H103" t="str">
            <v>No</v>
          </cell>
          <cell r="J103" t="str">
            <v/>
          </cell>
        </row>
        <row r="104">
          <cell r="A104">
            <v>46266</v>
          </cell>
          <cell r="C104" t="str">
            <v>September</v>
          </cell>
          <cell r="H104" t="str">
            <v>Yes</v>
          </cell>
          <cell r="J104">
            <v>1</v>
          </cell>
        </row>
        <row r="105">
          <cell r="A105">
            <v>46267</v>
          </cell>
          <cell r="C105" t="str">
            <v>September</v>
          </cell>
          <cell r="H105" t="str">
            <v>Yes</v>
          </cell>
          <cell r="J105">
            <v>2</v>
          </cell>
        </row>
        <row r="106">
          <cell r="A106">
            <v>46268</v>
          </cell>
          <cell r="C106" t="str">
            <v>September</v>
          </cell>
          <cell r="H106" t="str">
            <v>Yes</v>
          </cell>
          <cell r="J106">
            <v>3</v>
          </cell>
        </row>
        <row r="107">
          <cell r="A107">
            <v>46269</v>
          </cell>
          <cell r="C107" t="str">
            <v>September</v>
          </cell>
          <cell r="H107" t="str">
            <v>Yes</v>
          </cell>
          <cell r="J107">
            <v>4</v>
          </cell>
        </row>
        <row r="108">
          <cell r="A108">
            <v>46270</v>
          </cell>
          <cell r="C108" t="str">
            <v>September</v>
          </cell>
          <cell r="H108" t="str">
            <v>No</v>
          </cell>
          <cell r="J108" t="str">
            <v/>
          </cell>
        </row>
        <row r="109">
          <cell r="A109">
            <v>46271</v>
          </cell>
          <cell r="C109" t="str">
            <v>September</v>
          </cell>
          <cell r="H109" t="str">
            <v>No</v>
          </cell>
          <cell r="J109" t="str">
            <v/>
          </cell>
        </row>
        <row r="110">
          <cell r="A110">
            <v>46272</v>
          </cell>
          <cell r="C110" t="str">
            <v>September</v>
          </cell>
          <cell r="H110" t="str">
            <v>Yes</v>
          </cell>
          <cell r="J110">
            <v>5</v>
          </cell>
        </row>
        <row r="111">
          <cell r="A111">
            <v>46273</v>
          </cell>
          <cell r="C111" t="str">
            <v>September</v>
          </cell>
          <cell r="H111" t="str">
            <v>Yes</v>
          </cell>
          <cell r="J111">
            <v>6</v>
          </cell>
        </row>
        <row r="112">
          <cell r="A112">
            <v>46274</v>
          </cell>
          <cell r="C112" t="str">
            <v>September</v>
          </cell>
          <cell r="H112" t="str">
            <v>Yes</v>
          </cell>
          <cell r="J112">
            <v>7</v>
          </cell>
        </row>
        <row r="113">
          <cell r="A113">
            <v>46275</v>
          </cell>
          <cell r="C113" t="str">
            <v>September</v>
          </cell>
          <cell r="H113" t="str">
            <v>Yes</v>
          </cell>
          <cell r="J113">
            <v>8</v>
          </cell>
        </row>
        <row r="114">
          <cell r="A114">
            <v>46276</v>
          </cell>
          <cell r="C114" t="str">
            <v>September</v>
          </cell>
          <cell r="H114" t="str">
            <v>Yes</v>
          </cell>
          <cell r="J114">
            <v>9</v>
          </cell>
        </row>
        <row r="115">
          <cell r="A115">
            <v>46277</v>
          </cell>
          <cell r="C115" t="str">
            <v>September</v>
          </cell>
          <cell r="H115" t="str">
            <v>No</v>
          </cell>
          <cell r="J115" t="str">
            <v/>
          </cell>
        </row>
        <row r="116">
          <cell r="A116">
            <v>46278</v>
          </cell>
          <cell r="C116" t="str">
            <v>September</v>
          </cell>
          <cell r="H116" t="str">
            <v>No</v>
          </cell>
          <cell r="J116" t="str">
            <v/>
          </cell>
        </row>
        <row r="117">
          <cell r="A117">
            <v>46279</v>
          </cell>
          <cell r="C117" t="str">
            <v>September</v>
          </cell>
          <cell r="H117" t="str">
            <v>Yes</v>
          </cell>
          <cell r="J117">
            <v>10</v>
          </cell>
        </row>
        <row r="118">
          <cell r="A118">
            <v>46280</v>
          </cell>
          <cell r="C118" t="str">
            <v>September</v>
          </cell>
          <cell r="H118" t="str">
            <v>Yes</v>
          </cell>
          <cell r="J118">
            <v>11</v>
          </cell>
        </row>
        <row r="119">
          <cell r="A119">
            <v>46281</v>
          </cell>
          <cell r="C119" t="str">
            <v>September</v>
          </cell>
          <cell r="H119" t="str">
            <v>Yes</v>
          </cell>
          <cell r="J119">
            <v>12</v>
          </cell>
        </row>
        <row r="120">
          <cell r="A120">
            <v>46282</v>
          </cell>
          <cell r="C120" t="str">
            <v>September</v>
          </cell>
          <cell r="H120" t="str">
            <v>Yes</v>
          </cell>
          <cell r="J120">
            <v>13</v>
          </cell>
        </row>
        <row r="121">
          <cell r="A121">
            <v>46283</v>
          </cell>
          <cell r="C121" t="str">
            <v>September</v>
          </cell>
          <cell r="H121" t="str">
            <v>Yes</v>
          </cell>
          <cell r="J121">
            <v>14</v>
          </cell>
        </row>
        <row r="122">
          <cell r="A122">
            <v>46284</v>
          </cell>
          <cell r="C122" t="str">
            <v>September</v>
          </cell>
          <cell r="H122" t="str">
            <v>No</v>
          </cell>
          <cell r="J122" t="str">
            <v/>
          </cell>
        </row>
        <row r="123">
          <cell r="A123">
            <v>46285</v>
          </cell>
          <cell r="C123" t="str">
            <v>September</v>
          </cell>
          <cell r="H123" t="str">
            <v>No</v>
          </cell>
          <cell r="J123" t="str">
            <v/>
          </cell>
        </row>
        <row r="124">
          <cell r="A124">
            <v>46286</v>
          </cell>
          <cell r="C124" t="str">
            <v>September</v>
          </cell>
          <cell r="H124" t="str">
            <v>Yes</v>
          </cell>
          <cell r="J124">
            <v>15</v>
          </cell>
        </row>
        <row r="125">
          <cell r="A125">
            <v>46287</v>
          </cell>
          <cell r="C125" t="str">
            <v>September</v>
          </cell>
          <cell r="H125" t="str">
            <v>Yes</v>
          </cell>
          <cell r="J125">
            <v>16</v>
          </cell>
        </row>
        <row r="126">
          <cell r="A126">
            <v>46288</v>
          </cell>
          <cell r="C126" t="str">
            <v>September</v>
          </cell>
          <cell r="H126" t="str">
            <v>Yes</v>
          </cell>
          <cell r="J126">
            <v>17</v>
          </cell>
        </row>
        <row r="127">
          <cell r="A127">
            <v>46289</v>
          </cell>
          <cell r="C127" t="str">
            <v>September</v>
          </cell>
          <cell r="H127" t="str">
            <v>Yes</v>
          </cell>
          <cell r="J127">
            <v>18</v>
          </cell>
        </row>
        <row r="128">
          <cell r="A128">
            <v>46290</v>
          </cell>
          <cell r="C128" t="str">
            <v>September</v>
          </cell>
          <cell r="H128" t="str">
            <v>Yes</v>
          </cell>
          <cell r="J128">
            <v>19</v>
          </cell>
        </row>
        <row r="129">
          <cell r="A129">
            <v>46291</v>
          </cell>
          <cell r="C129" t="str">
            <v>September</v>
          </cell>
          <cell r="H129" t="str">
            <v>No</v>
          </cell>
          <cell r="J129" t="str">
            <v/>
          </cell>
        </row>
        <row r="130">
          <cell r="A130">
            <v>46292</v>
          </cell>
          <cell r="C130" t="str">
            <v>September</v>
          </cell>
          <cell r="H130" t="str">
            <v>No</v>
          </cell>
          <cell r="J130" t="str">
            <v/>
          </cell>
        </row>
        <row r="131">
          <cell r="A131">
            <v>46293</v>
          </cell>
          <cell r="C131" t="str">
            <v>September</v>
          </cell>
          <cell r="H131" t="str">
            <v>Yes</v>
          </cell>
          <cell r="J131">
            <v>20</v>
          </cell>
        </row>
        <row r="132">
          <cell r="A132">
            <v>46294</v>
          </cell>
          <cell r="C132" t="str">
            <v>September</v>
          </cell>
          <cell r="H132" t="str">
            <v>Yes</v>
          </cell>
          <cell r="J132">
            <v>21</v>
          </cell>
        </row>
        <row r="133">
          <cell r="A133">
            <v>46295</v>
          </cell>
          <cell r="C133" t="str">
            <v>September</v>
          </cell>
          <cell r="H133" t="str">
            <v>Yes</v>
          </cell>
          <cell r="J133">
            <v>22</v>
          </cell>
        </row>
        <row r="134">
          <cell r="A134">
            <v>46296</v>
          </cell>
          <cell r="C134" t="str">
            <v>October</v>
          </cell>
          <cell r="H134" t="str">
            <v>Yes</v>
          </cell>
          <cell r="J134">
            <v>1</v>
          </cell>
        </row>
        <row r="135">
          <cell r="A135">
            <v>46297</v>
          </cell>
          <cell r="C135" t="str">
            <v>October</v>
          </cell>
          <cell r="H135" t="str">
            <v>Yes</v>
          </cell>
          <cell r="J135">
            <v>2</v>
          </cell>
        </row>
        <row r="136">
          <cell r="A136">
            <v>46298</v>
          </cell>
          <cell r="C136" t="str">
            <v>October</v>
          </cell>
          <cell r="H136" t="str">
            <v>No</v>
          </cell>
          <cell r="J136" t="str">
            <v/>
          </cell>
        </row>
        <row r="137">
          <cell r="A137">
            <v>46299</v>
          </cell>
          <cell r="C137" t="str">
            <v>October</v>
          </cell>
          <cell r="H137" t="str">
            <v>No</v>
          </cell>
          <cell r="J137" t="str">
            <v/>
          </cell>
        </row>
        <row r="138">
          <cell r="A138">
            <v>46300</v>
          </cell>
          <cell r="C138" t="str">
            <v>October</v>
          </cell>
          <cell r="H138" t="str">
            <v>Yes</v>
          </cell>
          <cell r="J138">
            <v>3</v>
          </cell>
        </row>
        <row r="139">
          <cell r="A139">
            <v>46301</v>
          </cell>
          <cell r="C139" t="str">
            <v>October</v>
          </cell>
          <cell r="H139" t="str">
            <v>Yes</v>
          </cell>
          <cell r="J139">
            <v>4</v>
          </cell>
        </row>
        <row r="140">
          <cell r="A140">
            <v>46302</v>
          </cell>
          <cell r="C140" t="str">
            <v>October</v>
          </cell>
          <cell r="H140" t="str">
            <v>Yes</v>
          </cell>
          <cell r="J140">
            <v>5</v>
          </cell>
        </row>
        <row r="141">
          <cell r="A141">
            <v>46303</v>
          </cell>
          <cell r="C141" t="str">
            <v>October</v>
          </cell>
          <cell r="H141" t="str">
            <v>Yes</v>
          </cell>
          <cell r="J141">
            <v>6</v>
          </cell>
        </row>
        <row r="142">
          <cell r="A142">
            <v>46304</v>
          </cell>
          <cell r="C142" t="str">
            <v>October</v>
          </cell>
          <cell r="H142" t="str">
            <v>Yes</v>
          </cell>
          <cell r="J142">
            <v>7</v>
          </cell>
        </row>
        <row r="143">
          <cell r="A143">
            <v>46305</v>
          </cell>
          <cell r="C143" t="str">
            <v>October</v>
          </cell>
          <cell r="H143" t="str">
            <v>No</v>
          </cell>
          <cell r="J143" t="str">
            <v/>
          </cell>
        </row>
        <row r="144">
          <cell r="A144">
            <v>46306</v>
          </cell>
          <cell r="C144" t="str">
            <v>October</v>
          </cell>
          <cell r="H144" t="str">
            <v>No</v>
          </cell>
          <cell r="J144" t="str">
            <v/>
          </cell>
        </row>
        <row r="145">
          <cell r="A145">
            <v>46307</v>
          </cell>
          <cell r="C145" t="str">
            <v>October</v>
          </cell>
          <cell r="H145" t="str">
            <v>Yes</v>
          </cell>
          <cell r="J145">
            <v>8</v>
          </cell>
        </row>
        <row r="146">
          <cell r="A146">
            <v>46308</v>
          </cell>
          <cell r="C146" t="str">
            <v>October</v>
          </cell>
          <cell r="H146" t="str">
            <v>Yes</v>
          </cell>
          <cell r="J146">
            <v>9</v>
          </cell>
        </row>
        <row r="147">
          <cell r="A147">
            <v>46309</v>
          </cell>
          <cell r="C147" t="str">
            <v>October</v>
          </cell>
          <cell r="H147" t="str">
            <v>Yes</v>
          </cell>
          <cell r="J147">
            <v>10</v>
          </cell>
        </row>
        <row r="148">
          <cell r="A148">
            <v>46310</v>
          </cell>
          <cell r="C148" t="str">
            <v>October</v>
          </cell>
          <cell r="H148" t="str">
            <v>Yes</v>
          </cell>
          <cell r="J148">
            <v>11</v>
          </cell>
        </row>
        <row r="149">
          <cell r="A149">
            <v>46311</v>
          </cell>
          <cell r="C149" t="str">
            <v>October</v>
          </cell>
          <cell r="H149" t="str">
            <v>Yes</v>
          </cell>
          <cell r="J149">
            <v>12</v>
          </cell>
        </row>
        <row r="150">
          <cell r="A150">
            <v>46312</v>
          </cell>
          <cell r="C150" t="str">
            <v>October</v>
          </cell>
          <cell r="H150" t="str">
            <v>No</v>
          </cell>
          <cell r="J150" t="str">
            <v/>
          </cell>
        </row>
        <row r="151">
          <cell r="A151">
            <v>46313</v>
          </cell>
          <cell r="C151" t="str">
            <v>October</v>
          </cell>
          <cell r="H151" t="str">
            <v>No</v>
          </cell>
          <cell r="J151" t="str">
            <v/>
          </cell>
        </row>
        <row r="152">
          <cell r="A152">
            <v>46314</v>
          </cell>
          <cell r="C152" t="str">
            <v>October</v>
          </cell>
          <cell r="H152" t="str">
            <v>Yes</v>
          </cell>
          <cell r="J152">
            <v>13</v>
          </cell>
        </row>
        <row r="153">
          <cell r="A153">
            <v>46315</v>
          </cell>
          <cell r="C153" t="str">
            <v>October</v>
          </cell>
          <cell r="H153" t="str">
            <v>Yes</v>
          </cell>
          <cell r="J153">
            <v>14</v>
          </cell>
        </row>
        <row r="154">
          <cell r="A154">
            <v>46316</v>
          </cell>
          <cell r="C154" t="str">
            <v>October</v>
          </cell>
          <cell r="H154" t="str">
            <v>Yes</v>
          </cell>
          <cell r="J154">
            <v>15</v>
          </cell>
        </row>
        <row r="155">
          <cell r="A155">
            <v>46317</v>
          </cell>
          <cell r="C155" t="str">
            <v>October</v>
          </cell>
          <cell r="H155" t="str">
            <v>Yes</v>
          </cell>
          <cell r="J155">
            <v>16</v>
          </cell>
        </row>
        <row r="156">
          <cell r="A156">
            <v>46318</v>
          </cell>
          <cell r="C156" t="str">
            <v>October</v>
          </cell>
          <cell r="H156" t="str">
            <v>Yes</v>
          </cell>
          <cell r="J156">
            <v>17</v>
          </cell>
        </row>
        <row r="157">
          <cell r="A157">
            <v>46319</v>
          </cell>
          <cell r="C157" t="str">
            <v>October</v>
          </cell>
          <cell r="H157" t="str">
            <v>No</v>
          </cell>
          <cell r="J157" t="str">
            <v/>
          </cell>
        </row>
        <row r="158">
          <cell r="A158">
            <v>46320</v>
          </cell>
          <cell r="C158" t="str">
            <v>October</v>
          </cell>
          <cell r="H158" t="str">
            <v>No</v>
          </cell>
          <cell r="J158" t="str">
            <v/>
          </cell>
        </row>
        <row r="159">
          <cell r="A159">
            <v>46321</v>
          </cell>
          <cell r="C159" t="str">
            <v>October</v>
          </cell>
          <cell r="H159" t="str">
            <v>Yes</v>
          </cell>
          <cell r="J159">
            <v>18</v>
          </cell>
        </row>
        <row r="160">
          <cell r="A160">
            <v>46322</v>
          </cell>
          <cell r="C160" t="str">
            <v>October</v>
          </cell>
          <cell r="H160" t="str">
            <v>Yes</v>
          </cell>
          <cell r="J160">
            <v>19</v>
          </cell>
        </row>
        <row r="161">
          <cell r="A161">
            <v>46323</v>
          </cell>
          <cell r="C161" t="str">
            <v>October</v>
          </cell>
          <cell r="H161" t="str">
            <v>Yes</v>
          </cell>
          <cell r="J161">
            <v>20</v>
          </cell>
        </row>
        <row r="162">
          <cell r="A162">
            <v>46324</v>
          </cell>
          <cell r="C162" t="str">
            <v>October</v>
          </cell>
          <cell r="H162" t="str">
            <v>Yes</v>
          </cell>
          <cell r="J162">
            <v>21</v>
          </cell>
        </row>
        <row r="163">
          <cell r="A163">
            <v>46325</v>
          </cell>
          <cell r="C163" t="str">
            <v>October</v>
          </cell>
          <cell r="H163" t="str">
            <v>Yes</v>
          </cell>
          <cell r="J163">
            <v>22</v>
          </cell>
        </row>
        <row r="164">
          <cell r="A164">
            <v>46326</v>
          </cell>
          <cell r="C164" t="str">
            <v>October</v>
          </cell>
          <cell r="H164" t="str">
            <v>No</v>
          </cell>
          <cell r="J164" t="str">
            <v/>
          </cell>
        </row>
        <row r="165">
          <cell r="A165">
            <v>46327</v>
          </cell>
          <cell r="C165" t="str">
            <v>November</v>
          </cell>
          <cell r="H165" t="str">
            <v>No</v>
          </cell>
          <cell r="J165" t="str">
            <v/>
          </cell>
        </row>
        <row r="166">
          <cell r="A166">
            <v>46328</v>
          </cell>
          <cell r="C166" t="str">
            <v>November</v>
          </cell>
          <cell r="H166" t="str">
            <v>No</v>
          </cell>
          <cell r="J166" t="str">
            <v/>
          </cell>
        </row>
        <row r="167">
          <cell r="A167">
            <v>46329</v>
          </cell>
          <cell r="C167" t="str">
            <v>November</v>
          </cell>
          <cell r="H167" t="str">
            <v>Yes</v>
          </cell>
          <cell r="J167">
            <v>1</v>
          </cell>
        </row>
        <row r="168">
          <cell r="A168">
            <v>46330</v>
          </cell>
          <cell r="C168" t="str">
            <v>November</v>
          </cell>
          <cell r="H168" t="str">
            <v>Yes</v>
          </cell>
          <cell r="J168">
            <v>2</v>
          </cell>
        </row>
        <row r="169">
          <cell r="A169">
            <v>46331</v>
          </cell>
          <cell r="C169" t="str">
            <v>November</v>
          </cell>
          <cell r="H169" t="str">
            <v>Yes</v>
          </cell>
          <cell r="J169">
            <v>3</v>
          </cell>
        </row>
        <row r="170">
          <cell r="A170">
            <v>46332</v>
          </cell>
          <cell r="C170" t="str">
            <v>November</v>
          </cell>
          <cell r="H170" t="str">
            <v>Yes</v>
          </cell>
          <cell r="J170">
            <v>4</v>
          </cell>
        </row>
        <row r="171">
          <cell r="A171">
            <v>46333</v>
          </cell>
          <cell r="C171" t="str">
            <v>November</v>
          </cell>
          <cell r="H171" t="str">
            <v>No</v>
          </cell>
          <cell r="J171" t="str">
            <v/>
          </cell>
        </row>
        <row r="172">
          <cell r="A172">
            <v>46334</v>
          </cell>
          <cell r="C172" t="str">
            <v>November</v>
          </cell>
          <cell r="H172" t="str">
            <v>No</v>
          </cell>
          <cell r="J172" t="str">
            <v/>
          </cell>
        </row>
        <row r="173">
          <cell r="A173">
            <v>46335</v>
          </cell>
          <cell r="C173" t="str">
            <v>November</v>
          </cell>
          <cell r="H173" t="str">
            <v>Yes</v>
          </cell>
          <cell r="J173">
            <v>5</v>
          </cell>
        </row>
        <row r="174">
          <cell r="A174">
            <v>46336</v>
          </cell>
          <cell r="C174" t="str">
            <v>November</v>
          </cell>
          <cell r="H174" t="str">
            <v>Yes</v>
          </cell>
          <cell r="J174">
            <v>6</v>
          </cell>
        </row>
        <row r="175">
          <cell r="A175">
            <v>46337</v>
          </cell>
          <cell r="C175" t="str">
            <v>November</v>
          </cell>
          <cell r="H175" t="str">
            <v>Yes</v>
          </cell>
          <cell r="J175">
            <v>7</v>
          </cell>
        </row>
        <row r="176">
          <cell r="A176">
            <v>46338</v>
          </cell>
          <cell r="C176" t="str">
            <v>November</v>
          </cell>
          <cell r="H176" t="str">
            <v>Yes</v>
          </cell>
          <cell r="J176">
            <v>8</v>
          </cell>
        </row>
        <row r="177">
          <cell r="A177">
            <v>46339</v>
          </cell>
          <cell r="C177" t="str">
            <v>November</v>
          </cell>
          <cell r="H177" t="str">
            <v>Yes</v>
          </cell>
          <cell r="J177">
            <v>9</v>
          </cell>
        </row>
        <row r="178">
          <cell r="A178">
            <v>46340</v>
          </cell>
          <cell r="C178" t="str">
            <v>November</v>
          </cell>
          <cell r="H178" t="str">
            <v>No</v>
          </cell>
          <cell r="J178" t="str">
            <v/>
          </cell>
        </row>
        <row r="179">
          <cell r="A179">
            <v>46341</v>
          </cell>
          <cell r="C179" t="str">
            <v>November</v>
          </cell>
          <cell r="H179" t="str">
            <v>No</v>
          </cell>
          <cell r="J179" t="str">
            <v/>
          </cell>
        </row>
        <row r="180">
          <cell r="A180">
            <v>46342</v>
          </cell>
          <cell r="C180" t="str">
            <v>November</v>
          </cell>
          <cell r="H180" t="str">
            <v>Yes</v>
          </cell>
          <cell r="J180">
            <v>10</v>
          </cell>
        </row>
        <row r="181">
          <cell r="A181">
            <v>46343</v>
          </cell>
          <cell r="C181" t="str">
            <v>November</v>
          </cell>
          <cell r="H181" t="str">
            <v>Yes</v>
          </cell>
          <cell r="J181">
            <v>11</v>
          </cell>
        </row>
        <row r="182">
          <cell r="A182">
            <v>46344</v>
          </cell>
          <cell r="C182" t="str">
            <v>November</v>
          </cell>
          <cell r="H182" t="str">
            <v>Yes</v>
          </cell>
          <cell r="J182">
            <v>12</v>
          </cell>
        </row>
        <row r="183">
          <cell r="A183">
            <v>46345</v>
          </cell>
          <cell r="C183" t="str">
            <v>November</v>
          </cell>
          <cell r="H183" t="str">
            <v>Yes</v>
          </cell>
          <cell r="J183">
            <v>13</v>
          </cell>
        </row>
        <row r="184">
          <cell r="A184">
            <v>46346</v>
          </cell>
          <cell r="C184" t="str">
            <v>November</v>
          </cell>
          <cell r="H184" t="str">
            <v>Yes</v>
          </cell>
          <cell r="J184">
            <v>14</v>
          </cell>
        </row>
        <row r="185">
          <cell r="A185">
            <v>46347</v>
          </cell>
          <cell r="C185" t="str">
            <v>November</v>
          </cell>
          <cell r="H185" t="str">
            <v>No</v>
          </cell>
          <cell r="J185" t="str">
            <v/>
          </cell>
        </row>
        <row r="186">
          <cell r="A186">
            <v>46348</v>
          </cell>
          <cell r="C186" t="str">
            <v>November</v>
          </cell>
          <cell r="H186" t="str">
            <v>No</v>
          </cell>
          <cell r="J186" t="str">
            <v/>
          </cell>
        </row>
        <row r="187">
          <cell r="A187">
            <v>46349</v>
          </cell>
          <cell r="C187" t="str">
            <v>November</v>
          </cell>
          <cell r="H187" t="str">
            <v>Yes</v>
          </cell>
          <cell r="J187">
            <v>15</v>
          </cell>
        </row>
        <row r="188">
          <cell r="A188">
            <v>46350</v>
          </cell>
          <cell r="C188" t="str">
            <v>November</v>
          </cell>
          <cell r="H188" t="str">
            <v>Yes</v>
          </cell>
          <cell r="J188">
            <v>16</v>
          </cell>
        </row>
        <row r="189">
          <cell r="A189">
            <v>46351</v>
          </cell>
          <cell r="C189" t="str">
            <v>November</v>
          </cell>
          <cell r="H189" t="str">
            <v>Yes</v>
          </cell>
          <cell r="J189">
            <v>17</v>
          </cell>
        </row>
        <row r="190">
          <cell r="A190">
            <v>46352</v>
          </cell>
          <cell r="C190" t="str">
            <v>November</v>
          </cell>
          <cell r="H190" t="str">
            <v>Yes</v>
          </cell>
          <cell r="J190">
            <v>18</v>
          </cell>
        </row>
        <row r="191">
          <cell r="A191">
            <v>46353</v>
          </cell>
          <cell r="C191" t="str">
            <v>November</v>
          </cell>
          <cell r="H191" t="str">
            <v>Yes</v>
          </cell>
          <cell r="J191">
            <v>19</v>
          </cell>
        </row>
        <row r="192">
          <cell r="A192">
            <v>46354</v>
          </cell>
          <cell r="C192" t="str">
            <v>November</v>
          </cell>
          <cell r="H192" t="str">
            <v>No</v>
          </cell>
          <cell r="J192" t="str">
            <v/>
          </cell>
        </row>
        <row r="193">
          <cell r="A193">
            <v>46355</v>
          </cell>
          <cell r="C193" t="str">
            <v>November</v>
          </cell>
          <cell r="H193" t="str">
            <v>No</v>
          </cell>
          <cell r="J193" t="str">
            <v/>
          </cell>
        </row>
        <row r="194">
          <cell r="A194">
            <v>46356</v>
          </cell>
          <cell r="C194" t="str">
            <v>November</v>
          </cell>
          <cell r="H194" t="str">
            <v>No</v>
          </cell>
          <cell r="J194" t="str">
            <v/>
          </cell>
        </row>
        <row r="195">
          <cell r="A195">
            <v>46357</v>
          </cell>
          <cell r="C195" t="str">
            <v>December</v>
          </cell>
          <cell r="H195" t="str">
            <v>Yes</v>
          </cell>
          <cell r="J195">
            <v>1</v>
          </cell>
        </row>
        <row r="196">
          <cell r="A196">
            <v>46358</v>
          </cell>
          <cell r="C196" t="str">
            <v>December</v>
          </cell>
          <cell r="H196" t="str">
            <v>Yes</v>
          </cell>
          <cell r="J196">
            <v>2</v>
          </cell>
        </row>
        <row r="197">
          <cell r="A197">
            <v>46359</v>
          </cell>
          <cell r="C197" t="str">
            <v>December</v>
          </cell>
          <cell r="H197" t="str">
            <v>Yes</v>
          </cell>
          <cell r="J197">
            <v>3</v>
          </cell>
        </row>
        <row r="198">
          <cell r="A198">
            <v>46360</v>
          </cell>
          <cell r="C198" t="str">
            <v>December</v>
          </cell>
          <cell r="H198" t="str">
            <v>Yes</v>
          </cell>
          <cell r="J198">
            <v>4</v>
          </cell>
        </row>
        <row r="199">
          <cell r="A199">
            <v>46361</v>
          </cell>
          <cell r="C199" t="str">
            <v>December</v>
          </cell>
          <cell r="H199" t="str">
            <v>No</v>
          </cell>
          <cell r="J199" t="str">
            <v/>
          </cell>
        </row>
        <row r="200">
          <cell r="A200">
            <v>46362</v>
          </cell>
          <cell r="C200" t="str">
            <v>December</v>
          </cell>
          <cell r="H200" t="str">
            <v>No</v>
          </cell>
          <cell r="J200" t="str">
            <v/>
          </cell>
        </row>
        <row r="201">
          <cell r="A201">
            <v>46363</v>
          </cell>
          <cell r="C201" t="str">
            <v>December</v>
          </cell>
          <cell r="H201" t="str">
            <v>Yes</v>
          </cell>
          <cell r="J201">
            <v>5</v>
          </cell>
        </row>
        <row r="202">
          <cell r="A202">
            <v>46364</v>
          </cell>
          <cell r="C202" t="str">
            <v>December</v>
          </cell>
          <cell r="H202" t="str">
            <v>No</v>
          </cell>
          <cell r="J202" t="str">
            <v/>
          </cell>
        </row>
        <row r="203">
          <cell r="A203">
            <v>46365</v>
          </cell>
          <cell r="C203" t="str">
            <v>December</v>
          </cell>
          <cell r="H203" t="str">
            <v>Yes</v>
          </cell>
          <cell r="J203">
            <v>6</v>
          </cell>
        </row>
        <row r="204">
          <cell r="A204">
            <v>46366</v>
          </cell>
          <cell r="C204" t="str">
            <v>December</v>
          </cell>
          <cell r="H204" t="str">
            <v>Yes</v>
          </cell>
          <cell r="J204">
            <v>7</v>
          </cell>
        </row>
        <row r="205">
          <cell r="A205">
            <v>46367</v>
          </cell>
          <cell r="C205" t="str">
            <v>December</v>
          </cell>
          <cell r="H205" t="str">
            <v>Yes</v>
          </cell>
          <cell r="J205">
            <v>8</v>
          </cell>
        </row>
        <row r="206">
          <cell r="A206">
            <v>46368</v>
          </cell>
          <cell r="C206" t="str">
            <v>December</v>
          </cell>
          <cell r="H206" t="str">
            <v>No</v>
          </cell>
          <cell r="J206" t="str">
            <v/>
          </cell>
        </row>
        <row r="207">
          <cell r="A207">
            <v>46369</v>
          </cell>
          <cell r="C207" t="str">
            <v>December</v>
          </cell>
          <cell r="H207" t="str">
            <v>No</v>
          </cell>
          <cell r="J207" t="str">
            <v/>
          </cell>
        </row>
        <row r="208">
          <cell r="A208">
            <v>46370</v>
          </cell>
          <cell r="C208" t="str">
            <v>December</v>
          </cell>
          <cell r="H208" t="str">
            <v>Yes</v>
          </cell>
          <cell r="J208">
            <v>9</v>
          </cell>
        </row>
        <row r="209">
          <cell r="A209">
            <v>46371</v>
          </cell>
          <cell r="C209" t="str">
            <v>December</v>
          </cell>
          <cell r="H209" t="str">
            <v>Yes</v>
          </cell>
          <cell r="J209">
            <v>10</v>
          </cell>
        </row>
        <row r="210">
          <cell r="A210">
            <v>46372</v>
          </cell>
          <cell r="C210" t="str">
            <v>December</v>
          </cell>
          <cell r="H210" t="str">
            <v>Yes</v>
          </cell>
          <cell r="J210">
            <v>11</v>
          </cell>
        </row>
        <row r="211">
          <cell r="A211">
            <v>46373</v>
          </cell>
          <cell r="C211" t="str">
            <v>December</v>
          </cell>
          <cell r="H211" t="str">
            <v>Yes</v>
          </cell>
          <cell r="J211">
            <v>12</v>
          </cell>
        </row>
        <row r="212">
          <cell r="A212">
            <v>46374</v>
          </cell>
          <cell r="C212" t="str">
            <v>December</v>
          </cell>
          <cell r="H212" t="str">
            <v>Yes</v>
          </cell>
          <cell r="J212">
            <v>13</v>
          </cell>
        </row>
        <row r="213">
          <cell r="A213">
            <v>46375</v>
          </cell>
          <cell r="C213" t="str">
            <v>December</v>
          </cell>
          <cell r="H213" t="str">
            <v>No</v>
          </cell>
          <cell r="J213" t="str">
            <v/>
          </cell>
        </row>
        <row r="214">
          <cell r="A214">
            <v>46376</v>
          </cell>
          <cell r="C214" t="str">
            <v>December</v>
          </cell>
          <cell r="H214" t="str">
            <v>No</v>
          </cell>
          <cell r="J214" t="str">
            <v/>
          </cell>
        </row>
        <row r="215">
          <cell r="A215">
            <v>46377</v>
          </cell>
          <cell r="C215" t="str">
            <v>December</v>
          </cell>
          <cell r="H215" t="str">
            <v>No</v>
          </cell>
          <cell r="J215" t="str">
            <v/>
          </cell>
        </row>
        <row r="216">
          <cell r="A216">
            <v>46378</v>
          </cell>
          <cell r="C216" t="str">
            <v>December</v>
          </cell>
          <cell r="H216" t="str">
            <v>No</v>
          </cell>
          <cell r="J216" t="str">
            <v/>
          </cell>
        </row>
        <row r="217">
          <cell r="A217">
            <v>46379</v>
          </cell>
          <cell r="C217" t="str">
            <v>December</v>
          </cell>
          <cell r="H217" t="str">
            <v>No</v>
          </cell>
          <cell r="J217" t="str">
            <v/>
          </cell>
        </row>
        <row r="218">
          <cell r="A218">
            <v>46380</v>
          </cell>
          <cell r="C218" t="str">
            <v>December</v>
          </cell>
          <cell r="H218" t="str">
            <v>No</v>
          </cell>
          <cell r="J218" t="str">
            <v/>
          </cell>
        </row>
        <row r="219">
          <cell r="A219">
            <v>46381</v>
          </cell>
          <cell r="C219" t="str">
            <v>December</v>
          </cell>
          <cell r="H219" t="str">
            <v>No</v>
          </cell>
          <cell r="J219" t="str">
            <v/>
          </cell>
        </row>
        <row r="220">
          <cell r="A220">
            <v>46382</v>
          </cell>
          <cell r="C220" t="str">
            <v>December</v>
          </cell>
          <cell r="H220" t="str">
            <v>No</v>
          </cell>
          <cell r="J220" t="str">
            <v/>
          </cell>
        </row>
        <row r="221">
          <cell r="A221">
            <v>46383</v>
          </cell>
          <cell r="C221" t="str">
            <v>December</v>
          </cell>
          <cell r="H221" t="str">
            <v>No</v>
          </cell>
          <cell r="J221" t="str">
            <v/>
          </cell>
        </row>
        <row r="222">
          <cell r="A222">
            <v>46384</v>
          </cell>
          <cell r="C222" t="str">
            <v>December</v>
          </cell>
          <cell r="H222" t="str">
            <v>No</v>
          </cell>
          <cell r="J222" t="str">
            <v/>
          </cell>
        </row>
        <row r="223">
          <cell r="A223">
            <v>46385</v>
          </cell>
          <cell r="C223" t="str">
            <v>December</v>
          </cell>
          <cell r="H223" t="str">
            <v>No</v>
          </cell>
          <cell r="J223" t="str">
            <v/>
          </cell>
        </row>
        <row r="224">
          <cell r="A224">
            <v>46386</v>
          </cell>
          <cell r="C224" t="str">
            <v>December</v>
          </cell>
          <cell r="H224" t="str">
            <v>No</v>
          </cell>
          <cell r="J224" t="str">
            <v/>
          </cell>
        </row>
        <row r="225">
          <cell r="A225">
            <v>46387</v>
          </cell>
          <cell r="C225" t="str">
            <v>December</v>
          </cell>
          <cell r="H225" t="str">
            <v>No</v>
          </cell>
          <cell r="J225" t="str">
            <v/>
          </cell>
        </row>
        <row r="226">
          <cell r="A226">
            <v>46388</v>
          </cell>
          <cell r="C226" t="str">
            <v>January</v>
          </cell>
          <cell r="H226" t="str">
            <v>No</v>
          </cell>
          <cell r="J226" t="str">
            <v/>
          </cell>
        </row>
        <row r="227">
          <cell r="A227">
            <v>46389</v>
          </cell>
          <cell r="C227" t="str">
            <v>January</v>
          </cell>
          <cell r="H227" t="str">
            <v>No</v>
          </cell>
          <cell r="J227" t="str">
            <v/>
          </cell>
        </row>
        <row r="228">
          <cell r="A228">
            <v>46390</v>
          </cell>
          <cell r="C228" t="str">
            <v>January</v>
          </cell>
          <cell r="H228" t="str">
            <v>No</v>
          </cell>
          <cell r="J228" t="str">
            <v/>
          </cell>
        </row>
        <row r="229">
          <cell r="A229">
            <v>46391</v>
          </cell>
          <cell r="C229" t="str">
            <v>January</v>
          </cell>
          <cell r="H229" t="str">
            <v>Yes</v>
          </cell>
          <cell r="J229">
            <v>1</v>
          </cell>
        </row>
        <row r="230">
          <cell r="A230">
            <v>46392</v>
          </cell>
          <cell r="C230" t="str">
            <v>January</v>
          </cell>
          <cell r="H230" t="str">
            <v>Yes</v>
          </cell>
          <cell r="J230">
            <v>2</v>
          </cell>
        </row>
        <row r="231">
          <cell r="A231">
            <v>46393</v>
          </cell>
          <cell r="C231" t="str">
            <v>January</v>
          </cell>
          <cell r="H231" t="str">
            <v>Yes</v>
          </cell>
          <cell r="J231">
            <v>3</v>
          </cell>
        </row>
        <row r="232">
          <cell r="A232">
            <v>46394</v>
          </cell>
          <cell r="C232" t="str">
            <v>January</v>
          </cell>
          <cell r="H232" t="str">
            <v>Yes</v>
          </cell>
          <cell r="J232">
            <v>4</v>
          </cell>
        </row>
        <row r="233">
          <cell r="A233">
            <v>46395</v>
          </cell>
          <cell r="C233" t="str">
            <v>January</v>
          </cell>
          <cell r="H233" t="str">
            <v>Yes</v>
          </cell>
          <cell r="J233">
            <v>5</v>
          </cell>
        </row>
        <row r="234">
          <cell r="A234">
            <v>46396</v>
          </cell>
          <cell r="C234" t="str">
            <v>January</v>
          </cell>
          <cell r="H234" t="str">
            <v>No</v>
          </cell>
          <cell r="J234" t="str">
            <v/>
          </cell>
        </row>
        <row r="235">
          <cell r="A235">
            <v>46397</v>
          </cell>
          <cell r="C235" t="str">
            <v>January</v>
          </cell>
          <cell r="H235" t="str">
            <v>No</v>
          </cell>
          <cell r="J235" t="str">
            <v/>
          </cell>
        </row>
        <row r="236">
          <cell r="A236">
            <v>46398</v>
          </cell>
          <cell r="C236" t="str">
            <v>January</v>
          </cell>
          <cell r="H236" t="str">
            <v>Yes</v>
          </cell>
          <cell r="J236">
            <v>6</v>
          </cell>
        </row>
        <row r="237">
          <cell r="A237">
            <v>46399</v>
          </cell>
          <cell r="C237" t="str">
            <v>January</v>
          </cell>
          <cell r="H237" t="str">
            <v>Yes</v>
          </cell>
          <cell r="J237">
            <v>7</v>
          </cell>
        </row>
        <row r="238">
          <cell r="A238">
            <v>46400</v>
          </cell>
          <cell r="C238" t="str">
            <v>January</v>
          </cell>
          <cell r="H238" t="str">
            <v>Yes</v>
          </cell>
          <cell r="J238">
            <v>8</v>
          </cell>
        </row>
        <row r="239">
          <cell r="A239">
            <v>46401</v>
          </cell>
          <cell r="C239" t="str">
            <v>January</v>
          </cell>
          <cell r="H239" t="str">
            <v>Yes</v>
          </cell>
          <cell r="J239">
            <v>9</v>
          </cell>
        </row>
        <row r="240">
          <cell r="A240">
            <v>46402</v>
          </cell>
          <cell r="C240" t="str">
            <v>January</v>
          </cell>
          <cell r="H240" t="str">
            <v>Yes</v>
          </cell>
          <cell r="J240">
            <v>10</v>
          </cell>
        </row>
        <row r="241">
          <cell r="A241">
            <v>46403</v>
          </cell>
          <cell r="C241" t="str">
            <v>January</v>
          </cell>
          <cell r="H241" t="str">
            <v>No</v>
          </cell>
          <cell r="J241" t="str">
            <v/>
          </cell>
        </row>
        <row r="242">
          <cell r="A242">
            <v>46404</v>
          </cell>
          <cell r="C242" t="str">
            <v>January</v>
          </cell>
          <cell r="H242" t="str">
            <v>No</v>
          </cell>
          <cell r="J242" t="str">
            <v/>
          </cell>
        </row>
        <row r="243">
          <cell r="A243">
            <v>46405</v>
          </cell>
          <cell r="C243" t="str">
            <v>January</v>
          </cell>
          <cell r="H243" t="str">
            <v>Yes</v>
          </cell>
          <cell r="J243">
            <v>11</v>
          </cell>
        </row>
        <row r="244">
          <cell r="A244">
            <v>46406</v>
          </cell>
          <cell r="C244" t="str">
            <v>January</v>
          </cell>
          <cell r="H244" t="str">
            <v>Yes</v>
          </cell>
          <cell r="J244">
            <v>12</v>
          </cell>
        </row>
        <row r="245">
          <cell r="A245">
            <v>46407</v>
          </cell>
          <cell r="C245" t="str">
            <v>January</v>
          </cell>
          <cell r="H245" t="str">
            <v>Yes</v>
          </cell>
          <cell r="J245">
            <v>13</v>
          </cell>
        </row>
        <row r="246">
          <cell r="A246">
            <v>46408</v>
          </cell>
          <cell r="C246" t="str">
            <v>January</v>
          </cell>
          <cell r="H246" t="str">
            <v>Yes</v>
          </cell>
          <cell r="J246">
            <v>14</v>
          </cell>
        </row>
        <row r="247">
          <cell r="A247">
            <v>46409</v>
          </cell>
          <cell r="C247" t="str">
            <v>January</v>
          </cell>
          <cell r="H247" t="str">
            <v>Yes</v>
          </cell>
          <cell r="J247">
            <v>15</v>
          </cell>
        </row>
        <row r="248">
          <cell r="A248">
            <v>46410</v>
          </cell>
          <cell r="C248" t="str">
            <v>January</v>
          </cell>
          <cell r="H248" t="str">
            <v>No</v>
          </cell>
          <cell r="J248" t="str">
            <v/>
          </cell>
        </row>
        <row r="249">
          <cell r="A249">
            <v>46411</v>
          </cell>
          <cell r="C249" t="str">
            <v>January</v>
          </cell>
          <cell r="H249" t="str">
            <v>No</v>
          </cell>
          <cell r="J249" t="str">
            <v/>
          </cell>
        </row>
        <row r="250">
          <cell r="A250">
            <v>46412</v>
          </cell>
          <cell r="C250" t="str">
            <v>January</v>
          </cell>
          <cell r="H250" t="str">
            <v>Yes</v>
          </cell>
          <cell r="J250">
            <v>16</v>
          </cell>
        </row>
        <row r="251">
          <cell r="A251">
            <v>46413</v>
          </cell>
          <cell r="C251" t="str">
            <v>January</v>
          </cell>
          <cell r="H251" t="str">
            <v>Yes</v>
          </cell>
          <cell r="J251">
            <v>17</v>
          </cell>
        </row>
        <row r="252">
          <cell r="A252">
            <v>46414</v>
          </cell>
          <cell r="C252" t="str">
            <v>January</v>
          </cell>
          <cell r="H252" t="str">
            <v>Yes</v>
          </cell>
          <cell r="J252">
            <v>18</v>
          </cell>
        </row>
        <row r="253">
          <cell r="A253">
            <v>46415</v>
          </cell>
          <cell r="C253" t="str">
            <v>January</v>
          </cell>
          <cell r="H253" t="str">
            <v>Yes</v>
          </cell>
          <cell r="J253">
            <v>19</v>
          </cell>
        </row>
        <row r="254">
          <cell r="A254">
            <v>46416</v>
          </cell>
          <cell r="C254" t="str">
            <v>January</v>
          </cell>
          <cell r="H254" t="str">
            <v>Yes</v>
          </cell>
          <cell r="J254">
            <v>20</v>
          </cell>
        </row>
        <row r="255">
          <cell r="A255">
            <v>46417</v>
          </cell>
          <cell r="C255" t="str">
            <v>January</v>
          </cell>
          <cell r="H255" t="str">
            <v>No</v>
          </cell>
          <cell r="J255" t="str">
            <v/>
          </cell>
        </row>
        <row r="256">
          <cell r="A256">
            <v>46418</v>
          </cell>
          <cell r="C256" t="str">
            <v>January</v>
          </cell>
          <cell r="H256" t="str">
            <v>No</v>
          </cell>
          <cell r="J256" t="str">
            <v/>
          </cell>
        </row>
        <row r="257">
          <cell r="A257">
            <v>46419</v>
          </cell>
          <cell r="C257" t="str">
            <v>February</v>
          </cell>
          <cell r="H257" t="str">
            <v>Yes</v>
          </cell>
          <cell r="J257">
            <v>1</v>
          </cell>
        </row>
        <row r="258">
          <cell r="A258">
            <v>46420</v>
          </cell>
          <cell r="C258" t="str">
            <v>February</v>
          </cell>
          <cell r="H258" t="str">
            <v>Yes</v>
          </cell>
          <cell r="J258">
            <v>2</v>
          </cell>
        </row>
        <row r="259">
          <cell r="A259">
            <v>46421</v>
          </cell>
          <cell r="C259" t="str">
            <v>February</v>
          </cell>
          <cell r="H259" t="str">
            <v>Yes</v>
          </cell>
          <cell r="J259">
            <v>3</v>
          </cell>
        </row>
        <row r="260">
          <cell r="A260">
            <v>46422</v>
          </cell>
          <cell r="C260" t="str">
            <v>February</v>
          </cell>
          <cell r="H260" t="str">
            <v>Yes</v>
          </cell>
          <cell r="J260">
            <v>4</v>
          </cell>
        </row>
        <row r="261">
          <cell r="A261">
            <v>46423</v>
          </cell>
          <cell r="C261" t="str">
            <v>February</v>
          </cell>
          <cell r="H261" t="str">
            <v>Yes</v>
          </cell>
          <cell r="J261">
            <v>5</v>
          </cell>
        </row>
        <row r="262">
          <cell r="A262">
            <v>46424</v>
          </cell>
          <cell r="C262" t="str">
            <v>February</v>
          </cell>
          <cell r="H262" t="str">
            <v>No</v>
          </cell>
          <cell r="J262" t="str">
            <v/>
          </cell>
        </row>
        <row r="263">
          <cell r="A263">
            <v>46425</v>
          </cell>
          <cell r="C263" t="str">
            <v>February</v>
          </cell>
          <cell r="H263" t="str">
            <v>No</v>
          </cell>
          <cell r="J263" t="str">
            <v/>
          </cell>
        </row>
        <row r="264">
          <cell r="A264">
            <v>46426</v>
          </cell>
          <cell r="C264" t="str">
            <v>February</v>
          </cell>
          <cell r="H264" t="str">
            <v>Yes</v>
          </cell>
          <cell r="J264">
            <v>6</v>
          </cell>
        </row>
        <row r="265">
          <cell r="A265">
            <v>46427</v>
          </cell>
          <cell r="C265" t="str">
            <v>February</v>
          </cell>
          <cell r="H265" t="str">
            <v>Yes</v>
          </cell>
          <cell r="J265">
            <v>7</v>
          </cell>
        </row>
        <row r="266">
          <cell r="A266">
            <v>46428</v>
          </cell>
          <cell r="C266" t="str">
            <v>February</v>
          </cell>
          <cell r="H266" t="str">
            <v>Yes</v>
          </cell>
          <cell r="J266">
            <v>8</v>
          </cell>
        </row>
        <row r="267">
          <cell r="A267">
            <v>46429</v>
          </cell>
          <cell r="C267" t="str">
            <v>February</v>
          </cell>
          <cell r="H267" t="str">
            <v>Yes</v>
          </cell>
          <cell r="J267">
            <v>9</v>
          </cell>
        </row>
        <row r="268">
          <cell r="A268">
            <v>46430</v>
          </cell>
          <cell r="C268" t="str">
            <v>February</v>
          </cell>
          <cell r="H268" t="str">
            <v>Yes</v>
          </cell>
          <cell r="J268">
            <v>10</v>
          </cell>
        </row>
        <row r="269">
          <cell r="A269">
            <v>46431</v>
          </cell>
          <cell r="C269" t="str">
            <v>February</v>
          </cell>
          <cell r="H269" t="str">
            <v>No</v>
          </cell>
          <cell r="J269" t="str">
            <v/>
          </cell>
        </row>
        <row r="270">
          <cell r="A270">
            <v>46432</v>
          </cell>
          <cell r="C270" t="str">
            <v>February</v>
          </cell>
          <cell r="H270" t="str">
            <v>No</v>
          </cell>
          <cell r="J270" t="str">
            <v/>
          </cell>
        </row>
        <row r="271">
          <cell r="A271">
            <v>46433</v>
          </cell>
          <cell r="C271" t="str">
            <v>February</v>
          </cell>
          <cell r="H271" t="str">
            <v>Yes</v>
          </cell>
          <cell r="J271">
            <v>11</v>
          </cell>
        </row>
        <row r="272">
          <cell r="A272">
            <v>46434</v>
          </cell>
          <cell r="C272" t="str">
            <v>February</v>
          </cell>
          <cell r="H272" t="str">
            <v>Yes</v>
          </cell>
          <cell r="J272">
            <v>12</v>
          </cell>
        </row>
        <row r="273">
          <cell r="A273">
            <v>46435</v>
          </cell>
          <cell r="C273" t="str">
            <v>February</v>
          </cell>
          <cell r="H273" t="str">
            <v>Yes</v>
          </cell>
          <cell r="J273">
            <v>13</v>
          </cell>
        </row>
        <row r="274">
          <cell r="A274">
            <v>46436</v>
          </cell>
          <cell r="C274" t="str">
            <v>February</v>
          </cell>
          <cell r="H274" t="str">
            <v>Yes</v>
          </cell>
          <cell r="J274">
            <v>14</v>
          </cell>
        </row>
        <row r="275">
          <cell r="A275">
            <v>46437</v>
          </cell>
          <cell r="C275" t="str">
            <v>February</v>
          </cell>
          <cell r="H275" t="str">
            <v>Yes</v>
          </cell>
          <cell r="J275">
            <v>15</v>
          </cell>
        </row>
        <row r="276">
          <cell r="A276">
            <v>46438</v>
          </cell>
          <cell r="C276" t="str">
            <v>February</v>
          </cell>
          <cell r="H276" t="str">
            <v>No</v>
          </cell>
          <cell r="J276" t="str">
            <v/>
          </cell>
        </row>
        <row r="277">
          <cell r="A277">
            <v>46439</v>
          </cell>
          <cell r="C277" t="str">
            <v>February</v>
          </cell>
          <cell r="H277" t="str">
            <v>No</v>
          </cell>
          <cell r="J277" t="str">
            <v/>
          </cell>
        </row>
        <row r="278">
          <cell r="A278">
            <v>46440</v>
          </cell>
          <cell r="C278" t="str">
            <v>February</v>
          </cell>
          <cell r="H278" t="str">
            <v>Yes</v>
          </cell>
          <cell r="J278">
            <v>16</v>
          </cell>
        </row>
        <row r="279">
          <cell r="A279">
            <v>46441</v>
          </cell>
          <cell r="C279" t="str">
            <v>February</v>
          </cell>
          <cell r="H279" t="str">
            <v>Yes</v>
          </cell>
          <cell r="J279">
            <v>17</v>
          </cell>
        </row>
        <row r="280">
          <cell r="A280">
            <v>46442</v>
          </cell>
          <cell r="C280" t="str">
            <v>February</v>
          </cell>
          <cell r="H280" t="str">
            <v>Yes</v>
          </cell>
          <cell r="J280">
            <v>18</v>
          </cell>
        </row>
        <row r="281">
          <cell r="A281">
            <v>46443</v>
          </cell>
          <cell r="C281" t="str">
            <v>February</v>
          </cell>
          <cell r="H281" t="str">
            <v>Yes</v>
          </cell>
          <cell r="J281">
            <v>19</v>
          </cell>
        </row>
        <row r="282">
          <cell r="A282">
            <v>46444</v>
          </cell>
          <cell r="C282" t="str">
            <v>February</v>
          </cell>
          <cell r="H282" t="str">
            <v>Yes</v>
          </cell>
          <cell r="J282">
            <v>20</v>
          </cell>
        </row>
        <row r="283">
          <cell r="A283">
            <v>46445</v>
          </cell>
          <cell r="C283" t="str">
            <v>February</v>
          </cell>
          <cell r="H283" t="str">
            <v>No</v>
          </cell>
          <cell r="J283" t="str">
            <v/>
          </cell>
        </row>
        <row r="284">
          <cell r="A284">
            <v>46446</v>
          </cell>
          <cell r="C284" t="str">
            <v>February</v>
          </cell>
          <cell r="H284" t="str">
            <v>No</v>
          </cell>
          <cell r="J284" t="str">
            <v/>
          </cell>
        </row>
        <row r="285">
          <cell r="A285">
            <v>46447</v>
          </cell>
          <cell r="C285" t="str">
            <v>March</v>
          </cell>
          <cell r="H285" t="str">
            <v>Yes</v>
          </cell>
          <cell r="J285">
            <v>1</v>
          </cell>
        </row>
        <row r="286">
          <cell r="A286">
            <v>46448</v>
          </cell>
          <cell r="C286" t="str">
            <v>March</v>
          </cell>
          <cell r="H286" t="str">
            <v>Yes</v>
          </cell>
          <cell r="J286">
            <v>2</v>
          </cell>
        </row>
        <row r="287">
          <cell r="A287">
            <v>46449</v>
          </cell>
          <cell r="C287" t="str">
            <v>March</v>
          </cell>
          <cell r="H287" t="str">
            <v>Yes</v>
          </cell>
          <cell r="J287">
            <v>3</v>
          </cell>
        </row>
        <row r="288">
          <cell r="A288">
            <v>46450</v>
          </cell>
          <cell r="C288" t="str">
            <v>March</v>
          </cell>
          <cell r="H288" t="str">
            <v>Yes</v>
          </cell>
          <cell r="J288">
            <v>4</v>
          </cell>
        </row>
        <row r="289">
          <cell r="A289">
            <v>46451</v>
          </cell>
          <cell r="C289" t="str">
            <v>March</v>
          </cell>
          <cell r="H289" t="str">
            <v>Yes</v>
          </cell>
          <cell r="J289">
            <v>5</v>
          </cell>
        </row>
        <row r="290">
          <cell r="A290">
            <v>46452</v>
          </cell>
          <cell r="C290" t="str">
            <v>March</v>
          </cell>
          <cell r="H290" t="str">
            <v>No</v>
          </cell>
          <cell r="J290" t="str">
            <v/>
          </cell>
        </row>
        <row r="291">
          <cell r="A291">
            <v>46453</v>
          </cell>
          <cell r="C291" t="str">
            <v>March</v>
          </cell>
          <cell r="H291" t="str">
            <v>No</v>
          </cell>
          <cell r="J291" t="str">
            <v/>
          </cell>
        </row>
        <row r="292">
          <cell r="A292">
            <v>46454</v>
          </cell>
          <cell r="C292" t="str">
            <v>March</v>
          </cell>
          <cell r="H292" t="str">
            <v>Yes</v>
          </cell>
          <cell r="J292">
            <v>6</v>
          </cell>
        </row>
        <row r="293">
          <cell r="A293">
            <v>46455</v>
          </cell>
          <cell r="C293" t="str">
            <v>March</v>
          </cell>
          <cell r="H293" t="str">
            <v>Yes</v>
          </cell>
          <cell r="J293">
            <v>7</v>
          </cell>
        </row>
        <row r="294">
          <cell r="A294">
            <v>46456</v>
          </cell>
          <cell r="C294" t="str">
            <v>March</v>
          </cell>
          <cell r="H294" t="str">
            <v>Yes</v>
          </cell>
          <cell r="J294">
            <v>8</v>
          </cell>
        </row>
        <row r="295">
          <cell r="A295">
            <v>46457</v>
          </cell>
          <cell r="C295" t="str">
            <v>March</v>
          </cell>
          <cell r="H295" t="str">
            <v>Yes</v>
          </cell>
          <cell r="J295">
            <v>9</v>
          </cell>
        </row>
        <row r="296">
          <cell r="A296">
            <v>46458</v>
          </cell>
          <cell r="C296" t="str">
            <v>March</v>
          </cell>
          <cell r="H296" t="str">
            <v>Yes</v>
          </cell>
          <cell r="J296">
            <v>10</v>
          </cell>
        </row>
        <row r="297">
          <cell r="A297">
            <v>46459</v>
          </cell>
          <cell r="C297" t="str">
            <v>March</v>
          </cell>
          <cell r="H297" t="str">
            <v>No</v>
          </cell>
          <cell r="J297" t="str">
            <v/>
          </cell>
        </row>
        <row r="298">
          <cell r="A298">
            <v>46460</v>
          </cell>
          <cell r="C298" t="str">
            <v>March</v>
          </cell>
          <cell r="H298" t="str">
            <v>No</v>
          </cell>
          <cell r="J298" t="str">
            <v/>
          </cell>
        </row>
        <row r="299">
          <cell r="A299">
            <v>46461</v>
          </cell>
          <cell r="C299" t="str">
            <v>March</v>
          </cell>
          <cell r="H299" t="str">
            <v>Yes</v>
          </cell>
          <cell r="J299">
            <v>11</v>
          </cell>
        </row>
        <row r="300">
          <cell r="A300">
            <v>46462</v>
          </cell>
          <cell r="C300" t="str">
            <v>March</v>
          </cell>
          <cell r="H300" t="str">
            <v>Yes</v>
          </cell>
          <cell r="J300">
            <v>12</v>
          </cell>
        </row>
        <row r="301">
          <cell r="A301">
            <v>46463</v>
          </cell>
          <cell r="C301" t="str">
            <v>March</v>
          </cell>
          <cell r="H301" t="str">
            <v>Yes</v>
          </cell>
          <cell r="J301">
            <v>13</v>
          </cell>
        </row>
        <row r="302">
          <cell r="A302">
            <v>46464</v>
          </cell>
          <cell r="C302" t="str">
            <v>March</v>
          </cell>
          <cell r="H302" t="str">
            <v>Yes</v>
          </cell>
          <cell r="J302">
            <v>14</v>
          </cell>
        </row>
        <row r="303">
          <cell r="A303">
            <v>46465</v>
          </cell>
          <cell r="C303" t="str">
            <v>March</v>
          </cell>
          <cell r="H303" t="str">
            <v>Yes</v>
          </cell>
          <cell r="J303">
            <v>15</v>
          </cell>
        </row>
        <row r="304">
          <cell r="A304">
            <v>46466</v>
          </cell>
          <cell r="C304" t="str">
            <v>March</v>
          </cell>
          <cell r="H304" t="str">
            <v>No</v>
          </cell>
          <cell r="J304" t="str">
            <v/>
          </cell>
        </row>
        <row r="305">
          <cell r="A305">
            <v>46467</v>
          </cell>
          <cell r="C305" t="str">
            <v>March</v>
          </cell>
          <cell r="H305" t="str">
            <v>No</v>
          </cell>
          <cell r="J305" t="str">
            <v/>
          </cell>
        </row>
        <row r="306">
          <cell r="A306">
            <v>46468</v>
          </cell>
          <cell r="C306" t="str">
            <v>March</v>
          </cell>
          <cell r="H306" t="str">
            <v>Yes</v>
          </cell>
          <cell r="J306">
            <v>16</v>
          </cell>
        </row>
        <row r="307">
          <cell r="A307">
            <v>46469</v>
          </cell>
          <cell r="C307" t="str">
            <v>March</v>
          </cell>
          <cell r="H307" t="str">
            <v>Yes</v>
          </cell>
          <cell r="J307">
            <v>17</v>
          </cell>
        </row>
        <row r="308">
          <cell r="A308">
            <v>46470</v>
          </cell>
          <cell r="C308" t="str">
            <v>March</v>
          </cell>
          <cell r="H308" t="str">
            <v>Yes</v>
          </cell>
          <cell r="J308">
            <v>18</v>
          </cell>
        </row>
        <row r="309">
          <cell r="A309">
            <v>46471</v>
          </cell>
          <cell r="C309" t="str">
            <v>March</v>
          </cell>
          <cell r="H309" t="str">
            <v>No</v>
          </cell>
          <cell r="J309" t="str">
            <v/>
          </cell>
        </row>
        <row r="310">
          <cell r="A310">
            <v>46472</v>
          </cell>
          <cell r="C310" t="str">
            <v>March</v>
          </cell>
          <cell r="H310" t="str">
            <v>No</v>
          </cell>
          <cell r="J310" t="str">
            <v/>
          </cell>
        </row>
        <row r="311">
          <cell r="A311">
            <v>46473</v>
          </cell>
          <cell r="C311" t="str">
            <v>March</v>
          </cell>
          <cell r="H311" t="str">
            <v>No</v>
          </cell>
          <cell r="J311" t="str">
            <v/>
          </cell>
        </row>
        <row r="312">
          <cell r="A312">
            <v>46474</v>
          </cell>
          <cell r="C312" t="str">
            <v>March</v>
          </cell>
          <cell r="H312" t="str">
            <v>No</v>
          </cell>
          <cell r="J312" t="str">
            <v/>
          </cell>
        </row>
        <row r="313">
          <cell r="A313">
            <v>46475</v>
          </cell>
          <cell r="C313" t="str">
            <v>March</v>
          </cell>
          <cell r="H313" t="str">
            <v>Yes</v>
          </cell>
          <cell r="J313">
            <v>19</v>
          </cell>
        </row>
        <row r="314">
          <cell r="A314">
            <v>46476</v>
          </cell>
          <cell r="C314" t="str">
            <v>March</v>
          </cell>
          <cell r="H314" t="str">
            <v>Yes</v>
          </cell>
          <cell r="J314">
            <v>20</v>
          </cell>
        </row>
        <row r="315">
          <cell r="A315">
            <v>46477</v>
          </cell>
          <cell r="C315" t="str">
            <v>March</v>
          </cell>
          <cell r="H315" t="str">
            <v>Yes</v>
          </cell>
          <cell r="J315">
            <v>21</v>
          </cell>
        </row>
        <row r="316">
          <cell r="A316">
            <v>46478</v>
          </cell>
          <cell r="C316" t="str">
            <v>April</v>
          </cell>
          <cell r="H316" t="str">
            <v>Yes</v>
          </cell>
          <cell r="J316">
            <v>1</v>
          </cell>
        </row>
        <row r="317">
          <cell r="A317">
            <v>46479</v>
          </cell>
          <cell r="C317" t="str">
            <v>April</v>
          </cell>
          <cell r="H317" t="str">
            <v>Yes</v>
          </cell>
          <cell r="J317">
            <v>2</v>
          </cell>
        </row>
        <row r="318">
          <cell r="A318">
            <v>46480</v>
          </cell>
          <cell r="C318" t="str">
            <v>April</v>
          </cell>
          <cell r="H318" t="str">
            <v>No</v>
          </cell>
          <cell r="J318" t="str">
            <v/>
          </cell>
        </row>
        <row r="319">
          <cell r="A319">
            <v>46481</v>
          </cell>
          <cell r="C319" t="str">
            <v>April</v>
          </cell>
          <cell r="H319" t="str">
            <v>No</v>
          </cell>
          <cell r="J319" t="str">
            <v/>
          </cell>
        </row>
        <row r="320">
          <cell r="A320">
            <v>46482</v>
          </cell>
          <cell r="C320" t="str">
            <v>April</v>
          </cell>
          <cell r="H320" t="str">
            <v>Yes</v>
          </cell>
          <cell r="J320">
            <v>3</v>
          </cell>
        </row>
        <row r="321">
          <cell r="A321">
            <v>46483</v>
          </cell>
          <cell r="C321" t="str">
            <v>April</v>
          </cell>
          <cell r="H321" t="str">
            <v>Yes</v>
          </cell>
          <cell r="J321">
            <v>4</v>
          </cell>
        </row>
        <row r="322">
          <cell r="A322">
            <v>46484</v>
          </cell>
          <cell r="C322" t="str">
            <v>April</v>
          </cell>
          <cell r="H322" t="str">
            <v>Yes</v>
          </cell>
          <cell r="J322">
            <v>5</v>
          </cell>
        </row>
        <row r="323">
          <cell r="A323">
            <v>46485</v>
          </cell>
          <cell r="C323" t="str">
            <v>April</v>
          </cell>
          <cell r="H323" t="str">
            <v>Yes</v>
          </cell>
          <cell r="J323">
            <v>6</v>
          </cell>
        </row>
      </sheetData>
      <sheetData sheetId="18">
        <row r="4">
          <cell r="A4">
            <v>1</v>
          </cell>
          <cell r="C4" t="str">
            <v>June</v>
          </cell>
          <cell r="D4" t="str">
            <v>122625140006</v>
          </cell>
          <cell r="E4" t="str">
            <v>ACAYAN, ELIJAH DITALO</v>
          </cell>
          <cell r="F4" t="str">
            <v>Male</v>
          </cell>
          <cell r="G4">
            <v>1</v>
          </cell>
          <cell r="H4">
            <v>1</v>
          </cell>
          <cell r="AR4">
            <v>0</v>
          </cell>
          <cell r="AS4">
            <v>16</v>
          </cell>
          <cell r="AU4">
            <v>0</v>
          </cell>
          <cell r="AV4">
            <v>46181</v>
          </cell>
          <cell r="AW4">
            <v>46203</v>
          </cell>
          <cell r="BA4">
            <v>1</v>
          </cell>
        </row>
        <row r="5">
          <cell r="A5">
            <v>2</v>
          </cell>
          <cell r="C5" t="str">
            <v>June</v>
          </cell>
          <cell r="D5" t="str">
            <v>419658160041</v>
          </cell>
          <cell r="E5" t="str">
            <v>ARCILLA, KYLE XANDRE MATUS</v>
          </cell>
          <cell r="F5" t="str">
            <v>Male</v>
          </cell>
          <cell r="G5">
            <v>1</v>
          </cell>
          <cell r="H5">
            <v>1</v>
          </cell>
          <cell r="P5" t="str">
            <v>X</v>
          </cell>
          <cell r="AR5">
            <v>1</v>
          </cell>
          <cell r="AS5">
            <v>15</v>
          </cell>
          <cell r="AU5">
            <v>0</v>
          </cell>
          <cell r="AV5">
            <v>46181</v>
          </cell>
          <cell r="AW5">
            <v>46203</v>
          </cell>
          <cell r="BA5">
            <v>2</v>
          </cell>
        </row>
        <row r="6">
          <cell r="A6">
            <v>3</v>
          </cell>
          <cell r="C6" t="str">
            <v>June</v>
          </cell>
          <cell r="D6" t="str">
            <v>104015140057</v>
          </cell>
          <cell r="E6" t="str">
            <v>CAPAYAN, DENVER CORPUZ</v>
          </cell>
          <cell r="F6" t="str">
            <v>Male</v>
          </cell>
          <cell r="G6">
            <v>1</v>
          </cell>
          <cell r="H6">
            <v>1</v>
          </cell>
          <cell r="W6" t="str">
            <v>X</v>
          </cell>
          <cell r="X6" t="str">
            <v>X</v>
          </cell>
          <cell r="AR6">
            <v>2</v>
          </cell>
          <cell r="AS6">
            <v>14</v>
          </cell>
          <cell r="AU6">
            <v>0</v>
          </cell>
          <cell r="AV6">
            <v>46181</v>
          </cell>
          <cell r="AW6">
            <v>46203</v>
          </cell>
          <cell r="BA6">
            <v>3</v>
          </cell>
        </row>
        <row r="7">
          <cell r="A7">
            <v>4</v>
          </cell>
          <cell r="C7" t="str">
            <v>June</v>
          </cell>
          <cell r="D7" t="str">
            <v>107023140026</v>
          </cell>
          <cell r="E7" t="str">
            <v>DOMINGO, FRYNNS LIAM ATIENZA</v>
          </cell>
          <cell r="F7" t="str">
            <v>Male</v>
          </cell>
          <cell r="G7">
            <v>1</v>
          </cell>
          <cell r="H7">
            <v>1</v>
          </cell>
          <cell r="AR7">
            <v>0</v>
          </cell>
          <cell r="AS7">
            <v>16</v>
          </cell>
          <cell r="AU7">
            <v>0</v>
          </cell>
          <cell r="AV7">
            <v>46181</v>
          </cell>
          <cell r="AW7">
            <v>46203</v>
          </cell>
          <cell r="BA7">
            <v>4</v>
          </cell>
        </row>
        <row r="8">
          <cell r="A8">
            <v>5</v>
          </cell>
          <cell r="C8" t="str">
            <v>June</v>
          </cell>
          <cell r="D8" t="str">
            <v>110347140023</v>
          </cell>
          <cell r="E8" t="str">
            <v>DUMADALUG, JAMES DIZON</v>
          </cell>
          <cell r="F8" t="str">
            <v>Male</v>
          </cell>
          <cell r="G8">
            <v>1</v>
          </cell>
          <cell r="H8">
            <v>1</v>
          </cell>
          <cell r="AR8">
            <v>0</v>
          </cell>
          <cell r="AS8">
            <v>16</v>
          </cell>
          <cell r="AU8">
            <v>0</v>
          </cell>
          <cell r="AV8">
            <v>46181</v>
          </cell>
          <cell r="AW8">
            <v>46203</v>
          </cell>
          <cell r="BA8">
            <v>5</v>
          </cell>
        </row>
        <row r="9">
          <cell r="A9">
            <v>6</v>
          </cell>
          <cell r="C9" t="str">
            <v>June</v>
          </cell>
          <cell r="D9" t="str">
            <v>107031140010</v>
          </cell>
          <cell r="E9" t="str">
            <v>GARCIA, KIRK NATHAN BOLSICO</v>
          </cell>
          <cell r="F9" t="str">
            <v>Male</v>
          </cell>
          <cell r="G9">
            <v>1</v>
          </cell>
          <cell r="H9">
            <v>1</v>
          </cell>
          <cell r="AR9">
            <v>0</v>
          </cell>
          <cell r="AS9">
            <v>16</v>
          </cell>
          <cell r="AU9">
            <v>0</v>
          </cell>
          <cell r="AV9">
            <v>46181</v>
          </cell>
          <cell r="AW9">
            <v>46203</v>
          </cell>
          <cell r="BA9">
            <v>6</v>
          </cell>
        </row>
        <row r="10">
          <cell r="A10">
            <v>7</v>
          </cell>
          <cell r="C10" t="str">
            <v>June</v>
          </cell>
          <cell r="D10" t="str">
            <v>107061140477</v>
          </cell>
          <cell r="E10" t="str">
            <v>GUEVARRA, SEAD SYRON CORPUZ</v>
          </cell>
          <cell r="F10" t="str">
            <v>Male</v>
          </cell>
          <cell r="G10">
            <v>1</v>
          </cell>
          <cell r="H10">
            <v>1</v>
          </cell>
          <cell r="AR10">
            <v>0</v>
          </cell>
          <cell r="AS10">
            <v>16</v>
          </cell>
          <cell r="AU10">
            <v>0</v>
          </cell>
          <cell r="AV10">
            <v>46181</v>
          </cell>
          <cell r="AW10">
            <v>46203</v>
          </cell>
          <cell r="BA10">
            <v>7</v>
          </cell>
        </row>
        <row r="11">
          <cell r="A11">
            <v>8</v>
          </cell>
          <cell r="C11" t="str">
            <v>June</v>
          </cell>
          <cell r="D11" t="str">
            <v>133624150052</v>
          </cell>
          <cell r="E11" t="str">
            <v>MACAPANTON, ALIMAN SULTAN</v>
          </cell>
          <cell r="F11" t="str">
            <v>Male</v>
          </cell>
          <cell r="G11">
            <v>1</v>
          </cell>
          <cell r="H11">
            <v>1</v>
          </cell>
          <cell r="P11" t="str">
            <v>T-Late</v>
          </cell>
          <cell r="AR11">
            <v>0</v>
          </cell>
          <cell r="AS11">
            <v>16</v>
          </cell>
          <cell r="AU11">
            <v>0</v>
          </cell>
          <cell r="AV11">
            <v>46181</v>
          </cell>
          <cell r="AW11">
            <v>46203</v>
          </cell>
          <cell r="BA11">
            <v>8</v>
          </cell>
        </row>
        <row r="12">
          <cell r="A12">
            <v>9</v>
          </cell>
          <cell r="C12" t="str">
            <v>June</v>
          </cell>
          <cell r="D12" t="str">
            <v>107027140164</v>
          </cell>
          <cell r="E12" t="str">
            <v>MEJIA, FRANCIS KHIAN LLARENA</v>
          </cell>
          <cell r="F12" t="str">
            <v>Male</v>
          </cell>
          <cell r="G12">
            <v>1</v>
          </cell>
          <cell r="H12">
            <v>1</v>
          </cell>
          <cell r="P12" t="str">
            <v>T-Cutting</v>
          </cell>
          <cell r="AR12">
            <v>0</v>
          </cell>
          <cell r="AS12">
            <v>16</v>
          </cell>
          <cell r="AU12">
            <v>0</v>
          </cell>
          <cell r="AV12">
            <v>46181</v>
          </cell>
          <cell r="AW12">
            <v>46203</v>
          </cell>
          <cell r="BA12">
            <v>9</v>
          </cell>
        </row>
        <row r="13">
          <cell r="A13">
            <v>10</v>
          </cell>
          <cell r="C13" t="str">
            <v>June</v>
          </cell>
          <cell r="D13" t="str">
            <v>107185140032</v>
          </cell>
          <cell r="E13" t="str">
            <v>NERI, GABRIEL BRIONES</v>
          </cell>
          <cell r="F13" t="str">
            <v>Male</v>
          </cell>
          <cell r="G13">
            <v>1</v>
          </cell>
          <cell r="H13">
            <v>1</v>
          </cell>
          <cell r="AR13">
            <v>0</v>
          </cell>
          <cell r="AS13">
            <v>16</v>
          </cell>
          <cell r="AU13">
            <v>0</v>
          </cell>
          <cell r="AV13">
            <v>46181</v>
          </cell>
          <cell r="AW13">
            <v>46203</v>
          </cell>
          <cell r="BA13">
            <v>10</v>
          </cell>
        </row>
        <row r="14">
          <cell r="A14">
            <v>11</v>
          </cell>
          <cell r="C14" t="str">
            <v>June</v>
          </cell>
          <cell r="D14" t="str">
            <v>107057130479</v>
          </cell>
          <cell r="E14" t="str">
            <v>PAYABYAB, SHELTER RAIN ALEJANDRO</v>
          </cell>
          <cell r="F14" t="str">
            <v>Male</v>
          </cell>
          <cell r="G14">
            <v>1</v>
          </cell>
          <cell r="H14">
            <v>1</v>
          </cell>
          <cell r="P14" t="str">
            <v>X</v>
          </cell>
          <cell r="AR14">
            <v>1</v>
          </cell>
          <cell r="AS14">
            <v>15</v>
          </cell>
          <cell r="AU14">
            <v>0</v>
          </cell>
          <cell r="AV14">
            <v>46181</v>
          </cell>
          <cell r="AW14">
            <v>46203</v>
          </cell>
          <cell r="BA14">
            <v>11</v>
          </cell>
        </row>
        <row r="15">
          <cell r="A15">
            <v>12</v>
          </cell>
          <cell r="C15" t="str">
            <v>June</v>
          </cell>
          <cell r="D15" t="str">
            <v>113420140126</v>
          </cell>
          <cell r="E15" t="str">
            <v>RAMIREZ, RENCES DWANE RAMONES</v>
          </cell>
          <cell r="F15" t="str">
            <v>Male</v>
          </cell>
          <cell r="G15">
            <v>1</v>
          </cell>
          <cell r="H15">
            <v>1</v>
          </cell>
          <cell r="AR15">
            <v>0</v>
          </cell>
          <cell r="AS15">
            <v>16</v>
          </cell>
          <cell r="AU15">
            <v>0</v>
          </cell>
          <cell r="AV15">
            <v>46181</v>
          </cell>
          <cell r="AW15">
            <v>46203</v>
          </cell>
          <cell r="BA15">
            <v>12</v>
          </cell>
        </row>
        <row r="16">
          <cell r="A16">
            <v>13</v>
          </cell>
          <cell r="C16" t="str">
            <v>June</v>
          </cell>
          <cell r="D16" t="str">
            <v>107048150273</v>
          </cell>
          <cell r="E16" t="str">
            <v>SUGAY, ASHTON GUTIERREZ</v>
          </cell>
          <cell r="F16" t="str">
            <v>Male</v>
          </cell>
          <cell r="G16">
            <v>1</v>
          </cell>
          <cell r="H16">
            <v>1</v>
          </cell>
          <cell r="AR16">
            <v>0</v>
          </cell>
          <cell r="AS16">
            <v>16</v>
          </cell>
          <cell r="AU16">
            <v>0</v>
          </cell>
          <cell r="AV16">
            <v>46181</v>
          </cell>
          <cell r="AW16">
            <v>46203</v>
          </cell>
          <cell r="BA16">
            <v>13</v>
          </cell>
        </row>
        <row r="17">
          <cell r="A17">
            <v>14</v>
          </cell>
          <cell r="C17" t="str">
            <v>June</v>
          </cell>
          <cell r="D17">
            <v>107032140054</v>
          </cell>
          <cell r="E17" t="str">
            <v>SANTIAGO, JARED ALBERTH BARREDA</v>
          </cell>
          <cell r="F17" t="str">
            <v>Male</v>
          </cell>
          <cell r="G17">
            <v>1</v>
          </cell>
          <cell r="H17">
            <v>1</v>
          </cell>
          <cell r="AR17">
            <v>0</v>
          </cell>
          <cell r="AS17">
            <v>16</v>
          </cell>
          <cell r="AU17">
            <v>0</v>
          </cell>
          <cell r="AV17">
            <v>46181</v>
          </cell>
          <cell r="AW17">
            <v>46203</v>
          </cell>
          <cell r="BA17">
            <v>14</v>
          </cell>
        </row>
        <row r="18">
          <cell r="A18">
            <v>15</v>
          </cell>
          <cell r="C18" t="str">
            <v>June</v>
          </cell>
          <cell r="D18" t="str">
            <v>122379140033</v>
          </cell>
          <cell r="E18" t="str">
            <v>ACAYAN, HANNAH NICOLE COSTUNA</v>
          </cell>
          <cell r="F18" t="str">
            <v>Female</v>
          </cell>
          <cell r="G18">
            <v>1</v>
          </cell>
          <cell r="H18">
            <v>1</v>
          </cell>
          <cell r="AR18">
            <v>0</v>
          </cell>
          <cell r="AS18">
            <v>16</v>
          </cell>
          <cell r="AU18">
            <v>0</v>
          </cell>
          <cell r="AV18">
            <v>46181</v>
          </cell>
          <cell r="AW18">
            <v>46203</v>
          </cell>
          <cell r="BA18">
            <v>1</v>
          </cell>
        </row>
        <row r="19">
          <cell r="A19">
            <v>16</v>
          </cell>
          <cell r="C19" t="str">
            <v>June</v>
          </cell>
          <cell r="D19" t="str">
            <v>107041140509</v>
          </cell>
          <cell r="E19" t="str">
            <v>AREÑEZ, FRANCHESKA OCAMPO</v>
          </cell>
          <cell r="F19" t="str">
            <v>Female</v>
          </cell>
          <cell r="G19">
            <v>1</v>
          </cell>
          <cell r="H19">
            <v>1</v>
          </cell>
          <cell r="AR19">
            <v>0</v>
          </cell>
          <cell r="AS19">
            <v>16</v>
          </cell>
          <cell r="AU19">
            <v>0</v>
          </cell>
          <cell r="AV19">
            <v>46181</v>
          </cell>
          <cell r="AW19">
            <v>46203</v>
          </cell>
          <cell r="BA19">
            <v>2</v>
          </cell>
        </row>
        <row r="20">
          <cell r="A20">
            <v>17</v>
          </cell>
          <cell r="C20" t="str">
            <v>June</v>
          </cell>
          <cell r="D20" t="str">
            <v>159547140065</v>
          </cell>
          <cell r="E20" t="str">
            <v>BALUCANAG, CHLOE LIAN GALINO</v>
          </cell>
          <cell r="F20" t="str">
            <v>Female</v>
          </cell>
          <cell r="G20">
            <v>1</v>
          </cell>
          <cell r="H20">
            <v>1</v>
          </cell>
          <cell r="AR20">
            <v>0</v>
          </cell>
          <cell r="AS20">
            <v>16</v>
          </cell>
          <cell r="AU20">
            <v>0</v>
          </cell>
          <cell r="AV20">
            <v>46181</v>
          </cell>
          <cell r="AW20">
            <v>46203</v>
          </cell>
          <cell r="BA20">
            <v>3</v>
          </cell>
        </row>
        <row r="21">
          <cell r="A21">
            <v>18</v>
          </cell>
          <cell r="C21" t="str">
            <v>June</v>
          </cell>
          <cell r="D21" t="str">
            <v>107022140163</v>
          </cell>
          <cell r="E21" t="str">
            <v>BIE, JOHN RAIN MAGTOTO</v>
          </cell>
          <cell r="F21" t="str">
            <v>Female</v>
          </cell>
          <cell r="G21">
            <v>1</v>
          </cell>
          <cell r="H21">
            <v>1</v>
          </cell>
          <cell r="AR21">
            <v>0</v>
          </cell>
          <cell r="AS21">
            <v>16</v>
          </cell>
          <cell r="AU21">
            <v>0</v>
          </cell>
          <cell r="AV21">
            <v>46181</v>
          </cell>
          <cell r="AW21">
            <v>46203</v>
          </cell>
          <cell r="BA21">
            <v>4</v>
          </cell>
        </row>
        <row r="22">
          <cell r="A22">
            <v>19</v>
          </cell>
          <cell r="C22" t="str">
            <v>June</v>
          </cell>
          <cell r="D22" t="str">
            <v>105935140024</v>
          </cell>
          <cell r="E22" t="str">
            <v>DAVID, ASHLEY LAPUZ</v>
          </cell>
          <cell r="F22" t="str">
            <v>Female</v>
          </cell>
          <cell r="G22">
            <v>1</v>
          </cell>
          <cell r="H22">
            <v>1</v>
          </cell>
          <cell r="AR22">
            <v>0</v>
          </cell>
          <cell r="AS22">
            <v>16</v>
          </cell>
          <cell r="AU22">
            <v>0</v>
          </cell>
          <cell r="AV22">
            <v>46181</v>
          </cell>
          <cell r="AW22">
            <v>46203</v>
          </cell>
          <cell r="BA22">
            <v>5</v>
          </cell>
        </row>
        <row r="23">
          <cell r="A23">
            <v>20</v>
          </cell>
          <cell r="C23" t="str">
            <v>June</v>
          </cell>
          <cell r="D23" t="str">
            <v>106066150025</v>
          </cell>
          <cell r="E23" t="str">
            <v>FLORES, THEA MARIE LUMUYA</v>
          </cell>
          <cell r="F23" t="str">
            <v>Female</v>
          </cell>
          <cell r="G23">
            <v>1</v>
          </cell>
          <cell r="H23">
            <v>1</v>
          </cell>
          <cell r="AR23">
            <v>0</v>
          </cell>
          <cell r="AS23">
            <v>16</v>
          </cell>
          <cell r="AU23">
            <v>0</v>
          </cell>
          <cell r="AV23">
            <v>46181</v>
          </cell>
          <cell r="AW23">
            <v>46203</v>
          </cell>
          <cell r="BA23">
            <v>6</v>
          </cell>
        </row>
        <row r="24">
          <cell r="A24">
            <v>21</v>
          </cell>
          <cell r="C24" t="str">
            <v>June</v>
          </cell>
          <cell r="D24" t="str">
            <v>107032140061</v>
          </cell>
          <cell r="E24" t="str">
            <v>INGAL, SHAINA KYLE PINEDA</v>
          </cell>
          <cell r="F24" t="str">
            <v>Female</v>
          </cell>
          <cell r="G24">
            <v>1</v>
          </cell>
          <cell r="H24">
            <v>1</v>
          </cell>
          <cell r="AR24">
            <v>0</v>
          </cell>
          <cell r="AS24">
            <v>16</v>
          </cell>
          <cell r="AU24">
            <v>0</v>
          </cell>
          <cell r="AV24">
            <v>46181</v>
          </cell>
          <cell r="AW24">
            <v>46203</v>
          </cell>
          <cell r="BA24">
            <v>7</v>
          </cell>
        </row>
        <row r="25">
          <cell r="A25">
            <v>22</v>
          </cell>
          <cell r="C25" t="str">
            <v>June</v>
          </cell>
          <cell r="D25">
            <v>106072140070</v>
          </cell>
          <cell r="E25" t="str">
            <v>MACAPODI, AINA MANGUNTAWAR</v>
          </cell>
          <cell r="F25" t="str">
            <v>Female</v>
          </cell>
          <cell r="G25">
            <v>1</v>
          </cell>
          <cell r="H25">
            <v>1</v>
          </cell>
          <cell r="AR25">
            <v>0</v>
          </cell>
          <cell r="AS25">
            <v>16</v>
          </cell>
          <cell r="AU25">
            <v>0</v>
          </cell>
          <cell r="AV25">
            <v>46181</v>
          </cell>
          <cell r="AW25">
            <v>46203</v>
          </cell>
          <cell r="BA25">
            <v>8</v>
          </cell>
        </row>
        <row r="26">
          <cell r="A26">
            <v>23</v>
          </cell>
          <cell r="C26" t="str">
            <v>June</v>
          </cell>
          <cell r="D26" t="str">
            <v>136634150917</v>
          </cell>
          <cell r="E26" t="str">
            <v>MIPAMPANG, RASHEDA BASCARA</v>
          </cell>
          <cell r="F26" t="str">
            <v>Female</v>
          </cell>
          <cell r="G26">
            <v>1</v>
          </cell>
          <cell r="H26">
            <v>1</v>
          </cell>
          <cell r="AR26">
            <v>0</v>
          </cell>
          <cell r="AS26">
            <v>16</v>
          </cell>
          <cell r="AU26">
            <v>0</v>
          </cell>
          <cell r="AV26">
            <v>46181</v>
          </cell>
          <cell r="AW26">
            <v>46203</v>
          </cell>
          <cell r="BA26">
            <v>9</v>
          </cell>
        </row>
        <row r="27">
          <cell r="A27">
            <v>24</v>
          </cell>
          <cell r="C27" t="str">
            <v>June</v>
          </cell>
          <cell r="D27" t="str">
            <v>107028140103</v>
          </cell>
          <cell r="E27" t="str">
            <v>TAYSON, DANIELLE MAE PANES</v>
          </cell>
          <cell r="F27" t="str">
            <v>Female</v>
          </cell>
          <cell r="G27">
            <v>1</v>
          </cell>
          <cell r="H27">
            <v>1</v>
          </cell>
          <cell r="AR27">
            <v>0</v>
          </cell>
          <cell r="AS27">
            <v>16</v>
          </cell>
          <cell r="AU27">
            <v>0</v>
          </cell>
          <cell r="AV27">
            <v>46181</v>
          </cell>
          <cell r="AW27">
            <v>46203</v>
          </cell>
          <cell r="BA27">
            <v>10</v>
          </cell>
        </row>
        <row r="28">
          <cell r="A28">
            <v>25</v>
          </cell>
          <cell r="C28" t="str">
            <v>June</v>
          </cell>
          <cell r="D28">
            <v>105205140016</v>
          </cell>
          <cell r="E28" t="str">
            <v>FAJARDO, PRINCE DANIEL RODAJE</v>
          </cell>
          <cell r="F28" t="str">
            <v>Female</v>
          </cell>
          <cell r="G28">
            <v>1</v>
          </cell>
          <cell r="H28">
            <v>1</v>
          </cell>
          <cell r="AR28">
            <v>0</v>
          </cell>
          <cell r="AS28">
            <v>16</v>
          </cell>
          <cell r="AU28">
            <v>0</v>
          </cell>
          <cell r="AV28">
            <v>46181</v>
          </cell>
          <cell r="AW28">
            <v>46203</v>
          </cell>
          <cell r="BA28">
            <v>11</v>
          </cell>
        </row>
        <row r="29">
          <cell r="A29">
            <v>26</v>
          </cell>
          <cell r="C29" t="str">
            <v>June</v>
          </cell>
          <cell r="D29" t="str">
            <v/>
          </cell>
          <cell r="E29" t="str">
            <v/>
          </cell>
          <cell r="F29" t="str">
            <v/>
          </cell>
          <cell r="G29" t="str">
            <v/>
          </cell>
          <cell r="H29" t="str">
            <v/>
          </cell>
          <cell r="AR29" t="str">
            <v/>
          </cell>
          <cell r="AS29" t="str">
            <v/>
          </cell>
          <cell r="AU29" t="str">
            <v/>
          </cell>
          <cell r="AV29" t="str">
            <v/>
          </cell>
          <cell r="AW29" t="str">
            <v/>
          </cell>
          <cell r="BA29" t="str">
            <v/>
          </cell>
        </row>
        <row r="30">
          <cell r="A30">
            <v>27</v>
          </cell>
          <cell r="C30" t="str">
            <v>June</v>
          </cell>
          <cell r="D30" t="str">
            <v/>
          </cell>
          <cell r="E30" t="str">
            <v/>
          </cell>
          <cell r="F30" t="str">
            <v/>
          </cell>
          <cell r="G30" t="str">
            <v/>
          </cell>
          <cell r="H30" t="str">
            <v/>
          </cell>
          <cell r="AR30" t="str">
            <v/>
          </cell>
          <cell r="AS30" t="str">
            <v/>
          </cell>
          <cell r="AU30" t="str">
            <v/>
          </cell>
          <cell r="AV30" t="str">
            <v/>
          </cell>
          <cell r="AW30" t="str">
            <v/>
          </cell>
          <cell r="BA30" t="str">
            <v/>
          </cell>
        </row>
        <row r="31">
          <cell r="A31">
            <v>28</v>
          </cell>
          <cell r="C31" t="str">
            <v>June</v>
          </cell>
          <cell r="D31" t="str">
            <v/>
          </cell>
          <cell r="E31" t="str">
            <v/>
          </cell>
          <cell r="F31" t="str">
            <v/>
          </cell>
          <cell r="G31" t="str">
            <v/>
          </cell>
          <cell r="H31" t="str">
            <v/>
          </cell>
          <cell r="AR31" t="str">
            <v/>
          </cell>
          <cell r="AS31" t="str">
            <v/>
          </cell>
          <cell r="AU31" t="str">
            <v/>
          </cell>
          <cell r="AV31" t="str">
            <v/>
          </cell>
          <cell r="AW31" t="str">
            <v/>
          </cell>
          <cell r="BA31" t="str">
            <v/>
          </cell>
        </row>
        <row r="32">
          <cell r="A32">
            <v>29</v>
          </cell>
          <cell r="C32" t="str">
            <v>June</v>
          </cell>
          <cell r="D32" t="str">
            <v/>
          </cell>
          <cell r="E32" t="str">
            <v/>
          </cell>
          <cell r="F32" t="str">
            <v/>
          </cell>
          <cell r="G32" t="str">
            <v/>
          </cell>
          <cell r="H32" t="str">
            <v/>
          </cell>
          <cell r="AR32" t="str">
            <v/>
          </cell>
          <cell r="AS32" t="str">
            <v/>
          </cell>
          <cell r="AU32" t="str">
            <v/>
          </cell>
          <cell r="AV32" t="str">
            <v/>
          </cell>
          <cell r="AW32" t="str">
            <v/>
          </cell>
          <cell r="BA32" t="str">
            <v/>
          </cell>
        </row>
        <row r="33">
          <cell r="A33">
            <v>30</v>
          </cell>
          <cell r="C33" t="str">
            <v>June</v>
          </cell>
          <cell r="D33" t="str">
            <v/>
          </cell>
          <cell r="E33" t="str">
            <v/>
          </cell>
          <cell r="F33" t="str">
            <v/>
          </cell>
          <cell r="G33" t="str">
            <v/>
          </cell>
          <cell r="H33" t="str">
            <v/>
          </cell>
          <cell r="AR33" t="str">
            <v/>
          </cell>
          <cell r="AS33" t="str">
            <v/>
          </cell>
          <cell r="AU33" t="str">
            <v/>
          </cell>
          <cell r="AV33" t="str">
            <v/>
          </cell>
          <cell r="AW33" t="str">
            <v/>
          </cell>
          <cell r="BA33" t="str">
            <v/>
          </cell>
        </row>
        <row r="34">
          <cell r="A34">
            <v>31</v>
          </cell>
          <cell r="C34" t="str">
            <v>June</v>
          </cell>
          <cell r="D34" t="str">
            <v/>
          </cell>
          <cell r="E34" t="str">
            <v/>
          </cell>
          <cell r="F34" t="str">
            <v/>
          </cell>
          <cell r="G34" t="str">
            <v/>
          </cell>
          <cell r="H34" t="str">
            <v/>
          </cell>
          <cell r="AR34" t="str">
            <v/>
          </cell>
          <cell r="AS34" t="str">
            <v/>
          </cell>
          <cell r="AU34" t="str">
            <v/>
          </cell>
          <cell r="AV34" t="str">
            <v/>
          </cell>
          <cell r="AW34" t="str">
            <v/>
          </cell>
          <cell r="BA34" t="str">
            <v/>
          </cell>
        </row>
        <row r="35">
          <cell r="A35">
            <v>32</v>
          </cell>
          <cell r="C35" t="str">
            <v>June</v>
          </cell>
          <cell r="D35" t="str">
            <v/>
          </cell>
          <cell r="E35" t="str">
            <v/>
          </cell>
          <cell r="F35" t="str">
            <v/>
          </cell>
          <cell r="G35" t="str">
            <v/>
          </cell>
          <cell r="H35" t="str">
            <v/>
          </cell>
          <cell r="AR35" t="str">
            <v/>
          </cell>
          <cell r="AS35" t="str">
            <v/>
          </cell>
          <cell r="AU35" t="str">
            <v/>
          </cell>
          <cell r="AV35" t="str">
            <v/>
          </cell>
          <cell r="AW35" t="str">
            <v/>
          </cell>
          <cell r="BA35" t="str">
            <v/>
          </cell>
        </row>
        <row r="36">
          <cell r="A36">
            <v>33</v>
          </cell>
          <cell r="C36" t="str">
            <v>June</v>
          </cell>
          <cell r="D36" t="str">
            <v/>
          </cell>
          <cell r="E36" t="str">
            <v/>
          </cell>
          <cell r="F36" t="str">
            <v/>
          </cell>
          <cell r="G36" t="str">
            <v/>
          </cell>
          <cell r="H36" t="str">
            <v/>
          </cell>
          <cell r="AR36" t="str">
            <v/>
          </cell>
          <cell r="AS36" t="str">
            <v/>
          </cell>
          <cell r="AU36" t="str">
            <v/>
          </cell>
          <cell r="AV36" t="str">
            <v/>
          </cell>
          <cell r="AW36" t="str">
            <v/>
          </cell>
          <cell r="BA36" t="str">
            <v/>
          </cell>
        </row>
        <row r="37">
          <cell r="A37">
            <v>34</v>
          </cell>
          <cell r="C37" t="str">
            <v>June</v>
          </cell>
          <cell r="D37" t="str">
            <v/>
          </cell>
          <cell r="E37" t="str">
            <v/>
          </cell>
          <cell r="F37" t="str">
            <v/>
          </cell>
          <cell r="G37" t="str">
            <v/>
          </cell>
          <cell r="H37" t="str">
            <v/>
          </cell>
          <cell r="AR37" t="str">
            <v/>
          </cell>
          <cell r="AS37" t="str">
            <v/>
          </cell>
          <cell r="AU37" t="str">
            <v/>
          </cell>
          <cell r="AV37" t="str">
            <v/>
          </cell>
          <cell r="AW37" t="str">
            <v/>
          </cell>
          <cell r="BA37" t="str">
            <v/>
          </cell>
        </row>
        <row r="38">
          <cell r="A38">
            <v>35</v>
          </cell>
          <cell r="C38" t="str">
            <v>June</v>
          </cell>
          <cell r="D38" t="str">
            <v/>
          </cell>
          <cell r="E38" t="str">
            <v/>
          </cell>
          <cell r="F38" t="str">
            <v/>
          </cell>
          <cell r="G38" t="str">
            <v/>
          </cell>
          <cell r="H38" t="str">
            <v/>
          </cell>
          <cell r="AR38" t="str">
            <v/>
          </cell>
          <cell r="AS38" t="str">
            <v/>
          </cell>
          <cell r="AU38" t="str">
            <v/>
          </cell>
          <cell r="AV38" t="str">
            <v/>
          </cell>
          <cell r="AW38" t="str">
            <v/>
          </cell>
          <cell r="BA38" t="str">
            <v/>
          </cell>
        </row>
        <row r="39">
          <cell r="A39">
            <v>36</v>
          </cell>
          <cell r="C39" t="str">
            <v>June</v>
          </cell>
          <cell r="D39" t="str">
            <v/>
          </cell>
          <cell r="E39" t="str">
            <v/>
          </cell>
          <cell r="F39" t="str">
            <v/>
          </cell>
          <cell r="G39" t="str">
            <v/>
          </cell>
          <cell r="H39" t="str">
            <v/>
          </cell>
          <cell r="AR39" t="str">
            <v/>
          </cell>
          <cell r="AS39" t="str">
            <v/>
          </cell>
          <cell r="AU39" t="str">
            <v/>
          </cell>
          <cell r="AV39" t="str">
            <v/>
          </cell>
          <cell r="AW39" t="str">
            <v/>
          </cell>
          <cell r="BA39" t="str">
            <v/>
          </cell>
        </row>
        <row r="40">
          <cell r="A40">
            <v>37</v>
          </cell>
          <cell r="C40" t="str">
            <v>June</v>
          </cell>
          <cell r="D40" t="str">
            <v/>
          </cell>
          <cell r="E40" t="str">
            <v/>
          </cell>
          <cell r="F40" t="str">
            <v/>
          </cell>
          <cell r="G40" t="str">
            <v/>
          </cell>
          <cell r="H40" t="str">
            <v/>
          </cell>
          <cell r="AR40" t="str">
            <v/>
          </cell>
          <cell r="AS40" t="str">
            <v/>
          </cell>
          <cell r="AU40" t="str">
            <v/>
          </cell>
          <cell r="AV40" t="str">
            <v/>
          </cell>
          <cell r="AW40" t="str">
            <v/>
          </cell>
          <cell r="BA40" t="str">
            <v/>
          </cell>
        </row>
        <row r="41">
          <cell r="A41">
            <v>38</v>
          </cell>
          <cell r="C41" t="str">
            <v>June</v>
          </cell>
          <cell r="D41" t="str">
            <v/>
          </cell>
          <cell r="E41" t="str">
            <v/>
          </cell>
          <cell r="F41" t="str">
            <v/>
          </cell>
          <cell r="G41" t="str">
            <v/>
          </cell>
          <cell r="H41" t="str">
            <v/>
          </cell>
          <cell r="AR41" t="str">
            <v/>
          </cell>
          <cell r="AS41" t="str">
            <v/>
          </cell>
          <cell r="AU41" t="str">
            <v/>
          </cell>
          <cell r="AV41" t="str">
            <v/>
          </cell>
          <cell r="AW41" t="str">
            <v/>
          </cell>
          <cell r="BA41" t="str">
            <v/>
          </cell>
        </row>
        <row r="42">
          <cell r="A42">
            <v>39</v>
          </cell>
          <cell r="C42" t="str">
            <v>June</v>
          </cell>
          <cell r="D42" t="str">
            <v/>
          </cell>
          <cell r="E42" t="str">
            <v/>
          </cell>
          <cell r="F42" t="str">
            <v/>
          </cell>
          <cell r="G42" t="str">
            <v/>
          </cell>
          <cell r="H42" t="str">
            <v/>
          </cell>
          <cell r="AR42" t="str">
            <v/>
          </cell>
          <cell r="AS42" t="str">
            <v/>
          </cell>
          <cell r="AU42" t="str">
            <v/>
          </cell>
          <cell r="AV42" t="str">
            <v/>
          </cell>
          <cell r="AW42" t="str">
            <v/>
          </cell>
          <cell r="BA42" t="str">
            <v/>
          </cell>
        </row>
        <row r="43">
          <cell r="A43">
            <v>40</v>
          </cell>
          <cell r="C43" t="str">
            <v>June</v>
          </cell>
          <cell r="D43" t="str">
            <v/>
          </cell>
          <cell r="E43" t="str">
            <v/>
          </cell>
          <cell r="F43" t="str">
            <v/>
          </cell>
          <cell r="G43" t="str">
            <v/>
          </cell>
          <cell r="H43" t="str">
            <v/>
          </cell>
          <cell r="AR43" t="str">
            <v/>
          </cell>
          <cell r="AS43" t="str">
            <v/>
          </cell>
          <cell r="AU43" t="str">
            <v/>
          </cell>
          <cell r="AV43" t="str">
            <v/>
          </cell>
          <cell r="AW43" t="str">
            <v/>
          </cell>
          <cell r="BA43" t="str">
            <v/>
          </cell>
        </row>
        <row r="44">
          <cell r="A44">
            <v>41</v>
          </cell>
          <cell r="C44" t="str">
            <v>June</v>
          </cell>
          <cell r="D44" t="str">
            <v/>
          </cell>
          <cell r="E44" t="str">
            <v/>
          </cell>
          <cell r="F44" t="str">
            <v/>
          </cell>
          <cell r="G44" t="str">
            <v/>
          </cell>
          <cell r="H44" t="str">
            <v/>
          </cell>
          <cell r="AR44" t="str">
            <v/>
          </cell>
          <cell r="AS44" t="str">
            <v/>
          </cell>
          <cell r="AU44" t="str">
            <v/>
          </cell>
          <cell r="AV44" t="str">
            <v/>
          </cell>
          <cell r="AW44" t="str">
            <v/>
          </cell>
          <cell r="BA44" t="str">
            <v/>
          </cell>
        </row>
        <row r="45">
          <cell r="A45">
            <v>42</v>
          </cell>
          <cell r="C45" t="str">
            <v>June</v>
          </cell>
          <cell r="D45" t="str">
            <v/>
          </cell>
          <cell r="E45" t="str">
            <v/>
          </cell>
          <cell r="F45" t="str">
            <v/>
          </cell>
          <cell r="G45" t="str">
            <v/>
          </cell>
          <cell r="H45" t="str">
            <v/>
          </cell>
          <cell r="AR45" t="str">
            <v/>
          </cell>
          <cell r="AS45" t="str">
            <v/>
          </cell>
          <cell r="AU45" t="str">
            <v/>
          </cell>
          <cell r="AV45" t="str">
            <v/>
          </cell>
          <cell r="AW45" t="str">
            <v/>
          </cell>
          <cell r="BA45" t="str">
            <v/>
          </cell>
        </row>
        <row r="46">
          <cell r="A46">
            <v>43</v>
          </cell>
          <cell r="C46" t="str">
            <v>June</v>
          </cell>
          <cell r="D46" t="str">
            <v/>
          </cell>
          <cell r="E46" t="str">
            <v/>
          </cell>
          <cell r="F46" t="str">
            <v/>
          </cell>
          <cell r="G46" t="str">
            <v/>
          </cell>
          <cell r="H46" t="str">
            <v/>
          </cell>
          <cell r="AR46" t="str">
            <v/>
          </cell>
          <cell r="AS46" t="str">
            <v/>
          </cell>
          <cell r="AU46" t="str">
            <v/>
          </cell>
          <cell r="AV46" t="str">
            <v/>
          </cell>
          <cell r="AW46" t="str">
            <v/>
          </cell>
          <cell r="BA46" t="str">
            <v/>
          </cell>
        </row>
        <row r="47">
          <cell r="A47">
            <v>44</v>
          </cell>
          <cell r="C47" t="str">
            <v>June</v>
          </cell>
          <cell r="D47" t="str">
            <v/>
          </cell>
          <cell r="E47" t="str">
            <v/>
          </cell>
          <cell r="F47" t="str">
            <v/>
          </cell>
          <cell r="G47" t="str">
            <v/>
          </cell>
          <cell r="H47" t="str">
            <v/>
          </cell>
          <cell r="AR47" t="str">
            <v/>
          </cell>
          <cell r="AS47" t="str">
            <v/>
          </cell>
          <cell r="AU47" t="str">
            <v/>
          </cell>
          <cell r="AV47" t="str">
            <v/>
          </cell>
          <cell r="AW47" t="str">
            <v/>
          </cell>
          <cell r="BA47" t="str">
            <v/>
          </cell>
        </row>
        <row r="48">
          <cell r="A48">
            <v>45</v>
          </cell>
          <cell r="C48" t="str">
            <v>June</v>
          </cell>
          <cell r="D48" t="str">
            <v/>
          </cell>
          <cell r="E48" t="str">
            <v/>
          </cell>
          <cell r="F48" t="str">
            <v/>
          </cell>
          <cell r="G48" t="str">
            <v/>
          </cell>
          <cell r="H48" t="str">
            <v/>
          </cell>
          <cell r="AR48" t="str">
            <v/>
          </cell>
          <cell r="AS48" t="str">
            <v/>
          </cell>
          <cell r="AU48" t="str">
            <v/>
          </cell>
          <cell r="AV48" t="str">
            <v/>
          </cell>
          <cell r="AW48" t="str">
            <v/>
          </cell>
          <cell r="BA48" t="str">
            <v/>
          </cell>
        </row>
        <row r="49">
          <cell r="A49">
            <v>46</v>
          </cell>
          <cell r="C49" t="str">
            <v>June</v>
          </cell>
          <cell r="D49" t="str">
            <v/>
          </cell>
          <cell r="E49" t="str">
            <v/>
          </cell>
          <cell r="F49" t="str">
            <v/>
          </cell>
          <cell r="G49" t="str">
            <v/>
          </cell>
          <cell r="H49" t="str">
            <v/>
          </cell>
          <cell r="AR49" t="str">
            <v/>
          </cell>
          <cell r="AS49" t="str">
            <v/>
          </cell>
          <cell r="AU49" t="str">
            <v/>
          </cell>
          <cell r="AV49" t="str">
            <v/>
          </cell>
          <cell r="AW49" t="str">
            <v/>
          </cell>
          <cell r="BA49" t="str">
            <v/>
          </cell>
        </row>
        <row r="50">
          <cell r="A50">
            <v>47</v>
          </cell>
          <cell r="C50" t="str">
            <v>June</v>
          </cell>
          <cell r="D50" t="str">
            <v/>
          </cell>
          <cell r="E50" t="str">
            <v/>
          </cell>
          <cell r="F50" t="str">
            <v/>
          </cell>
          <cell r="G50" t="str">
            <v/>
          </cell>
          <cell r="H50" t="str">
            <v/>
          </cell>
          <cell r="AR50" t="str">
            <v/>
          </cell>
          <cell r="AS50" t="str">
            <v/>
          </cell>
          <cell r="AU50" t="str">
            <v/>
          </cell>
          <cell r="AV50" t="str">
            <v/>
          </cell>
          <cell r="AW50" t="str">
            <v/>
          </cell>
          <cell r="BA50" t="str">
            <v/>
          </cell>
        </row>
        <row r="51">
          <cell r="A51">
            <v>48</v>
          </cell>
          <cell r="C51" t="str">
            <v>June</v>
          </cell>
          <cell r="D51" t="str">
            <v/>
          </cell>
          <cell r="E51" t="str">
            <v/>
          </cell>
          <cell r="F51" t="str">
            <v/>
          </cell>
          <cell r="G51" t="str">
            <v/>
          </cell>
          <cell r="H51" t="str">
            <v/>
          </cell>
          <cell r="AR51" t="str">
            <v/>
          </cell>
          <cell r="AS51" t="str">
            <v/>
          </cell>
          <cell r="AU51" t="str">
            <v/>
          </cell>
          <cell r="AV51" t="str">
            <v/>
          </cell>
          <cell r="AW51" t="str">
            <v/>
          </cell>
          <cell r="BA51" t="str">
            <v/>
          </cell>
        </row>
        <row r="52">
          <cell r="A52">
            <v>49</v>
          </cell>
          <cell r="C52" t="str">
            <v>June</v>
          </cell>
          <cell r="D52" t="str">
            <v/>
          </cell>
          <cell r="E52" t="str">
            <v/>
          </cell>
          <cell r="F52" t="str">
            <v/>
          </cell>
          <cell r="G52" t="str">
            <v/>
          </cell>
          <cell r="H52" t="str">
            <v/>
          </cell>
          <cell r="AR52" t="str">
            <v/>
          </cell>
          <cell r="AS52" t="str">
            <v/>
          </cell>
          <cell r="AU52" t="str">
            <v/>
          </cell>
          <cell r="AV52" t="str">
            <v/>
          </cell>
          <cell r="AW52" t="str">
            <v/>
          </cell>
          <cell r="BA52" t="str">
            <v/>
          </cell>
        </row>
        <row r="53">
          <cell r="A53">
            <v>50</v>
          </cell>
          <cell r="C53" t="str">
            <v>June</v>
          </cell>
          <cell r="D53" t="str">
            <v/>
          </cell>
          <cell r="E53" t="str">
            <v/>
          </cell>
          <cell r="F53" t="str">
            <v/>
          </cell>
          <cell r="G53" t="str">
            <v/>
          </cell>
          <cell r="H53" t="str">
            <v/>
          </cell>
          <cell r="AR53" t="str">
            <v/>
          </cell>
          <cell r="AS53" t="str">
            <v/>
          </cell>
          <cell r="AU53" t="str">
            <v/>
          </cell>
          <cell r="AV53" t="str">
            <v/>
          </cell>
          <cell r="AW53" t="str">
            <v/>
          </cell>
          <cell r="BA53" t="str">
            <v/>
          </cell>
        </row>
        <row r="54">
          <cell r="A54">
            <v>51</v>
          </cell>
          <cell r="C54" t="str">
            <v>June</v>
          </cell>
          <cell r="D54" t="str">
            <v/>
          </cell>
          <cell r="E54" t="str">
            <v/>
          </cell>
          <cell r="F54" t="str">
            <v/>
          </cell>
          <cell r="G54" t="str">
            <v/>
          </cell>
          <cell r="H54" t="str">
            <v/>
          </cell>
          <cell r="AR54" t="str">
            <v/>
          </cell>
          <cell r="AS54" t="str">
            <v/>
          </cell>
          <cell r="AU54" t="str">
            <v/>
          </cell>
          <cell r="AV54" t="str">
            <v/>
          </cell>
          <cell r="AW54" t="str">
            <v/>
          </cell>
          <cell r="BA54" t="str">
            <v/>
          </cell>
        </row>
        <row r="55">
          <cell r="A55">
            <v>52</v>
          </cell>
          <cell r="C55" t="str">
            <v>June</v>
          </cell>
          <cell r="D55" t="str">
            <v/>
          </cell>
          <cell r="E55" t="str">
            <v/>
          </cell>
          <cell r="F55" t="str">
            <v/>
          </cell>
          <cell r="G55" t="str">
            <v/>
          </cell>
          <cell r="H55" t="str">
            <v/>
          </cell>
          <cell r="AR55" t="str">
            <v/>
          </cell>
          <cell r="AS55" t="str">
            <v/>
          </cell>
          <cell r="AU55" t="str">
            <v/>
          </cell>
          <cell r="AV55" t="str">
            <v/>
          </cell>
          <cell r="AW55" t="str">
            <v/>
          </cell>
          <cell r="BA55" t="str">
            <v/>
          </cell>
        </row>
        <row r="56">
          <cell r="A56">
            <v>53</v>
          </cell>
          <cell r="C56" t="str">
            <v>June</v>
          </cell>
          <cell r="D56" t="str">
            <v/>
          </cell>
          <cell r="E56" t="str">
            <v/>
          </cell>
          <cell r="F56" t="str">
            <v/>
          </cell>
          <cell r="G56" t="str">
            <v/>
          </cell>
          <cell r="H56" t="str">
            <v/>
          </cell>
          <cell r="AR56" t="str">
            <v/>
          </cell>
          <cell r="AS56" t="str">
            <v/>
          </cell>
          <cell r="AU56" t="str">
            <v/>
          </cell>
          <cell r="AV56" t="str">
            <v/>
          </cell>
          <cell r="AW56" t="str">
            <v/>
          </cell>
          <cell r="BA56" t="str">
            <v/>
          </cell>
        </row>
        <row r="57">
          <cell r="A57">
            <v>54</v>
          </cell>
          <cell r="C57" t="str">
            <v>June</v>
          </cell>
          <cell r="D57" t="str">
            <v/>
          </cell>
          <cell r="E57" t="str">
            <v/>
          </cell>
          <cell r="F57" t="str">
            <v/>
          </cell>
          <cell r="G57" t="str">
            <v/>
          </cell>
          <cell r="H57" t="str">
            <v/>
          </cell>
          <cell r="AR57" t="str">
            <v/>
          </cell>
          <cell r="AS57" t="str">
            <v/>
          </cell>
          <cell r="AU57" t="str">
            <v/>
          </cell>
          <cell r="AV57" t="str">
            <v/>
          </cell>
          <cell r="AW57" t="str">
            <v/>
          </cell>
          <cell r="BA57" t="str">
            <v/>
          </cell>
        </row>
        <row r="58">
          <cell r="A58">
            <v>55</v>
          </cell>
          <cell r="C58" t="str">
            <v>June</v>
          </cell>
          <cell r="D58" t="str">
            <v/>
          </cell>
          <cell r="E58" t="str">
            <v/>
          </cell>
          <cell r="F58" t="str">
            <v/>
          </cell>
          <cell r="G58" t="str">
            <v/>
          </cell>
          <cell r="H58" t="str">
            <v/>
          </cell>
          <cell r="AR58" t="str">
            <v/>
          </cell>
          <cell r="AS58" t="str">
            <v/>
          </cell>
          <cell r="AU58" t="str">
            <v/>
          </cell>
          <cell r="AV58" t="str">
            <v/>
          </cell>
          <cell r="AW58" t="str">
            <v/>
          </cell>
          <cell r="BA58" t="str">
            <v/>
          </cell>
        </row>
        <row r="59">
          <cell r="A59">
            <v>56</v>
          </cell>
          <cell r="C59" t="str">
            <v>June</v>
          </cell>
          <cell r="D59" t="str">
            <v/>
          </cell>
          <cell r="E59" t="str">
            <v/>
          </cell>
          <cell r="F59" t="str">
            <v/>
          </cell>
          <cell r="G59" t="str">
            <v/>
          </cell>
          <cell r="H59" t="str">
            <v/>
          </cell>
          <cell r="AR59" t="str">
            <v/>
          </cell>
          <cell r="AS59" t="str">
            <v/>
          </cell>
          <cell r="AU59" t="str">
            <v/>
          </cell>
          <cell r="AV59" t="str">
            <v/>
          </cell>
          <cell r="AW59" t="str">
            <v/>
          </cell>
          <cell r="BA59" t="str">
            <v/>
          </cell>
        </row>
        <row r="60">
          <cell r="A60">
            <v>57</v>
          </cell>
          <cell r="C60" t="str">
            <v>June</v>
          </cell>
          <cell r="D60" t="str">
            <v/>
          </cell>
          <cell r="E60" t="str">
            <v/>
          </cell>
          <cell r="F60" t="str">
            <v/>
          </cell>
          <cell r="G60" t="str">
            <v/>
          </cell>
          <cell r="H60" t="str">
            <v/>
          </cell>
          <cell r="AR60" t="str">
            <v/>
          </cell>
          <cell r="AS60" t="str">
            <v/>
          </cell>
          <cell r="AU60" t="str">
            <v/>
          </cell>
          <cell r="AV60" t="str">
            <v/>
          </cell>
          <cell r="AW60" t="str">
            <v/>
          </cell>
          <cell r="BA60" t="str">
            <v/>
          </cell>
        </row>
        <row r="61">
          <cell r="A61">
            <v>58</v>
          </cell>
          <cell r="C61" t="str">
            <v>June</v>
          </cell>
          <cell r="D61" t="str">
            <v/>
          </cell>
          <cell r="E61" t="str">
            <v/>
          </cell>
          <cell r="F61" t="str">
            <v/>
          </cell>
          <cell r="G61" t="str">
            <v/>
          </cell>
          <cell r="H61" t="str">
            <v/>
          </cell>
          <cell r="AR61" t="str">
            <v/>
          </cell>
          <cell r="AS61" t="str">
            <v/>
          </cell>
          <cell r="AU61" t="str">
            <v/>
          </cell>
          <cell r="AV61" t="str">
            <v/>
          </cell>
          <cell r="AW61" t="str">
            <v/>
          </cell>
          <cell r="BA61" t="str">
            <v/>
          </cell>
        </row>
        <row r="62">
          <cell r="A62">
            <v>59</v>
          </cell>
          <cell r="C62" t="str">
            <v>June</v>
          </cell>
          <cell r="D62" t="str">
            <v/>
          </cell>
          <cell r="E62" t="str">
            <v/>
          </cell>
          <cell r="F62" t="str">
            <v/>
          </cell>
          <cell r="G62" t="str">
            <v/>
          </cell>
          <cell r="H62" t="str">
            <v/>
          </cell>
          <cell r="AR62" t="str">
            <v/>
          </cell>
          <cell r="AS62" t="str">
            <v/>
          </cell>
          <cell r="AU62" t="str">
            <v/>
          </cell>
          <cell r="AV62" t="str">
            <v/>
          </cell>
          <cell r="AW62" t="str">
            <v/>
          </cell>
          <cell r="BA62" t="str">
            <v/>
          </cell>
        </row>
        <row r="63">
          <cell r="A63">
            <v>60</v>
          </cell>
          <cell r="C63" t="str">
            <v>June</v>
          </cell>
          <cell r="D63" t="str">
            <v/>
          </cell>
          <cell r="E63" t="str">
            <v/>
          </cell>
          <cell r="F63" t="str">
            <v/>
          </cell>
          <cell r="G63" t="str">
            <v/>
          </cell>
          <cell r="H63" t="str">
            <v/>
          </cell>
          <cell r="AR63" t="str">
            <v/>
          </cell>
          <cell r="AS63" t="str">
            <v/>
          </cell>
          <cell r="AU63" t="str">
            <v/>
          </cell>
          <cell r="AV63" t="str">
            <v/>
          </cell>
          <cell r="AW63" t="str">
            <v/>
          </cell>
          <cell r="BA63" t="str">
            <v/>
          </cell>
        </row>
        <row r="64">
          <cell r="A64">
            <v>61</v>
          </cell>
          <cell r="C64" t="str">
            <v>July</v>
          </cell>
          <cell r="D64" t="str">
            <v>122625140006</v>
          </cell>
          <cell r="E64" t="str">
            <v>ACAYAN, ELIJAH DITALO</v>
          </cell>
          <cell r="F64" t="str">
            <v>Male</v>
          </cell>
          <cell r="G64">
            <v>1</v>
          </cell>
          <cell r="H64">
            <v>1</v>
          </cell>
          <cell r="AR64">
            <v>0</v>
          </cell>
          <cell r="AS64">
            <v>23</v>
          </cell>
          <cell r="AU64">
            <v>0</v>
          </cell>
          <cell r="AV64">
            <v>46204</v>
          </cell>
          <cell r="AW64">
            <v>46234</v>
          </cell>
          <cell r="BA64">
            <v>1</v>
          </cell>
        </row>
        <row r="65">
          <cell r="A65">
            <v>62</v>
          </cell>
          <cell r="C65" t="str">
            <v>July</v>
          </cell>
          <cell r="D65" t="str">
            <v>419658160041</v>
          </cell>
          <cell r="E65" t="str">
            <v>ARCILLA, KYLE XANDRE MATUS</v>
          </cell>
          <cell r="F65" t="str">
            <v>Male</v>
          </cell>
          <cell r="G65">
            <v>1</v>
          </cell>
          <cell r="H65">
            <v>1</v>
          </cell>
          <cell r="AR65">
            <v>0</v>
          </cell>
          <cell r="AS65">
            <v>23</v>
          </cell>
          <cell r="AU65">
            <v>0</v>
          </cell>
          <cell r="AV65">
            <v>46204</v>
          </cell>
          <cell r="AW65">
            <v>46234</v>
          </cell>
          <cell r="BA65">
            <v>2</v>
          </cell>
        </row>
        <row r="66">
          <cell r="A66">
            <v>63</v>
          </cell>
          <cell r="C66" t="str">
            <v>July</v>
          </cell>
          <cell r="D66" t="str">
            <v>104015140057</v>
          </cell>
          <cell r="E66" t="str">
            <v>CAPAYAN, DENVER CORPUZ</v>
          </cell>
          <cell r="F66" t="str">
            <v>Male</v>
          </cell>
          <cell r="G66">
            <v>1</v>
          </cell>
          <cell r="H66">
            <v>1</v>
          </cell>
          <cell r="AR66">
            <v>0</v>
          </cell>
          <cell r="AS66">
            <v>23</v>
          </cell>
          <cell r="AU66">
            <v>0</v>
          </cell>
          <cell r="AV66">
            <v>46204</v>
          </cell>
          <cell r="AW66">
            <v>46234</v>
          </cell>
          <cell r="BA66">
            <v>3</v>
          </cell>
        </row>
        <row r="67">
          <cell r="A67">
            <v>64</v>
          </cell>
          <cell r="C67" t="str">
            <v>July</v>
          </cell>
          <cell r="D67" t="str">
            <v>107023140026</v>
          </cell>
          <cell r="E67" t="str">
            <v>DOMINGO, FRYNNS LIAM ATIENZA</v>
          </cell>
          <cell r="F67" t="str">
            <v>Male</v>
          </cell>
          <cell r="G67">
            <v>1</v>
          </cell>
          <cell r="H67">
            <v>1</v>
          </cell>
          <cell r="AR67">
            <v>0</v>
          </cell>
          <cell r="AS67">
            <v>23</v>
          </cell>
          <cell r="AU67">
            <v>0</v>
          </cell>
          <cell r="AV67">
            <v>46204</v>
          </cell>
          <cell r="AW67">
            <v>46234</v>
          </cell>
          <cell r="BA67">
            <v>4</v>
          </cell>
        </row>
        <row r="68">
          <cell r="A68">
            <v>65</v>
          </cell>
          <cell r="C68" t="str">
            <v>July</v>
          </cell>
          <cell r="D68" t="str">
            <v>110347140023</v>
          </cell>
          <cell r="E68" t="str">
            <v>DUMADALUG, JAMES DIZON</v>
          </cell>
          <cell r="F68" t="str">
            <v>Male</v>
          </cell>
          <cell r="G68">
            <v>1</v>
          </cell>
          <cell r="H68">
            <v>1</v>
          </cell>
          <cell r="AR68">
            <v>0</v>
          </cell>
          <cell r="AS68">
            <v>23</v>
          </cell>
          <cell r="AU68">
            <v>0</v>
          </cell>
          <cell r="AV68">
            <v>46204</v>
          </cell>
          <cell r="AW68">
            <v>46234</v>
          </cell>
          <cell r="BA68">
            <v>5</v>
          </cell>
        </row>
        <row r="69">
          <cell r="A69">
            <v>66</v>
          </cell>
          <cell r="C69" t="str">
            <v>July</v>
          </cell>
          <cell r="D69" t="str">
            <v>107031140010</v>
          </cell>
          <cell r="E69" t="str">
            <v>GARCIA, KIRK NATHAN BOLSICO</v>
          </cell>
          <cell r="F69" t="str">
            <v>Male</v>
          </cell>
          <cell r="G69">
            <v>1</v>
          </cell>
          <cell r="H69">
            <v>1</v>
          </cell>
          <cell r="AR69">
            <v>0</v>
          </cell>
          <cell r="AS69">
            <v>23</v>
          </cell>
          <cell r="AU69">
            <v>0</v>
          </cell>
          <cell r="AV69">
            <v>46204</v>
          </cell>
          <cell r="AW69">
            <v>46234</v>
          </cell>
          <cell r="BA69">
            <v>6</v>
          </cell>
        </row>
        <row r="70">
          <cell r="A70">
            <v>67</v>
          </cell>
          <cell r="C70" t="str">
            <v>July</v>
          </cell>
          <cell r="D70" t="str">
            <v>107061140477</v>
          </cell>
          <cell r="E70" t="str">
            <v>GUEVARRA, SEAD SYRON CORPUZ</v>
          </cell>
          <cell r="F70" t="str">
            <v>Male</v>
          </cell>
          <cell r="G70">
            <v>1</v>
          </cell>
          <cell r="H70">
            <v>1</v>
          </cell>
          <cell r="AR70">
            <v>0</v>
          </cell>
          <cell r="AS70">
            <v>23</v>
          </cell>
          <cell r="AU70">
            <v>0</v>
          </cell>
          <cell r="AV70">
            <v>46204</v>
          </cell>
          <cell r="AW70">
            <v>46234</v>
          </cell>
          <cell r="BA70">
            <v>7</v>
          </cell>
        </row>
        <row r="71">
          <cell r="A71">
            <v>68</v>
          </cell>
          <cell r="C71" t="str">
            <v>July</v>
          </cell>
          <cell r="D71" t="str">
            <v>133624150052</v>
          </cell>
          <cell r="E71" t="str">
            <v>MACAPANTON, ALIMAN SULTAN</v>
          </cell>
          <cell r="F71" t="str">
            <v>Male</v>
          </cell>
          <cell r="G71">
            <v>1</v>
          </cell>
          <cell r="H71">
            <v>1</v>
          </cell>
          <cell r="AR71">
            <v>0</v>
          </cell>
          <cell r="AS71">
            <v>23</v>
          </cell>
          <cell r="AU71">
            <v>0</v>
          </cell>
          <cell r="AV71">
            <v>46204</v>
          </cell>
          <cell r="AW71">
            <v>46234</v>
          </cell>
          <cell r="BA71">
            <v>8</v>
          </cell>
        </row>
        <row r="72">
          <cell r="A72">
            <v>69</v>
          </cell>
          <cell r="C72" t="str">
            <v>July</v>
          </cell>
          <cell r="D72" t="str">
            <v>107027140164</v>
          </cell>
          <cell r="E72" t="str">
            <v>MEJIA, FRANCIS KHIAN LLARENA</v>
          </cell>
          <cell r="F72" t="str">
            <v>Male</v>
          </cell>
          <cell r="G72">
            <v>1</v>
          </cell>
          <cell r="H72">
            <v>1</v>
          </cell>
          <cell r="AR72">
            <v>0</v>
          </cell>
          <cell r="AS72">
            <v>23</v>
          </cell>
          <cell r="AU72">
            <v>0</v>
          </cell>
          <cell r="AV72">
            <v>46204</v>
          </cell>
          <cell r="AW72">
            <v>46234</v>
          </cell>
          <cell r="BA72">
            <v>9</v>
          </cell>
        </row>
        <row r="73">
          <cell r="A73">
            <v>70</v>
          </cell>
          <cell r="C73" t="str">
            <v>July</v>
          </cell>
          <cell r="D73" t="str">
            <v>107185140032</v>
          </cell>
          <cell r="E73" t="str">
            <v>NERI, GABRIEL BRIONES</v>
          </cell>
          <cell r="F73" t="str">
            <v>Male</v>
          </cell>
          <cell r="G73">
            <v>1</v>
          </cell>
          <cell r="H73">
            <v>1</v>
          </cell>
          <cell r="AR73">
            <v>0</v>
          </cell>
          <cell r="AS73">
            <v>23</v>
          </cell>
          <cell r="AU73">
            <v>0</v>
          </cell>
          <cell r="AV73">
            <v>46204</v>
          </cell>
          <cell r="AW73">
            <v>46234</v>
          </cell>
          <cell r="BA73">
            <v>10</v>
          </cell>
        </row>
        <row r="74">
          <cell r="A74">
            <v>71</v>
          </cell>
          <cell r="C74" t="str">
            <v>July</v>
          </cell>
          <cell r="D74" t="str">
            <v>107057130479</v>
          </cell>
          <cell r="E74" t="str">
            <v>PAYABYAB, SHELTER RAIN ALEJANDRO</v>
          </cell>
          <cell r="F74" t="str">
            <v>Male</v>
          </cell>
          <cell r="G74">
            <v>1</v>
          </cell>
          <cell r="H74">
            <v>1</v>
          </cell>
          <cell r="AR74">
            <v>0</v>
          </cell>
          <cell r="AS74">
            <v>23</v>
          </cell>
          <cell r="AU74">
            <v>0</v>
          </cell>
          <cell r="AV74">
            <v>46204</v>
          </cell>
          <cell r="AW74">
            <v>46234</v>
          </cell>
          <cell r="BA74">
            <v>11</v>
          </cell>
        </row>
        <row r="75">
          <cell r="A75">
            <v>72</v>
          </cell>
          <cell r="C75" t="str">
            <v>July</v>
          </cell>
          <cell r="D75" t="str">
            <v>113420140126</v>
          </cell>
          <cell r="E75" t="str">
            <v>RAMIREZ, RENCES DWANE RAMONES</v>
          </cell>
          <cell r="F75" t="str">
            <v>Male</v>
          </cell>
          <cell r="G75">
            <v>1</v>
          </cell>
          <cell r="H75">
            <v>1</v>
          </cell>
          <cell r="AR75">
            <v>0</v>
          </cell>
          <cell r="AS75">
            <v>23</v>
          </cell>
          <cell r="AU75">
            <v>0</v>
          </cell>
          <cell r="AV75">
            <v>46204</v>
          </cell>
          <cell r="AW75">
            <v>46234</v>
          </cell>
          <cell r="BA75">
            <v>12</v>
          </cell>
        </row>
        <row r="76">
          <cell r="A76">
            <v>73</v>
          </cell>
          <cell r="C76" t="str">
            <v>July</v>
          </cell>
          <cell r="D76" t="str">
            <v>107048150273</v>
          </cell>
          <cell r="E76" t="str">
            <v>SUGAY, ASHTON GUTIERREZ</v>
          </cell>
          <cell r="F76" t="str">
            <v>Male</v>
          </cell>
          <cell r="G76">
            <v>1</v>
          </cell>
          <cell r="H76">
            <v>1</v>
          </cell>
          <cell r="AR76">
            <v>0</v>
          </cell>
          <cell r="AS76">
            <v>23</v>
          </cell>
          <cell r="AU76">
            <v>0</v>
          </cell>
          <cell r="AV76">
            <v>46204</v>
          </cell>
          <cell r="AW76">
            <v>46234</v>
          </cell>
          <cell r="BA76">
            <v>13</v>
          </cell>
        </row>
        <row r="77">
          <cell r="A77">
            <v>74</v>
          </cell>
          <cell r="C77" t="str">
            <v>July</v>
          </cell>
          <cell r="D77">
            <v>107032140054</v>
          </cell>
          <cell r="E77" t="str">
            <v>SANTIAGO, JARED ALBERTH BARREDA</v>
          </cell>
          <cell r="F77" t="str">
            <v>Male</v>
          </cell>
          <cell r="G77">
            <v>1</v>
          </cell>
          <cell r="H77">
            <v>1</v>
          </cell>
          <cell r="AR77">
            <v>0</v>
          </cell>
          <cell r="AS77">
            <v>23</v>
          </cell>
          <cell r="AU77">
            <v>0</v>
          </cell>
          <cell r="AV77">
            <v>46204</v>
          </cell>
          <cell r="AW77">
            <v>46234</v>
          </cell>
          <cell r="BA77">
            <v>14</v>
          </cell>
        </row>
        <row r="78">
          <cell r="A78">
            <v>75</v>
          </cell>
          <cell r="C78" t="str">
            <v>July</v>
          </cell>
          <cell r="D78" t="str">
            <v>122379140033</v>
          </cell>
          <cell r="E78" t="str">
            <v>ACAYAN, HANNAH NICOLE COSTUNA</v>
          </cell>
          <cell r="F78" t="str">
            <v>Female</v>
          </cell>
          <cell r="G78">
            <v>1</v>
          </cell>
          <cell r="H78">
            <v>1</v>
          </cell>
          <cell r="AR78">
            <v>0</v>
          </cell>
          <cell r="AS78">
            <v>23</v>
          </cell>
          <cell r="AU78">
            <v>0</v>
          </cell>
          <cell r="AV78">
            <v>46204</v>
          </cell>
          <cell r="AW78">
            <v>46234</v>
          </cell>
          <cell r="BA78">
            <v>1</v>
          </cell>
        </row>
        <row r="79">
          <cell r="A79">
            <v>76</v>
          </cell>
          <cell r="C79" t="str">
            <v>July</v>
          </cell>
          <cell r="D79" t="str">
            <v>107041140509</v>
          </cell>
          <cell r="E79" t="str">
            <v>AREÑEZ, FRANCHESKA OCAMPO</v>
          </cell>
          <cell r="F79" t="str">
            <v>Female</v>
          </cell>
          <cell r="G79">
            <v>1</v>
          </cell>
          <cell r="H79">
            <v>1</v>
          </cell>
          <cell r="AR79">
            <v>0</v>
          </cell>
          <cell r="AS79">
            <v>23</v>
          </cell>
          <cell r="AU79">
            <v>0</v>
          </cell>
          <cell r="AV79">
            <v>46204</v>
          </cell>
          <cell r="AW79">
            <v>46234</v>
          </cell>
          <cell r="BA79">
            <v>2</v>
          </cell>
        </row>
        <row r="80">
          <cell r="A80">
            <v>77</v>
          </cell>
          <cell r="C80" t="str">
            <v>July</v>
          </cell>
          <cell r="D80" t="str">
            <v>159547140065</v>
          </cell>
          <cell r="E80" t="str">
            <v>BALUCANAG, CHLOE LIAN GALINO</v>
          </cell>
          <cell r="F80" t="str">
            <v>Female</v>
          </cell>
          <cell r="G80">
            <v>1</v>
          </cell>
          <cell r="H80">
            <v>1</v>
          </cell>
          <cell r="AR80">
            <v>0</v>
          </cell>
          <cell r="AS80">
            <v>23</v>
          </cell>
          <cell r="AU80">
            <v>0</v>
          </cell>
          <cell r="AV80">
            <v>46204</v>
          </cell>
          <cell r="AW80">
            <v>46234</v>
          </cell>
          <cell r="BA80">
            <v>3</v>
          </cell>
        </row>
        <row r="81">
          <cell r="A81">
            <v>78</v>
          </cell>
          <cell r="C81" t="str">
            <v>July</v>
          </cell>
          <cell r="D81" t="str">
            <v>107022140163</v>
          </cell>
          <cell r="E81" t="str">
            <v>BIE, JOHN RAIN MAGTOTO</v>
          </cell>
          <cell r="F81" t="str">
            <v>Female</v>
          </cell>
          <cell r="G81">
            <v>1</v>
          </cell>
          <cell r="H81">
            <v>1</v>
          </cell>
          <cell r="AR81">
            <v>0</v>
          </cell>
          <cell r="AS81">
            <v>23</v>
          </cell>
          <cell r="AU81">
            <v>0</v>
          </cell>
          <cell r="AV81">
            <v>46204</v>
          </cell>
          <cell r="AW81">
            <v>46234</v>
          </cell>
          <cell r="BA81">
            <v>4</v>
          </cell>
        </row>
        <row r="82">
          <cell r="A82">
            <v>79</v>
          </cell>
          <cell r="C82" t="str">
            <v>July</v>
          </cell>
          <cell r="D82" t="str">
            <v>105935140024</v>
          </cell>
          <cell r="E82" t="str">
            <v>DAVID, ASHLEY LAPUZ</v>
          </cell>
          <cell r="F82" t="str">
            <v>Female</v>
          </cell>
          <cell r="G82">
            <v>1</v>
          </cell>
          <cell r="H82">
            <v>1</v>
          </cell>
          <cell r="AR82">
            <v>0</v>
          </cell>
          <cell r="AS82">
            <v>23</v>
          </cell>
          <cell r="AU82">
            <v>0</v>
          </cell>
          <cell r="AV82">
            <v>46204</v>
          </cell>
          <cell r="AW82">
            <v>46234</v>
          </cell>
          <cell r="BA82">
            <v>5</v>
          </cell>
        </row>
        <row r="83">
          <cell r="A83">
            <v>80</v>
          </cell>
          <cell r="C83" t="str">
            <v>July</v>
          </cell>
          <cell r="D83" t="str">
            <v>106066150025</v>
          </cell>
          <cell r="E83" t="str">
            <v>FLORES, THEA MARIE LUMUYA</v>
          </cell>
          <cell r="F83" t="str">
            <v>Female</v>
          </cell>
          <cell r="G83">
            <v>1</v>
          </cell>
          <cell r="H83">
            <v>1</v>
          </cell>
          <cell r="AR83">
            <v>0</v>
          </cell>
          <cell r="AS83">
            <v>23</v>
          </cell>
          <cell r="AU83">
            <v>0</v>
          </cell>
          <cell r="AV83">
            <v>46204</v>
          </cell>
          <cell r="AW83">
            <v>46234</v>
          </cell>
          <cell r="BA83">
            <v>6</v>
          </cell>
        </row>
        <row r="84">
          <cell r="A84">
            <v>81</v>
          </cell>
          <cell r="C84" t="str">
            <v>July</v>
          </cell>
          <cell r="D84" t="str">
            <v>107032140061</v>
          </cell>
          <cell r="E84" t="str">
            <v>INGAL, SHAINA KYLE PINEDA</v>
          </cell>
          <cell r="F84" t="str">
            <v>Female</v>
          </cell>
          <cell r="G84">
            <v>1</v>
          </cell>
          <cell r="H84">
            <v>1</v>
          </cell>
          <cell r="AR84">
            <v>0</v>
          </cell>
          <cell r="AS84">
            <v>23</v>
          </cell>
          <cell r="AU84">
            <v>0</v>
          </cell>
          <cell r="AV84">
            <v>46204</v>
          </cell>
          <cell r="AW84">
            <v>46234</v>
          </cell>
          <cell r="BA84">
            <v>7</v>
          </cell>
        </row>
        <row r="85">
          <cell r="A85">
            <v>82</v>
          </cell>
          <cell r="C85" t="str">
            <v>July</v>
          </cell>
          <cell r="D85">
            <v>106072140070</v>
          </cell>
          <cell r="E85" t="str">
            <v>MACAPODI, AINA MANGUNTAWAR</v>
          </cell>
          <cell r="F85" t="str">
            <v>Female</v>
          </cell>
          <cell r="G85">
            <v>1</v>
          </cell>
          <cell r="H85">
            <v>1</v>
          </cell>
          <cell r="AR85">
            <v>0</v>
          </cell>
          <cell r="AS85">
            <v>23</v>
          </cell>
          <cell r="AU85">
            <v>0</v>
          </cell>
          <cell r="AV85">
            <v>46204</v>
          </cell>
          <cell r="AW85">
            <v>46234</v>
          </cell>
          <cell r="BA85">
            <v>8</v>
          </cell>
        </row>
        <row r="86">
          <cell r="A86">
            <v>83</v>
          </cell>
          <cell r="C86" t="str">
            <v>July</v>
          </cell>
          <cell r="D86" t="str">
            <v>136634150917</v>
          </cell>
          <cell r="E86" t="str">
            <v>MIPAMPANG, RASHEDA BASCARA</v>
          </cell>
          <cell r="F86" t="str">
            <v>Female</v>
          </cell>
          <cell r="G86">
            <v>1</v>
          </cell>
          <cell r="H86">
            <v>1</v>
          </cell>
          <cell r="AR86">
            <v>0</v>
          </cell>
          <cell r="AS86">
            <v>23</v>
          </cell>
          <cell r="AU86">
            <v>0</v>
          </cell>
          <cell r="AV86">
            <v>46204</v>
          </cell>
          <cell r="AW86">
            <v>46234</v>
          </cell>
          <cell r="BA86">
            <v>9</v>
          </cell>
        </row>
        <row r="87">
          <cell r="A87">
            <v>84</v>
          </cell>
          <cell r="C87" t="str">
            <v>July</v>
          </cell>
          <cell r="D87" t="str">
            <v>107028140103</v>
          </cell>
          <cell r="E87" t="str">
            <v>TAYSON, DANIELLE MAE PANES</v>
          </cell>
          <cell r="F87" t="str">
            <v>Female</v>
          </cell>
          <cell r="G87">
            <v>1</v>
          </cell>
          <cell r="H87">
            <v>1</v>
          </cell>
          <cell r="AR87">
            <v>0</v>
          </cell>
          <cell r="AS87">
            <v>23</v>
          </cell>
          <cell r="AU87">
            <v>0</v>
          </cell>
          <cell r="AV87">
            <v>46204</v>
          </cell>
          <cell r="AW87">
            <v>46234</v>
          </cell>
          <cell r="BA87">
            <v>10</v>
          </cell>
        </row>
        <row r="88">
          <cell r="A88">
            <v>85</v>
          </cell>
          <cell r="C88" t="str">
            <v>July</v>
          </cell>
          <cell r="D88">
            <v>105205140016</v>
          </cell>
          <cell r="E88" t="str">
            <v>FAJARDO, PRINCE DANIEL RODAJE</v>
          </cell>
          <cell r="F88" t="str">
            <v>Female</v>
          </cell>
          <cell r="G88">
            <v>1</v>
          </cell>
          <cell r="H88">
            <v>1</v>
          </cell>
          <cell r="AR88">
            <v>0</v>
          </cell>
          <cell r="AS88">
            <v>23</v>
          </cell>
          <cell r="AU88">
            <v>0</v>
          </cell>
          <cell r="AV88">
            <v>46204</v>
          </cell>
          <cell r="AW88">
            <v>46234</v>
          </cell>
          <cell r="BA88">
            <v>11</v>
          </cell>
        </row>
        <row r="89">
          <cell r="A89">
            <v>86</v>
          </cell>
          <cell r="C89" t="str">
            <v>July</v>
          </cell>
          <cell r="D89" t="str">
            <v/>
          </cell>
          <cell r="E89" t="str">
            <v/>
          </cell>
          <cell r="F89" t="str">
            <v/>
          </cell>
          <cell r="G89" t="str">
            <v/>
          </cell>
          <cell r="H89" t="str">
            <v/>
          </cell>
          <cell r="AR89" t="str">
            <v/>
          </cell>
          <cell r="AS89" t="str">
            <v/>
          </cell>
          <cell r="AU89" t="str">
            <v/>
          </cell>
          <cell r="AV89" t="str">
            <v/>
          </cell>
          <cell r="AW89" t="str">
            <v/>
          </cell>
          <cell r="BA89" t="str">
            <v/>
          </cell>
        </row>
        <row r="90">
          <cell r="A90">
            <v>87</v>
          </cell>
          <cell r="C90" t="str">
            <v>July</v>
          </cell>
          <cell r="D90" t="str">
            <v/>
          </cell>
          <cell r="E90" t="str">
            <v/>
          </cell>
          <cell r="F90" t="str">
            <v/>
          </cell>
          <cell r="G90" t="str">
            <v/>
          </cell>
          <cell r="H90" t="str">
            <v/>
          </cell>
          <cell r="AR90" t="str">
            <v/>
          </cell>
          <cell r="AS90" t="str">
            <v/>
          </cell>
          <cell r="AU90" t="str">
            <v/>
          </cell>
          <cell r="AV90" t="str">
            <v/>
          </cell>
          <cell r="AW90" t="str">
            <v/>
          </cell>
          <cell r="BA90" t="str">
            <v/>
          </cell>
        </row>
        <row r="91">
          <cell r="A91">
            <v>88</v>
          </cell>
          <cell r="C91" t="str">
            <v>July</v>
          </cell>
          <cell r="D91" t="str">
            <v/>
          </cell>
          <cell r="E91" t="str">
            <v/>
          </cell>
          <cell r="F91" t="str">
            <v/>
          </cell>
          <cell r="G91" t="str">
            <v/>
          </cell>
          <cell r="H91" t="str">
            <v/>
          </cell>
          <cell r="AR91" t="str">
            <v/>
          </cell>
          <cell r="AS91" t="str">
            <v/>
          </cell>
          <cell r="AU91" t="str">
            <v/>
          </cell>
          <cell r="AV91" t="str">
            <v/>
          </cell>
          <cell r="AW91" t="str">
            <v/>
          </cell>
          <cell r="BA91" t="str">
            <v/>
          </cell>
        </row>
        <row r="92">
          <cell r="A92">
            <v>89</v>
          </cell>
          <cell r="C92" t="str">
            <v>July</v>
          </cell>
          <cell r="D92" t="str">
            <v/>
          </cell>
          <cell r="E92" t="str">
            <v/>
          </cell>
          <cell r="F92" t="str">
            <v/>
          </cell>
          <cell r="G92" t="str">
            <v/>
          </cell>
          <cell r="H92" t="str">
            <v/>
          </cell>
          <cell r="AR92" t="str">
            <v/>
          </cell>
          <cell r="AS92" t="str">
            <v/>
          </cell>
          <cell r="AU92" t="str">
            <v/>
          </cell>
          <cell r="AV92" t="str">
            <v/>
          </cell>
          <cell r="AW92" t="str">
            <v/>
          </cell>
          <cell r="BA92" t="str">
            <v/>
          </cell>
        </row>
        <row r="93">
          <cell r="A93">
            <v>90</v>
          </cell>
          <cell r="C93" t="str">
            <v>July</v>
          </cell>
          <cell r="D93" t="str">
            <v/>
          </cell>
          <cell r="E93" t="str">
            <v/>
          </cell>
          <cell r="F93" t="str">
            <v/>
          </cell>
          <cell r="G93" t="str">
            <v/>
          </cell>
          <cell r="H93" t="str">
            <v/>
          </cell>
          <cell r="AR93" t="str">
            <v/>
          </cell>
          <cell r="AS93" t="str">
            <v/>
          </cell>
          <cell r="AU93" t="str">
            <v/>
          </cell>
          <cell r="AV93" t="str">
            <v/>
          </cell>
          <cell r="AW93" t="str">
            <v/>
          </cell>
          <cell r="BA93" t="str">
            <v/>
          </cell>
        </row>
        <row r="94">
          <cell r="A94">
            <v>91</v>
          </cell>
          <cell r="C94" t="str">
            <v>July</v>
          </cell>
          <cell r="D94" t="str">
            <v/>
          </cell>
          <cell r="E94" t="str">
            <v/>
          </cell>
          <cell r="F94" t="str">
            <v/>
          </cell>
          <cell r="G94" t="str">
            <v/>
          </cell>
          <cell r="H94" t="str">
            <v/>
          </cell>
          <cell r="AR94" t="str">
            <v/>
          </cell>
          <cell r="AS94" t="str">
            <v/>
          </cell>
          <cell r="AU94" t="str">
            <v/>
          </cell>
          <cell r="AV94" t="str">
            <v/>
          </cell>
          <cell r="AW94" t="str">
            <v/>
          </cell>
          <cell r="BA94" t="str">
            <v/>
          </cell>
        </row>
        <row r="95">
          <cell r="A95">
            <v>92</v>
          </cell>
          <cell r="C95" t="str">
            <v>July</v>
          </cell>
          <cell r="D95" t="str">
            <v/>
          </cell>
          <cell r="E95" t="str">
            <v/>
          </cell>
          <cell r="F95" t="str">
            <v/>
          </cell>
          <cell r="G95" t="str">
            <v/>
          </cell>
          <cell r="H95" t="str">
            <v/>
          </cell>
          <cell r="AR95" t="str">
            <v/>
          </cell>
          <cell r="AS95" t="str">
            <v/>
          </cell>
          <cell r="AU95" t="str">
            <v/>
          </cell>
          <cell r="AV95" t="str">
            <v/>
          </cell>
          <cell r="AW95" t="str">
            <v/>
          </cell>
          <cell r="BA95" t="str">
            <v/>
          </cell>
        </row>
        <row r="96">
          <cell r="A96">
            <v>93</v>
          </cell>
          <cell r="C96" t="str">
            <v>July</v>
          </cell>
          <cell r="D96" t="str">
            <v/>
          </cell>
          <cell r="E96" t="str">
            <v/>
          </cell>
          <cell r="F96" t="str">
            <v/>
          </cell>
          <cell r="G96" t="str">
            <v/>
          </cell>
          <cell r="H96" t="str">
            <v/>
          </cell>
          <cell r="AR96" t="str">
            <v/>
          </cell>
          <cell r="AS96" t="str">
            <v/>
          </cell>
          <cell r="AU96" t="str">
            <v/>
          </cell>
          <cell r="AV96" t="str">
            <v/>
          </cell>
          <cell r="AW96" t="str">
            <v/>
          </cell>
          <cell r="BA96" t="str">
            <v/>
          </cell>
        </row>
        <row r="97">
          <cell r="A97">
            <v>94</v>
          </cell>
          <cell r="C97" t="str">
            <v>July</v>
          </cell>
          <cell r="D97" t="str">
            <v/>
          </cell>
          <cell r="E97" t="str">
            <v/>
          </cell>
          <cell r="F97" t="str">
            <v/>
          </cell>
          <cell r="G97" t="str">
            <v/>
          </cell>
          <cell r="H97" t="str">
            <v/>
          </cell>
          <cell r="AR97" t="str">
            <v/>
          </cell>
          <cell r="AS97" t="str">
            <v/>
          </cell>
          <cell r="AU97" t="str">
            <v/>
          </cell>
          <cell r="AV97" t="str">
            <v/>
          </cell>
          <cell r="AW97" t="str">
            <v/>
          </cell>
          <cell r="BA97" t="str">
            <v/>
          </cell>
        </row>
        <row r="98">
          <cell r="A98">
            <v>95</v>
          </cell>
          <cell r="C98" t="str">
            <v>July</v>
          </cell>
          <cell r="D98" t="str">
            <v/>
          </cell>
          <cell r="E98" t="str">
            <v/>
          </cell>
          <cell r="F98" t="str">
            <v/>
          </cell>
          <cell r="G98" t="str">
            <v/>
          </cell>
          <cell r="H98" t="str">
            <v/>
          </cell>
          <cell r="AR98" t="str">
            <v/>
          </cell>
          <cell r="AS98" t="str">
            <v/>
          </cell>
          <cell r="AU98" t="str">
            <v/>
          </cell>
          <cell r="AV98" t="str">
            <v/>
          </cell>
          <cell r="AW98" t="str">
            <v/>
          </cell>
          <cell r="BA98" t="str">
            <v/>
          </cell>
        </row>
        <row r="99">
          <cell r="A99">
            <v>96</v>
          </cell>
          <cell r="C99" t="str">
            <v>July</v>
          </cell>
          <cell r="D99" t="str">
            <v/>
          </cell>
          <cell r="E99" t="str">
            <v/>
          </cell>
          <cell r="F99" t="str">
            <v/>
          </cell>
          <cell r="G99" t="str">
            <v/>
          </cell>
          <cell r="H99" t="str">
            <v/>
          </cell>
          <cell r="AR99" t="str">
            <v/>
          </cell>
          <cell r="AS99" t="str">
            <v/>
          </cell>
          <cell r="AU99" t="str">
            <v/>
          </cell>
          <cell r="AV99" t="str">
            <v/>
          </cell>
          <cell r="AW99" t="str">
            <v/>
          </cell>
          <cell r="BA99" t="str">
            <v/>
          </cell>
        </row>
        <row r="100">
          <cell r="A100">
            <v>97</v>
          </cell>
          <cell r="C100" t="str">
            <v>July</v>
          </cell>
          <cell r="D100" t="str">
            <v/>
          </cell>
          <cell r="E100" t="str">
            <v/>
          </cell>
          <cell r="F100" t="str">
            <v/>
          </cell>
          <cell r="G100" t="str">
            <v/>
          </cell>
          <cell r="H100" t="str">
            <v/>
          </cell>
          <cell r="AR100" t="str">
            <v/>
          </cell>
          <cell r="AS100" t="str">
            <v/>
          </cell>
          <cell r="AU100" t="str">
            <v/>
          </cell>
          <cell r="AV100" t="str">
            <v/>
          </cell>
          <cell r="AW100" t="str">
            <v/>
          </cell>
          <cell r="BA100" t="str">
            <v/>
          </cell>
        </row>
        <row r="101">
          <cell r="A101">
            <v>98</v>
          </cell>
          <cell r="C101" t="str">
            <v>July</v>
          </cell>
          <cell r="D101" t="str">
            <v/>
          </cell>
          <cell r="E101" t="str">
            <v/>
          </cell>
          <cell r="F101" t="str">
            <v/>
          </cell>
          <cell r="G101" t="str">
            <v/>
          </cell>
          <cell r="H101" t="str">
            <v/>
          </cell>
          <cell r="AR101" t="str">
            <v/>
          </cell>
          <cell r="AS101" t="str">
            <v/>
          </cell>
          <cell r="AU101" t="str">
            <v/>
          </cell>
          <cell r="AV101" t="str">
            <v/>
          </cell>
          <cell r="AW101" t="str">
            <v/>
          </cell>
          <cell r="BA101" t="str">
            <v/>
          </cell>
        </row>
        <row r="102">
          <cell r="A102">
            <v>99</v>
          </cell>
          <cell r="C102" t="str">
            <v>July</v>
          </cell>
          <cell r="D102" t="str">
            <v/>
          </cell>
          <cell r="E102" t="str">
            <v/>
          </cell>
          <cell r="F102" t="str">
            <v/>
          </cell>
          <cell r="G102" t="str">
            <v/>
          </cell>
          <cell r="H102" t="str">
            <v/>
          </cell>
          <cell r="AR102" t="str">
            <v/>
          </cell>
          <cell r="AS102" t="str">
            <v/>
          </cell>
          <cell r="AU102" t="str">
            <v/>
          </cell>
          <cell r="AV102" t="str">
            <v/>
          </cell>
          <cell r="AW102" t="str">
            <v/>
          </cell>
          <cell r="BA102" t="str">
            <v/>
          </cell>
        </row>
        <row r="103">
          <cell r="A103">
            <v>100</v>
          </cell>
          <cell r="C103" t="str">
            <v>July</v>
          </cell>
          <cell r="D103" t="str">
            <v/>
          </cell>
          <cell r="E103" t="str">
            <v/>
          </cell>
          <cell r="F103" t="str">
            <v/>
          </cell>
          <cell r="G103" t="str">
            <v/>
          </cell>
          <cell r="H103" t="str">
            <v/>
          </cell>
          <cell r="AR103" t="str">
            <v/>
          </cell>
          <cell r="AS103" t="str">
            <v/>
          </cell>
          <cell r="AU103" t="str">
            <v/>
          </cell>
          <cell r="AV103" t="str">
            <v/>
          </cell>
          <cell r="AW103" t="str">
            <v/>
          </cell>
          <cell r="BA103" t="str">
            <v/>
          </cell>
        </row>
        <row r="104">
          <cell r="A104">
            <v>101</v>
          </cell>
          <cell r="C104" t="str">
            <v>July</v>
          </cell>
          <cell r="D104" t="str">
            <v/>
          </cell>
          <cell r="E104" t="str">
            <v/>
          </cell>
          <cell r="F104" t="str">
            <v/>
          </cell>
          <cell r="G104" t="str">
            <v/>
          </cell>
          <cell r="H104" t="str">
            <v/>
          </cell>
          <cell r="AR104" t="str">
            <v/>
          </cell>
          <cell r="AS104" t="str">
            <v/>
          </cell>
          <cell r="AU104" t="str">
            <v/>
          </cell>
          <cell r="AV104" t="str">
            <v/>
          </cell>
          <cell r="AW104" t="str">
            <v/>
          </cell>
          <cell r="BA104" t="str">
            <v/>
          </cell>
        </row>
        <row r="105">
          <cell r="A105">
            <v>102</v>
          </cell>
          <cell r="C105" t="str">
            <v>July</v>
          </cell>
          <cell r="D105" t="str">
            <v/>
          </cell>
          <cell r="E105" t="str">
            <v/>
          </cell>
          <cell r="F105" t="str">
            <v/>
          </cell>
          <cell r="G105" t="str">
            <v/>
          </cell>
          <cell r="H105" t="str">
            <v/>
          </cell>
          <cell r="AR105" t="str">
            <v/>
          </cell>
          <cell r="AS105" t="str">
            <v/>
          </cell>
          <cell r="AU105" t="str">
            <v/>
          </cell>
          <cell r="AV105" t="str">
            <v/>
          </cell>
          <cell r="AW105" t="str">
            <v/>
          </cell>
          <cell r="BA105" t="str">
            <v/>
          </cell>
        </row>
        <row r="106">
          <cell r="A106">
            <v>103</v>
          </cell>
          <cell r="C106" t="str">
            <v>July</v>
          </cell>
          <cell r="D106" t="str">
            <v/>
          </cell>
          <cell r="E106" t="str">
            <v/>
          </cell>
          <cell r="F106" t="str">
            <v/>
          </cell>
          <cell r="G106" t="str">
            <v/>
          </cell>
          <cell r="H106" t="str">
            <v/>
          </cell>
          <cell r="AR106" t="str">
            <v/>
          </cell>
          <cell r="AS106" t="str">
            <v/>
          </cell>
          <cell r="AU106" t="str">
            <v/>
          </cell>
          <cell r="AV106" t="str">
            <v/>
          </cell>
          <cell r="AW106" t="str">
            <v/>
          </cell>
          <cell r="BA106" t="str">
            <v/>
          </cell>
        </row>
        <row r="107">
          <cell r="A107">
            <v>104</v>
          </cell>
          <cell r="C107" t="str">
            <v>July</v>
          </cell>
          <cell r="D107" t="str">
            <v/>
          </cell>
          <cell r="E107" t="str">
            <v/>
          </cell>
          <cell r="F107" t="str">
            <v/>
          </cell>
          <cell r="G107" t="str">
            <v/>
          </cell>
          <cell r="H107" t="str">
            <v/>
          </cell>
          <cell r="AR107" t="str">
            <v/>
          </cell>
          <cell r="AS107" t="str">
            <v/>
          </cell>
          <cell r="AU107" t="str">
            <v/>
          </cell>
          <cell r="AV107" t="str">
            <v/>
          </cell>
          <cell r="AW107" t="str">
            <v/>
          </cell>
          <cell r="BA107" t="str">
            <v/>
          </cell>
        </row>
        <row r="108">
          <cell r="A108">
            <v>105</v>
          </cell>
          <cell r="C108" t="str">
            <v>July</v>
          </cell>
          <cell r="D108" t="str">
            <v/>
          </cell>
          <cell r="E108" t="str">
            <v/>
          </cell>
          <cell r="F108" t="str">
            <v/>
          </cell>
          <cell r="G108" t="str">
            <v/>
          </cell>
          <cell r="H108" t="str">
            <v/>
          </cell>
          <cell r="AR108" t="str">
            <v/>
          </cell>
          <cell r="AS108" t="str">
            <v/>
          </cell>
          <cell r="AU108" t="str">
            <v/>
          </cell>
          <cell r="AV108" t="str">
            <v/>
          </cell>
          <cell r="AW108" t="str">
            <v/>
          </cell>
          <cell r="BA108" t="str">
            <v/>
          </cell>
        </row>
        <row r="109">
          <cell r="A109">
            <v>106</v>
          </cell>
          <cell r="C109" t="str">
            <v>July</v>
          </cell>
          <cell r="D109" t="str">
            <v/>
          </cell>
          <cell r="E109" t="str">
            <v/>
          </cell>
          <cell r="F109" t="str">
            <v/>
          </cell>
          <cell r="G109" t="str">
            <v/>
          </cell>
          <cell r="H109" t="str">
            <v/>
          </cell>
          <cell r="AR109" t="str">
            <v/>
          </cell>
          <cell r="AS109" t="str">
            <v/>
          </cell>
          <cell r="AU109" t="str">
            <v/>
          </cell>
          <cell r="AV109" t="str">
            <v/>
          </cell>
          <cell r="AW109" t="str">
            <v/>
          </cell>
          <cell r="BA109" t="str">
            <v/>
          </cell>
        </row>
        <row r="110">
          <cell r="A110">
            <v>107</v>
          </cell>
          <cell r="C110" t="str">
            <v>July</v>
          </cell>
          <cell r="D110" t="str">
            <v/>
          </cell>
          <cell r="E110" t="str">
            <v/>
          </cell>
          <cell r="F110" t="str">
            <v/>
          </cell>
          <cell r="G110" t="str">
            <v/>
          </cell>
          <cell r="H110" t="str">
            <v/>
          </cell>
          <cell r="AR110" t="str">
            <v/>
          </cell>
          <cell r="AS110" t="str">
            <v/>
          </cell>
          <cell r="AU110" t="str">
            <v/>
          </cell>
          <cell r="AV110" t="str">
            <v/>
          </cell>
          <cell r="AW110" t="str">
            <v/>
          </cell>
          <cell r="BA110" t="str">
            <v/>
          </cell>
        </row>
        <row r="111">
          <cell r="A111">
            <v>108</v>
          </cell>
          <cell r="C111" t="str">
            <v>July</v>
          </cell>
          <cell r="D111" t="str">
            <v/>
          </cell>
          <cell r="E111" t="str">
            <v/>
          </cell>
          <cell r="F111" t="str">
            <v/>
          </cell>
          <cell r="G111" t="str">
            <v/>
          </cell>
          <cell r="H111" t="str">
            <v/>
          </cell>
          <cell r="AR111" t="str">
            <v/>
          </cell>
          <cell r="AS111" t="str">
            <v/>
          </cell>
          <cell r="AU111" t="str">
            <v/>
          </cell>
          <cell r="AV111" t="str">
            <v/>
          </cell>
          <cell r="AW111" t="str">
            <v/>
          </cell>
          <cell r="BA111" t="str">
            <v/>
          </cell>
        </row>
        <row r="112">
          <cell r="A112">
            <v>109</v>
          </cell>
          <cell r="C112" t="str">
            <v>July</v>
          </cell>
          <cell r="D112" t="str">
            <v/>
          </cell>
          <cell r="E112" t="str">
            <v/>
          </cell>
          <cell r="F112" t="str">
            <v/>
          </cell>
          <cell r="G112" t="str">
            <v/>
          </cell>
          <cell r="H112" t="str">
            <v/>
          </cell>
          <cell r="AR112" t="str">
            <v/>
          </cell>
          <cell r="AS112" t="str">
            <v/>
          </cell>
          <cell r="AU112" t="str">
            <v/>
          </cell>
          <cell r="AV112" t="str">
            <v/>
          </cell>
          <cell r="AW112" t="str">
            <v/>
          </cell>
          <cell r="BA112" t="str">
            <v/>
          </cell>
        </row>
        <row r="113">
          <cell r="A113">
            <v>110</v>
          </cell>
          <cell r="C113" t="str">
            <v>July</v>
          </cell>
          <cell r="D113" t="str">
            <v/>
          </cell>
          <cell r="E113" t="str">
            <v/>
          </cell>
          <cell r="F113" t="str">
            <v/>
          </cell>
          <cell r="G113" t="str">
            <v/>
          </cell>
          <cell r="H113" t="str">
            <v/>
          </cell>
          <cell r="AR113" t="str">
            <v/>
          </cell>
          <cell r="AS113" t="str">
            <v/>
          </cell>
          <cell r="AU113" t="str">
            <v/>
          </cell>
          <cell r="AV113" t="str">
            <v/>
          </cell>
          <cell r="AW113" t="str">
            <v/>
          </cell>
          <cell r="BA113" t="str">
            <v/>
          </cell>
        </row>
        <row r="114">
          <cell r="A114">
            <v>111</v>
          </cell>
          <cell r="C114" t="str">
            <v>July</v>
          </cell>
          <cell r="D114" t="str">
            <v/>
          </cell>
          <cell r="E114" t="str">
            <v/>
          </cell>
          <cell r="F114" t="str">
            <v/>
          </cell>
          <cell r="G114" t="str">
            <v/>
          </cell>
          <cell r="H114" t="str">
            <v/>
          </cell>
          <cell r="AR114" t="str">
            <v/>
          </cell>
          <cell r="AS114" t="str">
            <v/>
          </cell>
          <cell r="AU114" t="str">
            <v/>
          </cell>
          <cell r="AV114" t="str">
            <v/>
          </cell>
          <cell r="AW114" t="str">
            <v/>
          </cell>
          <cell r="BA114" t="str">
            <v/>
          </cell>
        </row>
        <row r="115">
          <cell r="A115">
            <v>112</v>
          </cell>
          <cell r="C115" t="str">
            <v>July</v>
          </cell>
          <cell r="D115" t="str">
            <v/>
          </cell>
          <cell r="E115" t="str">
            <v/>
          </cell>
          <cell r="F115" t="str">
            <v/>
          </cell>
          <cell r="G115" t="str">
            <v/>
          </cell>
          <cell r="H115" t="str">
            <v/>
          </cell>
          <cell r="AR115" t="str">
            <v/>
          </cell>
          <cell r="AS115" t="str">
            <v/>
          </cell>
          <cell r="AU115" t="str">
            <v/>
          </cell>
          <cell r="AV115" t="str">
            <v/>
          </cell>
          <cell r="AW115" t="str">
            <v/>
          </cell>
          <cell r="BA115" t="str">
            <v/>
          </cell>
        </row>
        <row r="116">
          <cell r="A116">
            <v>113</v>
          </cell>
          <cell r="C116" t="str">
            <v>July</v>
          </cell>
          <cell r="D116" t="str">
            <v/>
          </cell>
          <cell r="E116" t="str">
            <v/>
          </cell>
          <cell r="F116" t="str">
            <v/>
          </cell>
          <cell r="G116" t="str">
            <v/>
          </cell>
          <cell r="H116" t="str">
            <v/>
          </cell>
          <cell r="AR116" t="str">
            <v/>
          </cell>
          <cell r="AS116" t="str">
            <v/>
          </cell>
          <cell r="AU116" t="str">
            <v/>
          </cell>
          <cell r="AV116" t="str">
            <v/>
          </cell>
          <cell r="AW116" t="str">
            <v/>
          </cell>
          <cell r="BA116" t="str">
            <v/>
          </cell>
        </row>
        <row r="117">
          <cell r="A117">
            <v>114</v>
          </cell>
          <cell r="C117" t="str">
            <v>July</v>
          </cell>
          <cell r="D117" t="str">
            <v/>
          </cell>
          <cell r="E117" t="str">
            <v/>
          </cell>
          <cell r="F117" t="str">
            <v/>
          </cell>
          <cell r="G117" t="str">
            <v/>
          </cell>
          <cell r="H117" t="str">
            <v/>
          </cell>
          <cell r="AR117" t="str">
            <v/>
          </cell>
          <cell r="AS117" t="str">
            <v/>
          </cell>
          <cell r="AU117" t="str">
            <v/>
          </cell>
          <cell r="AV117" t="str">
            <v/>
          </cell>
          <cell r="AW117" t="str">
            <v/>
          </cell>
          <cell r="BA117" t="str">
            <v/>
          </cell>
        </row>
        <row r="118">
          <cell r="A118">
            <v>115</v>
          </cell>
          <cell r="C118" t="str">
            <v>July</v>
          </cell>
          <cell r="D118" t="str">
            <v/>
          </cell>
          <cell r="E118" t="str">
            <v/>
          </cell>
          <cell r="F118" t="str">
            <v/>
          </cell>
          <cell r="G118" t="str">
            <v/>
          </cell>
          <cell r="H118" t="str">
            <v/>
          </cell>
          <cell r="AR118" t="str">
            <v/>
          </cell>
          <cell r="AS118" t="str">
            <v/>
          </cell>
          <cell r="AU118" t="str">
            <v/>
          </cell>
          <cell r="AV118" t="str">
            <v/>
          </cell>
          <cell r="AW118" t="str">
            <v/>
          </cell>
          <cell r="BA118" t="str">
            <v/>
          </cell>
        </row>
        <row r="119">
          <cell r="A119">
            <v>116</v>
          </cell>
          <cell r="C119" t="str">
            <v>July</v>
          </cell>
          <cell r="D119" t="str">
            <v/>
          </cell>
          <cell r="E119" t="str">
            <v/>
          </cell>
          <cell r="F119" t="str">
            <v/>
          </cell>
          <cell r="G119" t="str">
            <v/>
          </cell>
          <cell r="H119" t="str">
            <v/>
          </cell>
          <cell r="AR119" t="str">
            <v/>
          </cell>
          <cell r="AS119" t="str">
            <v/>
          </cell>
          <cell r="AU119" t="str">
            <v/>
          </cell>
          <cell r="AV119" t="str">
            <v/>
          </cell>
          <cell r="AW119" t="str">
            <v/>
          </cell>
          <cell r="BA119" t="str">
            <v/>
          </cell>
        </row>
        <row r="120">
          <cell r="A120">
            <v>117</v>
          </cell>
          <cell r="C120" t="str">
            <v>July</v>
          </cell>
          <cell r="D120" t="str">
            <v/>
          </cell>
          <cell r="E120" t="str">
            <v/>
          </cell>
          <cell r="F120" t="str">
            <v/>
          </cell>
          <cell r="G120" t="str">
            <v/>
          </cell>
          <cell r="H120" t="str">
            <v/>
          </cell>
          <cell r="AR120" t="str">
            <v/>
          </cell>
          <cell r="AS120" t="str">
            <v/>
          </cell>
          <cell r="AU120" t="str">
            <v/>
          </cell>
          <cell r="AV120" t="str">
            <v/>
          </cell>
          <cell r="AW120" t="str">
            <v/>
          </cell>
          <cell r="BA120" t="str">
            <v/>
          </cell>
        </row>
        <row r="121">
          <cell r="A121">
            <v>118</v>
          </cell>
          <cell r="C121" t="str">
            <v>July</v>
          </cell>
          <cell r="D121" t="str">
            <v/>
          </cell>
          <cell r="E121" t="str">
            <v/>
          </cell>
          <cell r="F121" t="str">
            <v/>
          </cell>
          <cell r="G121" t="str">
            <v/>
          </cell>
          <cell r="H121" t="str">
            <v/>
          </cell>
          <cell r="AR121" t="str">
            <v/>
          </cell>
          <cell r="AS121" t="str">
            <v/>
          </cell>
          <cell r="AU121" t="str">
            <v/>
          </cell>
          <cell r="AV121" t="str">
            <v/>
          </cell>
          <cell r="AW121" t="str">
            <v/>
          </cell>
          <cell r="BA121" t="str">
            <v/>
          </cell>
        </row>
        <row r="122">
          <cell r="A122">
            <v>119</v>
          </cell>
          <cell r="C122" t="str">
            <v>July</v>
          </cell>
          <cell r="D122" t="str">
            <v/>
          </cell>
          <cell r="E122" t="str">
            <v/>
          </cell>
          <cell r="F122" t="str">
            <v/>
          </cell>
          <cell r="G122" t="str">
            <v/>
          </cell>
          <cell r="H122" t="str">
            <v/>
          </cell>
          <cell r="AR122" t="str">
            <v/>
          </cell>
          <cell r="AS122" t="str">
            <v/>
          </cell>
          <cell r="AU122" t="str">
            <v/>
          </cell>
          <cell r="AV122" t="str">
            <v/>
          </cell>
          <cell r="AW122" t="str">
            <v/>
          </cell>
          <cell r="BA122" t="str">
            <v/>
          </cell>
        </row>
        <row r="123">
          <cell r="A123">
            <v>120</v>
          </cell>
          <cell r="C123" t="str">
            <v>July</v>
          </cell>
          <cell r="D123" t="str">
            <v/>
          </cell>
          <cell r="E123" t="str">
            <v/>
          </cell>
          <cell r="F123" t="str">
            <v/>
          </cell>
          <cell r="G123" t="str">
            <v/>
          </cell>
          <cell r="H123" t="str">
            <v/>
          </cell>
          <cell r="AR123" t="str">
            <v/>
          </cell>
          <cell r="AS123" t="str">
            <v/>
          </cell>
          <cell r="AU123" t="str">
            <v/>
          </cell>
          <cell r="AV123" t="str">
            <v/>
          </cell>
          <cell r="AW123" t="str">
            <v/>
          </cell>
          <cell r="BA123" t="str">
            <v/>
          </cell>
        </row>
        <row r="124">
          <cell r="A124">
            <v>121</v>
          </cell>
          <cell r="C124" t="str">
            <v>August</v>
          </cell>
          <cell r="D124" t="str">
            <v>122625140006</v>
          </cell>
          <cell r="E124" t="str">
            <v>ACAYAN, ELIJAH DITALO</v>
          </cell>
          <cell r="F124" t="str">
            <v>Male</v>
          </cell>
          <cell r="G124">
            <v>1</v>
          </cell>
          <cell r="H124">
            <v>1</v>
          </cell>
          <cell r="AR124">
            <v>0</v>
          </cell>
          <cell r="AS124">
            <v>19</v>
          </cell>
          <cell r="AU124">
            <v>0</v>
          </cell>
          <cell r="AV124">
            <v>46237</v>
          </cell>
          <cell r="AW124">
            <v>46262</v>
          </cell>
          <cell r="BA124">
            <v>1</v>
          </cell>
        </row>
        <row r="125">
          <cell r="A125">
            <v>122</v>
          </cell>
          <cell r="C125" t="str">
            <v>August</v>
          </cell>
          <cell r="D125" t="str">
            <v>419658160041</v>
          </cell>
          <cell r="E125" t="str">
            <v>ARCILLA, KYLE XANDRE MATUS</v>
          </cell>
          <cell r="F125" t="str">
            <v>Male</v>
          </cell>
          <cell r="G125">
            <v>1</v>
          </cell>
          <cell r="H125">
            <v>1</v>
          </cell>
          <cell r="AR125">
            <v>0</v>
          </cell>
          <cell r="AS125">
            <v>19</v>
          </cell>
          <cell r="AU125">
            <v>0</v>
          </cell>
          <cell r="AV125">
            <v>46237</v>
          </cell>
          <cell r="AW125">
            <v>46262</v>
          </cell>
          <cell r="BA125">
            <v>2</v>
          </cell>
        </row>
        <row r="126">
          <cell r="A126">
            <v>123</v>
          </cell>
          <cell r="C126" t="str">
            <v>August</v>
          </cell>
          <cell r="D126" t="str">
            <v>104015140057</v>
          </cell>
          <cell r="E126" t="str">
            <v>CAPAYAN, DENVER CORPUZ</v>
          </cell>
          <cell r="F126" t="str">
            <v>Male</v>
          </cell>
          <cell r="G126">
            <v>1</v>
          </cell>
          <cell r="H126">
            <v>1</v>
          </cell>
          <cell r="AR126">
            <v>0</v>
          </cell>
          <cell r="AS126">
            <v>19</v>
          </cell>
          <cell r="AU126">
            <v>0</v>
          </cell>
          <cell r="AV126">
            <v>46237</v>
          </cell>
          <cell r="AW126">
            <v>46262</v>
          </cell>
          <cell r="BA126">
            <v>3</v>
          </cell>
        </row>
        <row r="127">
          <cell r="A127">
            <v>124</v>
          </cell>
          <cell r="C127" t="str">
            <v>August</v>
          </cell>
          <cell r="D127" t="str">
            <v>107023140026</v>
          </cell>
          <cell r="E127" t="str">
            <v>DOMINGO, FRYNNS LIAM ATIENZA</v>
          </cell>
          <cell r="F127" t="str">
            <v>Male</v>
          </cell>
          <cell r="G127">
            <v>1</v>
          </cell>
          <cell r="H127">
            <v>1</v>
          </cell>
          <cell r="AR127">
            <v>0</v>
          </cell>
          <cell r="AS127">
            <v>19</v>
          </cell>
          <cell r="AU127">
            <v>0</v>
          </cell>
          <cell r="AV127">
            <v>46237</v>
          </cell>
          <cell r="AW127">
            <v>46262</v>
          </cell>
          <cell r="BA127">
            <v>4</v>
          </cell>
        </row>
        <row r="128">
          <cell r="A128">
            <v>125</v>
          </cell>
          <cell r="C128" t="str">
            <v>August</v>
          </cell>
          <cell r="D128" t="str">
            <v>110347140023</v>
          </cell>
          <cell r="E128" t="str">
            <v>DUMADALUG, JAMES DIZON</v>
          </cell>
          <cell r="F128" t="str">
            <v>Male</v>
          </cell>
          <cell r="G128">
            <v>1</v>
          </cell>
          <cell r="H128">
            <v>1</v>
          </cell>
          <cell r="AR128">
            <v>0</v>
          </cell>
          <cell r="AS128">
            <v>19</v>
          </cell>
          <cell r="AU128">
            <v>0</v>
          </cell>
          <cell r="AV128">
            <v>46237</v>
          </cell>
          <cell r="AW128">
            <v>46262</v>
          </cell>
          <cell r="BA128">
            <v>5</v>
          </cell>
        </row>
        <row r="129">
          <cell r="A129">
            <v>126</v>
          </cell>
          <cell r="C129" t="str">
            <v>August</v>
          </cell>
          <cell r="D129" t="str">
            <v>107031140010</v>
          </cell>
          <cell r="E129" t="str">
            <v>GARCIA, KIRK NATHAN BOLSICO</v>
          </cell>
          <cell r="F129" t="str">
            <v>Male</v>
          </cell>
          <cell r="G129">
            <v>1</v>
          </cell>
          <cell r="H129">
            <v>1</v>
          </cell>
          <cell r="AR129">
            <v>0</v>
          </cell>
          <cell r="AS129">
            <v>19</v>
          </cell>
          <cell r="AU129">
            <v>0</v>
          </cell>
          <cell r="AV129">
            <v>46237</v>
          </cell>
          <cell r="AW129">
            <v>46262</v>
          </cell>
          <cell r="BA129">
            <v>6</v>
          </cell>
        </row>
        <row r="130">
          <cell r="A130">
            <v>127</v>
          </cell>
          <cell r="C130" t="str">
            <v>August</v>
          </cell>
          <cell r="D130" t="str">
            <v>107061140477</v>
          </cell>
          <cell r="E130" t="str">
            <v>GUEVARRA, SEAD SYRON CORPUZ</v>
          </cell>
          <cell r="F130" t="str">
            <v>Male</v>
          </cell>
          <cell r="G130">
            <v>1</v>
          </cell>
          <cell r="H130">
            <v>1</v>
          </cell>
          <cell r="AR130">
            <v>0</v>
          </cell>
          <cell r="AS130">
            <v>19</v>
          </cell>
          <cell r="AU130">
            <v>0</v>
          </cell>
          <cell r="AV130">
            <v>46237</v>
          </cell>
          <cell r="AW130">
            <v>46262</v>
          </cell>
          <cell r="BA130">
            <v>7</v>
          </cell>
        </row>
        <row r="131">
          <cell r="A131">
            <v>128</v>
          </cell>
          <cell r="C131" t="str">
            <v>August</v>
          </cell>
          <cell r="D131" t="str">
            <v>133624150052</v>
          </cell>
          <cell r="E131" t="str">
            <v>MACAPANTON, ALIMAN SULTAN</v>
          </cell>
          <cell r="F131" t="str">
            <v>Male</v>
          </cell>
          <cell r="G131">
            <v>1</v>
          </cell>
          <cell r="H131">
            <v>1</v>
          </cell>
          <cell r="AR131">
            <v>0</v>
          </cell>
          <cell r="AS131">
            <v>19</v>
          </cell>
          <cell r="AU131">
            <v>0</v>
          </cell>
          <cell r="AV131">
            <v>46237</v>
          </cell>
          <cell r="AW131">
            <v>46262</v>
          </cell>
          <cell r="BA131">
            <v>8</v>
          </cell>
        </row>
        <row r="132">
          <cell r="A132">
            <v>129</v>
          </cell>
          <cell r="C132" t="str">
            <v>August</v>
          </cell>
          <cell r="D132" t="str">
            <v>107027140164</v>
          </cell>
          <cell r="E132" t="str">
            <v>MEJIA, FRANCIS KHIAN LLARENA</v>
          </cell>
          <cell r="F132" t="str">
            <v>Male</v>
          </cell>
          <cell r="G132">
            <v>1</v>
          </cell>
          <cell r="H132">
            <v>1</v>
          </cell>
          <cell r="AR132">
            <v>0</v>
          </cell>
          <cell r="AS132">
            <v>19</v>
          </cell>
          <cell r="AU132">
            <v>0</v>
          </cell>
          <cell r="AV132">
            <v>46237</v>
          </cell>
          <cell r="AW132">
            <v>46262</v>
          </cell>
          <cell r="BA132">
            <v>9</v>
          </cell>
        </row>
        <row r="133">
          <cell r="A133">
            <v>130</v>
          </cell>
          <cell r="C133" t="str">
            <v>August</v>
          </cell>
          <cell r="D133" t="str">
            <v>107185140032</v>
          </cell>
          <cell r="E133" t="str">
            <v>NERI, GABRIEL BRIONES</v>
          </cell>
          <cell r="F133" t="str">
            <v>Male</v>
          </cell>
          <cell r="G133">
            <v>1</v>
          </cell>
          <cell r="H133">
            <v>1</v>
          </cell>
          <cell r="AR133">
            <v>0</v>
          </cell>
          <cell r="AS133">
            <v>19</v>
          </cell>
          <cell r="AU133">
            <v>0</v>
          </cell>
          <cell r="AV133">
            <v>46237</v>
          </cell>
          <cell r="AW133">
            <v>46262</v>
          </cell>
          <cell r="BA133">
            <v>10</v>
          </cell>
        </row>
        <row r="134">
          <cell r="A134">
            <v>131</v>
          </cell>
          <cell r="C134" t="str">
            <v>August</v>
          </cell>
          <cell r="D134" t="str">
            <v>107057130479</v>
          </cell>
          <cell r="E134" t="str">
            <v>PAYABYAB, SHELTER RAIN ALEJANDRO</v>
          </cell>
          <cell r="F134" t="str">
            <v>Male</v>
          </cell>
          <cell r="G134">
            <v>1</v>
          </cell>
          <cell r="H134">
            <v>1</v>
          </cell>
          <cell r="AR134">
            <v>0</v>
          </cell>
          <cell r="AS134">
            <v>19</v>
          </cell>
          <cell r="AU134">
            <v>0</v>
          </cell>
          <cell r="AV134">
            <v>46237</v>
          </cell>
          <cell r="AW134">
            <v>46262</v>
          </cell>
          <cell r="BA134">
            <v>11</v>
          </cell>
        </row>
        <row r="135">
          <cell r="A135">
            <v>132</v>
          </cell>
          <cell r="C135" t="str">
            <v>August</v>
          </cell>
          <cell r="D135" t="str">
            <v>113420140126</v>
          </cell>
          <cell r="E135" t="str">
            <v>RAMIREZ, RENCES DWANE RAMONES</v>
          </cell>
          <cell r="F135" t="str">
            <v>Male</v>
          </cell>
          <cell r="G135">
            <v>1</v>
          </cell>
          <cell r="H135">
            <v>1</v>
          </cell>
          <cell r="AR135">
            <v>0</v>
          </cell>
          <cell r="AS135">
            <v>19</v>
          </cell>
          <cell r="AU135">
            <v>0</v>
          </cell>
          <cell r="AV135">
            <v>46237</v>
          </cell>
          <cell r="AW135">
            <v>46262</v>
          </cell>
          <cell r="BA135">
            <v>12</v>
          </cell>
        </row>
        <row r="136">
          <cell r="A136">
            <v>133</v>
          </cell>
          <cell r="C136" t="str">
            <v>August</v>
          </cell>
          <cell r="D136" t="str">
            <v>107048150273</v>
          </cell>
          <cell r="E136" t="str">
            <v>SUGAY, ASHTON GUTIERREZ</v>
          </cell>
          <cell r="F136" t="str">
            <v>Male</v>
          </cell>
          <cell r="G136">
            <v>1</v>
          </cell>
          <cell r="H136">
            <v>1</v>
          </cell>
          <cell r="AR136">
            <v>0</v>
          </cell>
          <cell r="AS136">
            <v>19</v>
          </cell>
          <cell r="AU136">
            <v>0</v>
          </cell>
          <cell r="AV136">
            <v>46237</v>
          </cell>
          <cell r="AW136">
            <v>46262</v>
          </cell>
          <cell r="BA136">
            <v>13</v>
          </cell>
        </row>
        <row r="137">
          <cell r="A137">
            <v>134</v>
          </cell>
          <cell r="C137" t="str">
            <v>August</v>
          </cell>
          <cell r="D137">
            <v>107032140054</v>
          </cell>
          <cell r="E137" t="str">
            <v>SANTIAGO, JARED ALBERTH BARREDA</v>
          </cell>
          <cell r="F137" t="str">
            <v>Male</v>
          </cell>
          <cell r="G137">
            <v>1</v>
          </cell>
          <cell r="H137">
            <v>1</v>
          </cell>
          <cell r="AR137">
            <v>0</v>
          </cell>
          <cell r="AS137">
            <v>19</v>
          </cell>
          <cell r="AU137">
            <v>0</v>
          </cell>
          <cell r="AV137">
            <v>46237</v>
          </cell>
          <cell r="AW137">
            <v>46262</v>
          </cell>
          <cell r="BA137">
            <v>14</v>
          </cell>
        </row>
        <row r="138">
          <cell r="A138">
            <v>135</v>
          </cell>
          <cell r="C138" t="str">
            <v>August</v>
          </cell>
          <cell r="D138" t="str">
            <v>122379140033</v>
          </cell>
          <cell r="E138" t="str">
            <v>ACAYAN, HANNAH NICOLE COSTUNA</v>
          </cell>
          <cell r="F138" t="str">
            <v>Female</v>
          </cell>
          <cell r="G138">
            <v>1</v>
          </cell>
          <cell r="H138">
            <v>1</v>
          </cell>
          <cell r="AR138">
            <v>0</v>
          </cell>
          <cell r="AS138">
            <v>19</v>
          </cell>
          <cell r="AU138">
            <v>0</v>
          </cell>
          <cell r="AV138">
            <v>46237</v>
          </cell>
          <cell r="AW138">
            <v>46262</v>
          </cell>
          <cell r="BA138">
            <v>1</v>
          </cell>
        </row>
        <row r="139">
          <cell r="A139">
            <v>136</v>
          </cell>
          <cell r="C139" t="str">
            <v>August</v>
          </cell>
          <cell r="D139" t="str">
            <v>107041140509</v>
          </cell>
          <cell r="E139" t="str">
            <v>AREÑEZ, FRANCHESKA OCAMPO</v>
          </cell>
          <cell r="F139" t="str">
            <v>Female</v>
          </cell>
          <cell r="G139">
            <v>1</v>
          </cell>
          <cell r="H139">
            <v>1</v>
          </cell>
          <cell r="AR139">
            <v>0</v>
          </cell>
          <cell r="AS139">
            <v>19</v>
          </cell>
          <cell r="AU139">
            <v>0</v>
          </cell>
          <cell r="AV139">
            <v>46237</v>
          </cell>
          <cell r="AW139">
            <v>46262</v>
          </cell>
          <cell r="BA139">
            <v>2</v>
          </cell>
        </row>
        <row r="140">
          <cell r="A140">
            <v>137</v>
          </cell>
          <cell r="C140" t="str">
            <v>August</v>
          </cell>
          <cell r="D140" t="str">
            <v>159547140065</v>
          </cell>
          <cell r="E140" t="str">
            <v>BALUCANAG, CHLOE LIAN GALINO</v>
          </cell>
          <cell r="F140" t="str">
            <v>Female</v>
          </cell>
          <cell r="G140">
            <v>1</v>
          </cell>
          <cell r="H140">
            <v>1</v>
          </cell>
          <cell r="AR140">
            <v>0</v>
          </cell>
          <cell r="AS140">
            <v>19</v>
          </cell>
          <cell r="AU140">
            <v>0</v>
          </cell>
          <cell r="AV140">
            <v>46237</v>
          </cell>
          <cell r="AW140">
            <v>46262</v>
          </cell>
          <cell r="BA140">
            <v>3</v>
          </cell>
        </row>
        <row r="141">
          <cell r="A141">
            <v>138</v>
          </cell>
          <cell r="C141" t="str">
            <v>August</v>
          </cell>
          <cell r="D141" t="str">
            <v>107022140163</v>
          </cell>
          <cell r="E141" t="str">
            <v>BIE, JOHN RAIN MAGTOTO</v>
          </cell>
          <cell r="F141" t="str">
            <v>Female</v>
          </cell>
          <cell r="G141">
            <v>1</v>
          </cell>
          <cell r="H141">
            <v>1</v>
          </cell>
          <cell r="AR141">
            <v>0</v>
          </cell>
          <cell r="AS141">
            <v>19</v>
          </cell>
          <cell r="AU141">
            <v>0</v>
          </cell>
          <cell r="AV141">
            <v>46237</v>
          </cell>
          <cell r="AW141">
            <v>46262</v>
          </cell>
          <cell r="BA141">
            <v>4</v>
          </cell>
        </row>
        <row r="142">
          <cell r="A142">
            <v>139</v>
          </cell>
          <cell r="C142" t="str">
            <v>August</v>
          </cell>
          <cell r="D142" t="str">
            <v>105935140024</v>
          </cell>
          <cell r="E142" t="str">
            <v>DAVID, ASHLEY LAPUZ</v>
          </cell>
          <cell r="F142" t="str">
            <v>Female</v>
          </cell>
          <cell r="G142">
            <v>1</v>
          </cell>
          <cell r="H142">
            <v>1</v>
          </cell>
          <cell r="AR142">
            <v>0</v>
          </cell>
          <cell r="AS142">
            <v>19</v>
          </cell>
          <cell r="AU142">
            <v>0</v>
          </cell>
          <cell r="AV142">
            <v>46237</v>
          </cell>
          <cell r="AW142">
            <v>46262</v>
          </cell>
          <cell r="BA142">
            <v>5</v>
          </cell>
        </row>
        <row r="143">
          <cell r="A143">
            <v>140</v>
          </cell>
          <cell r="C143" t="str">
            <v>August</v>
          </cell>
          <cell r="D143" t="str">
            <v>106066150025</v>
          </cell>
          <cell r="E143" t="str">
            <v>FLORES, THEA MARIE LUMUYA</v>
          </cell>
          <cell r="F143" t="str">
            <v>Female</v>
          </cell>
          <cell r="G143">
            <v>1</v>
          </cell>
          <cell r="H143">
            <v>1</v>
          </cell>
          <cell r="AR143">
            <v>0</v>
          </cell>
          <cell r="AS143">
            <v>19</v>
          </cell>
          <cell r="AU143">
            <v>0</v>
          </cell>
          <cell r="AV143">
            <v>46237</v>
          </cell>
          <cell r="AW143">
            <v>46262</v>
          </cell>
          <cell r="BA143">
            <v>6</v>
          </cell>
        </row>
        <row r="144">
          <cell r="A144">
            <v>141</v>
          </cell>
          <cell r="C144" t="str">
            <v>August</v>
          </cell>
          <cell r="D144" t="str">
            <v>107032140061</v>
          </cell>
          <cell r="E144" t="str">
            <v>INGAL, SHAINA KYLE PINEDA</v>
          </cell>
          <cell r="F144" t="str">
            <v>Female</v>
          </cell>
          <cell r="G144">
            <v>1</v>
          </cell>
          <cell r="H144">
            <v>1</v>
          </cell>
          <cell r="AR144">
            <v>0</v>
          </cell>
          <cell r="AS144">
            <v>19</v>
          </cell>
          <cell r="AU144">
            <v>0</v>
          </cell>
          <cell r="AV144">
            <v>46237</v>
          </cell>
          <cell r="AW144">
            <v>46262</v>
          </cell>
          <cell r="BA144">
            <v>7</v>
          </cell>
        </row>
        <row r="145">
          <cell r="A145">
            <v>142</v>
          </cell>
          <cell r="C145" t="str">
            <v>August</v>
          </cell>
          <cell r="D145">
            <v>106072140070</v>
          </cell>
          <cell r="E145" t="str">
            <v>MACAPODI, AINA MANGUNTAWAR</v>
          </cell>
          <cell r="F145" t="str">
            <v>Female</v>
          </cell>
          <cell r="G145">
            <v>1</v>
          </cell>
          <cell r="H145">
            <v>1</v>
          </cell>
          <cell r="AR145">
            <v>0</v>
          </cell>
          <cell r="AS145">
            <v>19</v>
          </cell>
          <cell r="AU145">
            <v>0</v>
          </cell>
          <cell r="AV145">
            <v>46237</v>
          </cell>
          <cell r="AW145">
            <v>46262</v>
          </cell>
          <cell r="BA145">
            <v>8</v>
          </cell>
        </row>
        <row r="146">
          <cell r="A146">
            <v>143</v>
          </cell>
          <cell r="C146" t="str">
            <v>August</v>
          </cell>
          <cell r="D146" t="str">
            <v>136634150917</v>
          </cell>
          <cell r="E146" t="str">
            <v>MIPAMPANG, RASHEDA BASCARA</v>
          </cell>
          <cell r="F146" t="str">
            <v>Female</v>
          </cell>
          <cell r="G146">
            <v>1</v>
          </cell>
          <cell r="H146">
            <v>1</v>
          </cell>
          <cell r="AR146">
            <v>0</v>
          </cell>
          <cell r="AS146">
            <v>19</v>
          </cell>
          <cell r="AU146">
            <v>0</v>
          </cell>
          <cell r="AV146">
            <v>46237</v>
          </cell>
          <cell r="AW146">
            <v>46262</v>
          </cell>
          <cell r="BA146">
            <v>9</v>
          </cell>
        </row>
        <row r="147">
          <cell r="A147">
            <v>144</v>
          </cell>
          <cell r="C147" t="str">
            <v>August</v>
          </cell>
          <cell r="D147" t="str">
            <v>107028140103</v>
          </cell>
          <cell r="E147" t="str">
            <v>TAYSON, DANIELLE MAE PANES</v>
          </cell>
          <cell r="F147" t="str">
            <v>Female</v>
          </cell>
          <cell r="G147">
            <v>1</v>
          </cell>
          <cell r="H147">
            <v>1</v>
          </cell>
          <cell r="AR147">
            <v>0</v>
          </cell>
          <cell r="AS147">
            <v>19</v>
          </cell>
          <cell r="AU147">
            <v>0</v>
          </cell>
          <cell r="AV147">
            <v>46237</v>
          </cell>
          <cell r="AW147">
            <v>46262</v>
          </cell>
          <cell r="BA147">
            <v>10</v>
          </cell>
        </row>
        <row r="148">
          <cell r="A148">
            <v>145</v>
          </cell>
          <cell r="C148" t="str">
            <v>August</v>
          </cell>
          <cell r="D148">
            <v>105205140016</v>
          </cell>
          <cell r="E148" t="str">
            <v>FAJARDO, PRINCE DANIEL RODAJE</v>
          </cell>
          <cell r="F148" t="str">
            <v>Female</v>
          </cell>
          <cell r="G148">
            <v>1</v>
          </cell>
          <cell r="H148">
            <v>1</v>
          </cell>
          <cell r="AR148">
            <v>0</v>
          </cell>
          <cell r="AS148">
            <v>19</v>
          </cell>
          <cell r="AU148">
            <v>0</v>
          </cell>
          <cell r="AV148">
            <v>46237</v>
          </cell>
          <cell r="AW148">
            <v>46262</v>
          </cell>
          <cell r="BA148">
            <v>11</v>
          </cell>
        </row>
        <row r="149">
          <cell r="A149">
            <v>146</v>
          </cell>
          <cell r="C149" t="str">
            <v>August</v>
          </cell>
          <cell r="D149" t="str">
            <v/>
          </cell>
          <cell r="E149" t="str">
            <v/>
          </cell>
          <cell r="F149" t="str">
            <v/>
          </cell>
          <cell r="G149" t="str">
            <v/>
          </cell>
          <cell r="H149" t="str">
            <v/>
          </cell>
          <cell r="AR149" t="str">
            <v/>
          </cell>
          <cell r="AS149" t="str">
            <v/>
          </cell>
          <cell r="AU149" t="str">
            <v/>
          </cell>
          <cell r="AV149" t="str">
            <v/>
          </cell>
          <cell r="AW149" t="str">
            <v/>
          </cell>
          <cell r="BA149" t="str">
            <v/>
          </cell>
        </row>
        <row r="150">
          <cell r="A150">
            <v>147</v>
          </cell>
          <cell r="C150" t="str">
            <v>August</v>
          </cell>
          <cell r="D150" t="str">
            <v/>
          </cell>
          <cell r="E150" t="str">
            <v/>
          </cell>
          <cell r="F150" t="str">
            <v/>
          </cell>
          <cell r="G150" t="str">
            <v/>
          </cell>
          <cell r="H150" t="str">
            <v/>
          </cell>
          <cell r="AR150" t="str">
            <v/>
          </cell>
          <cell r="AS150" t="str">
            <v/>
          </cell>
          <cell r="AU150" t="str">
            <v/>
          </cell>
          <cell r="AV150" t="str">
            <v/>
          </cell>
          <cell r="AW150" t="str">
            <v/>
          </cell>
          <cell r="BA150" t="str">
            <v/>
          </cell>
        </row>
        <row r="151">
          <cell r="A151">
            <v>148</v>
          </cell>
          <cell r="C151" t="str">
            <v>August</v>
          </cell>
          <cell r="D151" t="str">
            <v/>
          </cell>
          <cell r="E151" t="str">
            <v/>
          </cell>
          <cell r="F151" t="str">
            <v/>
          </cell>
          <cell r="G151" t="str">
            <v/>
          </cell>
          <cell r="H151" t="str">
            <v/>
          </cell>
          <cell r="AR151" t="str">
            <v/>
          </cell>
          <cell r="AS151" t="str">
            <v/>
          </cell>
          <cell r="AU151" t="str">
            <v/>
          </cell>
          <cell r="AV151" t="str">
            <v/>
          </cell>
          <cell r="AW151" t="str">
            <v/>
          </cell>
          <cell r="BA151" t="str">
            <v/>
          </cell>
        </row>
        <row r="152">
          <cell r="A152">
            <v>149</v>
          </cell>
          <cell r="C152" t="str">
            <v>August</v>
          </cell>
          <cell r="D152" t="str">
            <v/>
          </cell>
          <cell r="E152" t="str">
            <v/>
          </cell>
          <cell r="F152" t="str">
            <v/>
          </cell>
          <cell r="G152" t="str">
            <v/>
          </cell>
          <cell r="H152" t="str">
            <v/>
          </cell>
          <cell r="AR152" t="str">
            <v/>
          </cell>
          <cell r="AS152" t="str">
            <v/>
          </cell>
          <cell r="AU152" t="str">
            <v/>
          </cell>
          <cell r="AV152" t="str">
            <v/>
          </cell>
          <cell r="AW152" t="str">
            <v/>
          </cell>
          <cell r="BA152" t="str">
            <v/>
          </cell>
        </row>
        <row r="153">
          <cell r="A153">
            <v>150</v>
          </cell>
          <cell r="C153" t="str">
            <v>August</v>
          </cell>
          <cell r="D153" t="str">
            <v/>
          </cell>
          <cell r="E153" t="str">
            <v/>
          </cell>
          <cell r="F153" t="str">
            <v/>
          </cell>
          <cell r="G153" t="str">
            <v/>
          </cell>
          <cell r="H153" t="str">
            <v/>
          </cell>
          <cell r="AR153" t="str">
            <v/>
          </cell>
          <cell r="AS153" t="str">
            <v/>
          </cell>
          <cell r="AU153" t="str">
            <v/>
          </cell>
          <cell r="AV153" t="str">
            <v/>
          </cell>
          <cell r="AW153" t="str">
            <v/>
          </cell>
          <cell r="BA153" t="str">
            <v/>
          </cell>
        </row>
        <row r="154">
          <cell r="A154">
            <v>151</v>
          </cell>
          <cell r="C154" t="str">
            <v>August</v>
          </cell>
          <cell r="D154" t="str">
            <v/>
          </cell>
          <cell r="E154" t="str">
            <v/>
          </cell>
          <cell r="F154" t="str">
            <v/>
          </cell>
          <cell r="G154" t="str">
            <v/>
          </cell>
          <cell r="H154" t="str">
            <v/>
          </cell>
          <cell r="AR154" t="str">
            <v/>
          </cell>
          <cell r="AS154" t="str">
            <v/>
          </cell>
          <cell r="AU154" t="str">
            <v/>
          </cell>
          <cell r="AV154" t="str">
            <v/>
          </cell>
          <cell r="AW154" t="str">
            <v/>
          </cell>
          <cell r="BA154" t="str">
            <v/>
          </cell>
        </row>
        <row r="155">
          <cell r="A155">
            <v>152</v>
          </cell>
          <cell r="C155" t="str">
            <v>August</v>
          </cell>
          <cell r="D155" t="str">
            <v/>
          </cell>
          <cell r="E155" t="str">
            <v/>
          </cell>
          <cell r="F155" t="str">
            <v/>
          </cell>
          <cell r="G155" t="str">
            <v/>
          </cell>
          <cell r="H155" t="str">
            <v/>
          </cell>
          <cell r="AR155" t="str">
            <v/>
          </cell>
          <cell r="AS155" t="str">
            <v/>
          </cell>
          <cell r="AU155" t="str">
            <v/>
          </cell>
          <cell r="AV155" t="str">
            <v/>
          </cell>
          <cell r="AW155" t="str">
            <v/>
          </cell>
          <cell r="BA155" t="str">
            <v/>
          </cell>
        </row>
        <row r="156">
          <cell r="A156">
            <v>153</v>
          </cell>
          <cell r="C156" t="str">
            <v>August</v>
          </cell>
          <cell r="D156" t="str">
            <v/>
          </cell>
          <cell r="E156" t="str">
            <v/>
          </cell>
          <cell r="F156" t="str">
            <v/>
          </cell>
          <cell r="G156" t="str">
            <v/>
          </cell>
          <cell r="H156" t="str">
            <v/>
          </cell>
          <cell r="AR156" t="str">
            <v/>
          </cell>
          <cell r="AS156" t="str">
            <v/>
          </cell>
          <cell r="AU156" t="str">
            <v/>
          </cell>
          <cell r="AV156" t="str">
            <v/>
          </cell>
          <cell r="AW156" t="str">
            <v/>
          </cell>
          <cell r="BA156" t="str">
            <v/>
          </cell>
        </row>
        <row r="157">
          <cell r="A157">
            <v>154</v>
          </cell>
          <cell r="C157" t="str">
            <v>August</v>
          </cell>
          <cell r="D157" t="str">
            <v/>
          </cell>
          <cell r="E157" t="str">
            <v/>
          </cell>
          <cell r="F157" t="str">
            <v/>
          </cell>
          <cell r="G157" t="str">
            <v/>
          </cell>
          <cell r="H157" t="str">
            <v/>
          </cell>
          <cell r="AR157" t="str">
            <v/>
          </cell>
          <cell r="AS157" t="str">
            <v/>
          </cell>
          <cell r="AU157" t="str">
            <v/>
          </cell>
          <cell r="AV157" t="str">
            <v/>
          </cell>
          <cell r="AW157" t="str">
            <v/>
          </cell>
          <cell r="BA157" t="str">
            <v/>
          </cell>
        </row>
        <row r="158">
          <cell r="A158">
            <v>155</v>
          </cell>
          <cell r="C158" t="str">
            <v>August</v>
          </cell>
          <cell r="D158" t="str">
            <v/>
          </cell>
          <cell r="E158" t="str">
            <v/>
          </cell>
          <cell r="F158" t="str">
            <v/>
          </cell>
          <cell r="G158" t="str">
            <v/>
          </cell>
          <cell r="H158" t="str">
            <v/>
          </cell>
          <cell r="AR158" t="str">
            <v/>
          </cell>
          <cell r="AS158" t="str">
            <v/>
          </cell>
          <cell r="AU158" t="str">
            <v/>
          </cell>
          <cell r="AV158" t="str">
            <v/>
          </cell>
          <cell r="AW158" t="str">
            <v/>
          </cell>
          <cell r="BA158" t="str">
            <v/>
          </cell>
        </row>
        <row r="159">
          <cell r="A159">
            <v>156</v>
          </cell>
          <cell r="C159" t="str">
            <v>August</v>
          </cell>
          <cell r="D159" t="str">
            <v/>
          </cell>
          <cell r="E159" t="str">
            <v/>
          </cell>
          <cell r="F159" t="str">
            <v/>
          </cell>
          <cell r="G159" t="str">
            <v/>
          </cell>
          <cell r="H159" t="str">
            <v/>
          </cell>
          <cell r="AR159" t="str">
            <v/>
          </cell>
          <cell r="AS159" t="str">
            <v/>
          </cell>
          <cell r="AU159" t="str">
            <v/>
          </cell>
          <cell r="AV159" t="str">
            <v/>
          </cell>
          <cell r="AW159" t="str">
            <v/>
          </cell>
          <cell r="BA159" t="str">
            <v/>
          </cell>
        </row>
        <row r="160">
          <cell r="A160">
            <v>157</v>
          </cell>
          <cell r="C160" t="str">
            <v>August</v>
          </cell>
          <cell r="D160" t="str">
            <v/>
          </cell>
          <cell r="E160" t="str">
            <v/>
          </cell>
          <cell r="F160" t="str">
            <v/>
          </cell>
          <cell r="G160" t="str">
            <v/>
          </cell>
          <cell r="H160" t="str">
            <v/>
          </cell>
          <cell r="AR160" t="str">
            <v/>
          </cell>
          <cell r="AS160" t="str">
            <v/>
          </cell>
          <cell r="AU160" t="str">
            <v/>
          </cell>
          <cell r="AV160" t="str">
            <v/>
          </cell>
          <cell r="AW160" t="str">
            <v/>
          </cell>
          <cell r="BA160" t="str">
            <v/>
          </cell>
        </row>
        <row r="161">
          <cell r="A161">
            <v>158</v>
          </cell>
          <cell r="C161" t="str">
            <v>August</v>
          </cell>
          <cell r="D161" t="str">
            <v/>
          </cell>
          <cell r="E161" t="str">
            <v/>
          </cell>
          <cell r="F161" t="str">
            <v/>
          </cell>
          <cell r="G161" t="str">
            <v/>
          </cell>
          <cell r="H161" t="str">
            <v/>
          </cell>
          <cell r="AR161" t="str">
            <v/>
          </cell>
          <cell r="AS161" t="str">
            <v/>
          </cell>
          <cell r="AU161" t="str">
            <v/>
          </cell>
          <cell r="AV161" t="str">
            <v/>
          </cell>
          <cell r="AW161" t="str">
            <v/>
          </cell>
          <cell r="BA161" t="str">
            <v/>
          </cell>
        </row>
        <row r="162">
          <cell r="A162">
            <v>159</v>
          </cell>
          <cell r="C162" t="str">
            <v>August</v>
          </cell>
          <cell r="D162" t="str">
            <v/>
          </cell>
          <cell r="E162" t="str">
            <v/>
          </cell>
          <cell r="F162" t="str">
            <v/>
          </cell>
          <cell r="G162" t="str">
            <v/>
          </cell>
          <cell r="H162" t="str">
            <v/>
          </cell>
          <cell r="AR162" t="str">
            <v/>
          </cell>
          <cell r="AS162" t="str">
            <v/>
          </cell>
          <cell r="AU162" t="str">
            <v/>
          </cell>
          <cell r="AV162" t="str">
            <v/>
          </cell>
          <cell r="AW162" t="str">
            <v/>
          </cell>
          <cell r="BA162" t="str">
            <v/>
          </cell>
        </row>
        <row r="163">
          <cell r="A163">
            <v>160</v>
          </cell>
          <cell r="C163" t="str">
            <v>August</v>
          </cell>
          <cell r="D163" t="str">
            <v/>
          </cell>
          <cell r="E163" t="str">
            <v/>
          </cell>
          <cell r="F163" t="str">
            <v/>
          </cell>
          <cell r="G163" t="str">
            <v/>
          </cell>
          <cell r="H163" t="str">
            <v/>
          </cell>
          <cell r="AR163" t="str">
            <v/>
          </cell>
          <cell r="AS163" t="str">
            <v/>
          </cell>
          <cell r="AU163" t="str">
            <v/>
          </cell>
          <cell r="AV163" t="str">
            <v/>
          </cell>
          <cell r="AW163" t="str">
            <v/>
          </cell>
          <cell r="BA163" t="str">
            <v/>
          </cell>
        </row>
        <row r="164">
          <cell r="A164">
            <v>161</v>
          </cell>
          <cell r="C164" t="str">
            <v>August</v>
          </cell>
          <cell r="D164" t="str">
            <v/>
          </cell>
          <cell r="E164" t="str">
            <v/>
          </cell>
          <cell r="F164" t="str">
            <v/>
          </cell>
          <cell r="G164" t="str">
            <v/>
          </cell>
          <cell r="H164" t="str">
            <v/>
          </cell>
          <cell r="AR164" t="str">
            <v/>
          </cell>
          <cell r="AS164" t="str">
            <v/>
          </cell>
          <cell r="AU164" t="str">
            <v/>
          </cell>
          <cell r="AV164" t="str">
            <v/>
          </cell>
          <cell r="AW164" t="str">
            <v/>
          </cell>
          <cell r="BA164" t="str">
            <v/>
          </cell>
        </row>
        <row r="165">
          <cell r="A165">
            <v>162</v>
          </cell>
          <cell r="C165" t="str">
            <v>August</v>
          </cell>
          <cell r="D165" t="str">
            <v/>
          </cell>
          <cell r="E165" t="str">
            <v/>
          </cell>
          <cell r="F165" t="str">
            <v/>
          </cell>
          <cell r="G165" t="str">
            <v/>
          </cell>
          <cell r="H165" t="str">
            <v/>
          </cell>
          <cell r="AR165" t="str">
            <v/>
          </cell>
          <cell r="AS165" t="str">
            <v/>
          </cell>
          <cell r="AU165" t="str">
            <v/>
          </cell>
          <cell r="AV165" t="str">
            <v/>
          </cell>
          <cell r="AW165" t="str">
            <v/>
          </cell>
          <cell r="BA165" t="str">
            <v/>
          </cell>
        </row>
        <row r="166">
          <cell r="A166">
            <v>163</v>
          </cell>
          <cell r="C166" t="str">
            <v>August</v>
          </cell>
          <cell r="D166" t="str">
            <v/>
          </cell>
          <cell r="E166" t="str">
            <v/>
          </cell>
          <cell r="F166" t="str">
            <v/>
          </cell>
          <cell r="G166" t="str">
            <v/>
          </cell>
          <cell r="H166" t="str">
            <v/>
          </cell>
          <cell r="AR166" t="str">
            <v/>
          </cell>
          <cell r="AS166" t="str">
            <v/>
          </cell>
          <cell r="AU166" t="str">
            <v/>
          </cell>
          <cell r="AV166" t="str">
            <v/>
          </cell>
          <cell r="AW166" t="str">
            <v/>
          </cell>
          <cell r="BA166" t="str">
            <v/>
          </cell>
        </row>
        <row r="167">
          <cell r="A167">
            <v>164</v>
          </cell>
          <cell r="C167" t="str">
            <v>August</v>
          </cell>
          <cell r="D167" t="str">
            <v/>
          </cell>
          <cell r="E167" t="str">
            <v/>
          </cell>
          <cell r="F167" t="str">
            <v/>
          </cell>
          <cell r="G167" t="str">
            <v/>
          </cell>
          <cell r="H167" t="str">
            <v/>
          </cell>
          <cell r="AR167" t="str">
            <v/>
          </cell>
          <cell r="AS167" t="str">
            <v/>
          </cell>
          <cell r="AU167" t="str">
            <v/>
          </cell>
          <cell r="AV167" t="str">
            <v/>
          </cell>
          <cell r="AW167" t="str">
            <v/>
          </cell>
          <cell r="BA167" t="str">
            <v/>
          </cell>
        </row>
        <row r="168">
          <cell r="A168">
            <v>165</v>
          </cell>
          <cell r="C168" t="str">
            <v>August</v>
          </cell>
          <cell r="D168" t="str">
            <v/>
          </cell>
          <cell r="E168" t="str">
            <v/>
          </cell>
          <cell r="F168" t="str">
            <v/>
          </cell>
          <cell r="G168" t="str">
            <v/>
          </cell>
          <cell r="H168" t="str">
            <v/>
          </cell>
          <cell r="AR168" t="str">
            <v/>
          </cell>
          <cell r="AS168" t="str">
            <v/>
          </cell>
          <cell r="AU168" t="str">
            <v/>
          </cell>
          <cell r="AV168" t="str">
            <v/>
          </cell>
          <cell r="AW168" t="str">
            <v/>
          </cell>
          <cell r="BA168" t="str">
            <v/>
          </cell>
        </row>
        <row r="169">
          <cell r="A169">
            <v>166</v>
          </cell>
          <cell r="C169" t="str">
            <v>August</v>
          </cell>
          <cell r="D169" t="str">
            <v/>
          </cell>
          <cell r="E169" t="str">
            <v/>
          </cell>
          <cell r="F169" t="str">
            <v/>
          </cell>
          <cell r="G169" t="str">
            <v/>
          </cell>
          <cell r="H169" t="str">
            <v/>
          </cell>
          <cell r="AR169" t="str">
            <v/>
          </cell>
          <cell r="AS169" t="str">
            <v/>
          </cell>
          <cell r="AU169" t="str">
            <v/>
          </cell>
          <cell r="AV169" t="str">
            <v/>
          </cell>
          <cell r="AW169" t="str">
            <v/>
          </cell>
          <cell r="BA169" t="str">
            <v/>
          </cell>
        </row>
        <row r="170">
          <cell r="A170">
            <v>167</v>
          </cell>
          <cell r="C170" t="str">
            <v>August</v>
          </cell>
          <cell r="D170" t="str">
            <v/>
          </cell>
          <cell r="E170" t="str">
            <v/>
          </cell>
          <cell r="F170" t="str">
            <v/>
          </cell>
          <cell r="G170" t="str">
            <v/>
          </cell>
          <cell r="H170" t="str">
            <v/>
          </cell>
          <cell r="AR170" t="str">
            <v/>
          </cell>
          <cell r="AS170" t="str">
            <v/>
          </cell>
          <cell r="AU170" t="str">
            <v/>
          </cell>
          <cell r="AV170" t="str">
            <v/>
          </cell>
          <cell r="AW170" t="str">
            <v/>
          </cell>
          <cell r="BA170" t="str">
            <v/>
          </cell>
        </row>
        <row r="171">
          <cell r="A171">
            <v>168</v>
          </cell>
          <cell r="C171" t="str">
            <v>August</v>
          </cell>
          <cell r="D171" t="str">
            <v/>
          </cell>
          <cell r="E171" t="str">
            <v/>
          </cell>
          <cell r="F171" t="str">
            <v/>
          </cell>
          <cell r="G171" t="str">
            <v/>
          </cell>
          <cell r="H171" t="str">
            <v/>
          </cell>
          <cell r="AR171" t="str">
            <v/>
          </cell>
          <cell r="AS171" t="str">
            <v/>
          </cell>
          <cell r="AU171" t="str">
            <v/>
          </cell>
          <cell r="AV171" t="str">
            <v/>
          </cell>
          <cell r="AW171" t="str">
            <v/>
          </cell>
          <cell r="BA171" t="str">
            <v/>
          </cell>
        </row>
        <row r="172">
          <cell r="A172">
            <v>169</v>
          </cell>
          <cell r="C172" t="str">
            <v>August</v>
          </cell>
          <cell r="D172" t="str">
            <v/>
          </cell>
          <cell r="E172" t="str">
            <v/>
          </cell>
          <cell r="F172" t="str">
            <v/>
          </cell>
          <cell r="G172" t="str">
            <v/>
          </cell>
          <cell r="H172" t="str">
            <v/>
          </cell>
          <cell r="AR172" t="str">
            <v/>
          </cell>
          <cell r="AS172" t="str">
            <v/>
          </cell>
          <cell r="AU172" t="str">
            <v/>
          </cell>
          <cell r="AV172" t="str">
            <v/>
          </cell>
          <cell r="AW172" t="str">
            <v/>
          </cell>
          <cell r="BA172" t="str">
            <v/>
          </cell>
        </row>
        <row r="173">
          <cell r="A173">
            <v>170</v>
          </cell>
          <cell r="C173" t="str">
            <v>August</v>
          </cell>
          <cell r="D173" t="str">
            <v/>
          </cell>
          <cell r="E173" t="str">
            <v/>
          </cell>
          <cell r="F173" t="str">
            <v/>
          </cell>
          <cell r="G173" t="str">
            <v/>
          </cell>
          <cell r="H173" t="str">
            <v/>
          </cell>
          <cell r="AR173" t="str">
            <v/>
          </cell>
          <cell r="AS173" t="str">
            <v/>
          </cell>
          <cell r="AU173" t="str">
            <v/>
          </cell>
          <cell r="AV173" t="str">
            <v/>
          </cell>
          <cell r="AW173" t="str">
            <v/>
          </cell>
          <cell r="BA173" t="str">
            <v/>
          </cell>
        </row>
        <row r="174">
          <cell r="A174">
            <v>171</v>
          </cell>
          <cell r="C174" t="str">
            <v>August</v>
          </cell>
          <cell r="D174" t="str">
            <v/>
          </cell>
          <cell r="E174" t="str">
            <v/>
          </cell>
          <cell r="F174" t="str">
            <v/>
          </cell>
          <cell r="G174" t="str">
            <v/>
          </cell>
          <cell r="H174" t="str">
            <v/>
          </cell>
          <cell r="AR174" t="str">
            <v/>
          </cell>
          <cell r="AS174" t="str">
            <v/>
          </cell>
          <cell r="AU174" t="str">
            <v/>
          </cell>
          <cell r="AV174" t="str">
            <v/>
          </cell>
          <cell r="AW174" t="str">
            <v/>
          </cell>
          <cell r="BA174" t="str">
            <v/>
          </cell>
        </row>
        <row r="175">
          <cell r="A175">
            <v>172</v>
          </cell>
          <cell r="C175" t="str">
            <v>August</v>
          </cell>
          <cell r="D175" t="str">
            <v/>
          </cell>
          <cell r="E175" t="str">
            <v/>
          </cell>
          <cell r="F175" t="str">
            <v/>
          </cell>
          <cell r="G175" t="str">
            <v/>
          </cell>
          <cell r="H175" t="str">
            <v/>
          </cell>
          <cell r="AR175" t="str">
            <v/>
          </cell>
          <cell r="AS175" t="str">
            <v/>
          </cell>
          <cell r="AU175" t="str">
            <v/>
          </cell>
          <cell r="AV175" t="str">
            <v/>
          </cell>
          <cell r="AW175" t="str">
            <v/>
          </cell>
          <cell r="BA175" t="str">
            <v/>
          </cell>
        </row>
        <row r="176">
          <cell r="A176">
            <v>173</v>
          </cell>
          <cell r="C176" t="str">
            <v>August</v>
          </cell>
          <cell r="D176" t="str">
            <v/>
          </cell>
          <cell r="E176" t="str">
            <v/>
          </cell>
          <cell r="F176" t="str">
            <v/>
          </cell>
          <cell r="G176" t="str">
            <v/>
          </cell>
          <cell r="H176" t="str">
            <v/>
          </cell>
          <cell r="AR176" t="str">
            <v/>
          </cell>
          <cell r="AS176" t="str">
            <v/>
          </cell>
          <cell r="AU176" t="str">
            <v/>
          </cell>
          <cell r="AV176" t="str">
            <v/>
          </cell>
          <cell r="AW176" t="str">
            <v/>
          </cell>
          <cell r="BA176" t="str">
            <v/>
          </cell>
        </row>
        <row r="177">
          <cell r="A177">
            <v>174</v>
          </cell>
          <cell r="C177" t="str">
            <v>August</v>
          </cell>
          <cell r="D177" t="str">
            <v/>
          </cell>
          <cell r="E177" t="str">
            <v/>
          </cell>
          <cell r="F177" t="str">
            <v/>
          </cell>
          <cell r="G177" t="str">
            <v/>
          </cell>
          <cell r="H177" t="str">
            <v/>
          </cell>
          <cell r="AR177" t="str">
            <v/>
          </cell>
          <cell r="AS177" t="str">
            <v/>
          </cell>
          <cell r="AU177" t="str">
            <v/>
          </cell>
          <cell r="AV177" t="str">
            <v/>
          </cell>
          <cell r="AW177" t="str">
            <v/>
          </cell>
          <cell r="BA177" t="str">
            <v/>
          </cell>
        </row>
        <row r="178">
          <cell r="A178">
            <v>175</v>
          </cell>
          <cell r="C178" t="str">
            <v>August</v>
          </cell>
          <cell r="D178" t="str">
            <v/>
          </cell>
          <cell r="E178" t="str">
            <v/>
          </cell>
          <cell r="F178" t="str">
            <v/>
          </cell>
          <cell r="G178" t="str">
            <v/>
          </cell>
          <cell r="H178" t="str">
            <v/>
          </cell>
          <cell r="AR178" t="str">
            <v/>
          </cell>
          <cell r="AS178" t="str">
            <v/>
          </cell>
          <cell r="AU178" t="str">
            <v/>
          </cell>
          <cell r="AV178" t="str">
            <v/>
          </cell>
          <cell r="AW178" t="str">
            <v/>
          </cell>
          <cell r="BA178" t="str">
            <v/>
          </cell>
        </row>
        <row r="179">
          <cell r="A179">
            <v>176</v>
          </cell>
          <cell r="C179" t="str">
            <v>August</v>
          </cell>
          <cell r="D179" t="str">
            <v/>
          </cell>
          <cell r="E179" t="str">
            <v/>
          </cell>
          <cell r="F179" t="str">
            <v/>
          </cell>
          <cell r="G179" t="str">
            <v/>
          </cell>
          <cell r="H179" t="str">
            <v/>
          </cell>
          <cell r="AR179" t="str">
            <v/>
          </cell>
          <cell r="AS179" t="str">
            <v/>
          </cell>
          <cell r="AU179" t="str">
            <v/>
          </cell>
          <cell r="AV179" t="str">
            <v/>
          </cell>
          <cell r="AW179" t="str">
            <v/>
          </cell>
          <cell r="BA179" t="str">
            <v/>
          </cell>
        </row>
        <row r="180">
          <cell r="A180">
            <v>177</v>
          </cell>
          <cell r="C180" t="str">
            <v>August</v>
          </cell>
          <cell r="D180" t="str">
            <v/>
          </cell>
          <cell r="E180" t="str">
            <v/>
          </cell>
          <cell r="F180" t="str">
            <v/>
          </cell>
          <cell r="G180" t="str">
            <v/>
          </cell>
          <cell r="H180" t="str">
            <v/>
          </cell>
          <cell r="AR180" t="str">
            <v/>
          </cell>
          <cell r="AS180" t="str">
            <v/>
          </cell>
          <cell r="AU180" t="str">
            <v/>
          </cell>
          <cell r="AV180" t="str">
            <v/>
          </cell>
          <cell r="AW180" t="str">
            <v/>
          </cell>
          <cell r="BA180" t="str">
            <v/>
          </cell>
        </row>
        <row r="181">
          <cell r="A181">
            <v>178</v>
          </cell>
          <cell r="C181" t="str">
            <v>August</v>
          </cell>
          <cell r="D181" t="str">
            <v/>
          </cell>
          <cell r="E181" t="str">
            <v/>
          </cell>
          <cell r="F181" t="str">
            <v/>
          </cell>
          <cell r="G181" t="str">
            <v/>
          </cell>
          <cell r="H181" t="str">
            <v/>
          </cell>
          <cell r="AR181" t="str">
            <v/>
          </cell>
          <cell r="AS181" t="str">
            <v/>
          </cell>
          <cell r="AU181" t="str">
            <v/>
          </cell>
          <cell r="AV181" t="str">
            <v/>
          </cell>
          <cell r="AW181" t="str">
            <v/>
          </cell>
          <cell r="BA181" t="str">
            <v/>
          </cell>
        </row>
        <row r="182">
          <cell r="A182">
            <v>179</v>
          </cell>
          <cell r="C182" t="str">
            <v>August</v>
          </cell>
          <cell r="D182" t="str">
            <v/>
          </cell>
          <cell r="E182" t="str">
            <v/>
          </cell>
          <cell r="F182" t="str">
            <v/>
          </cell>
          <cell r="G182" t="str">
            <v/>
          </cell>
          <cell r="H182" t="str">
            <v/>
          </cell>
          <cell r="AR182" t="str">
            <v/>
          </cell>
          <cell r="AS182" t="str">
            <v/>
          </cell>
          <cell r="AU182" t="str">
            <v/>
          </cell>
          <cell r="AV182" t="str">
            <v/>
          </cell>
          <cell r="AW182" t="str">
            <v/>
          </cell>
          <cell r="BA182" t="str">
            <v/>
          </cell>
        </row>
        <row r="183">
          <cell r="A183">
            <v>180</v>
          </cell>
          <cell r="C183" t="str">
            <v>August</v>
          </cell>
          <cell r="D183" t="str">
            <v/>
          </cell>
          <cell r="E183" t="str">
            <v/>
          </cell>
          <cell r="F183" t="str">
            <v/>
          </cell>
          <cell r="G183" t="str">
            <v/>
          </cell>
          <cell r="H183" t="str">
            <v/>
          </cell>
          <cell r="AR183" t="str">
            <v/>
          </cell>
          <cell r="AS183" t="str">
            <v/>
          </cell>
          <cell r="AU183" t="str">
            <v/>
          </cell>
          <cell r="AV183" t="str">
            <v/>
          </cell>
          <cell r="AW183" t="str">
            <v/>
          </cell>
          <cell r="BA183" t="str">
            <v/>
          </cell>
        </row>
        <row r="184">
          <cell r="A184">
            <v>181</v>
          </cell>
          <cell r="C184" t="str">
            <v>September</v>
          </cell>
          <cell r="D184" t="str">
            <v>122625140006</v>
          </cell>
          <cell r="E184" t="str">
            <v>ACAYAN, ELIJAH DITALO</v>
          </cell>
          <cell r="F184" t="str">
            <v>Male</v>
          </cell>
          <cell r="G184">
            <v>1</v>
          </cell>
          <cell r="H184">
            <v>1</v>
          </cell>
          <cell r="AR184">
            <v>0</v>
          </cell>
          <cell r="AS184">
            <v>22</v>
          </cell>
          <cell r="AU184">
            <v>0</v>
          </cell>
          <cell r="AV184">
            <v>46266</v>
          </cell>
          <cell r="AW184">
            <v>46295</v>
          </cell>
          <cell r="BA184">
            <v>1</v>
          </cell>
        </row>
        <row r="185">
          <cell r="A185">
            <v>182</v>
          </cell>
          <cell r="C185" t="str">
            <v>September</v>
          </cell>
          <cell r="D185" t="str">
            <v>419658160041</v>
          </cell>
          <cell r="E185" t="str">
            <v>ARCILLA, KYLE XANDRE MATUS</v>
          </cell>
          <cell r="F185" t="str">
            <v>Male</v>
          </cell>
          <cell r="G185">
            <v>1</v>
          </cell>
          <cell r="H185">
            <v>1</v>
          </cell>
          <cell r="AR185">
            <v>0</v>
          </cell>
          <cell r="AS185">
            <v>22</v>
          </cell>
          <cell r="AU185">
            <v>0</v>
          </cell>
          <cell r="AV185">
            <v>46266</v>
          </cell>
          <cell r="AW185">
            <v>46295</v>
          </cell>
          <cell r="BA185">
            <v>2</v>
          </cell>
        </row>
        <row r="186">
          <cell r="A186">
            <v>183</v>
          </cell>
          <cell r="C186" t="str">
            <v>September</v>
          </cell>
          <cell r="D186" t="str">
            <v>104015140057</v>
          </cell>
          <cell r="E186" t="str">
            <v>CAPAYAN, DENVER CORPUZ</v>
          </cell>
          <cell r="F186" t="str">
            <v>Male</v>
          </cell>
          <cell r="G186">
            <v>1</v>
          </cell>
          <cell r="H186">
            <v>1</v>
          </cell>
          <cell r="AR186">
            <v>0</v>
          </cell>
          <cell r="AS186">
            <v>22</v>
          </cell>
          <cell r="AU186">
            <v>0</v>
          </cell>
          <cell r="AV186">
            <v>46266</v>
          </cell>
          <cell r="AW186">
            <v>46295</v>
          </cell>
          <cell r="BA186">
            <v>3</v>
          </cell>
        </row>
        <row r="187">
          <cell r="A187">
            <v>184</v>
          </cell>
          <cell r="C187" t="str">
            <v>September</v>
          </cell>
          <cell r="D187" t="str">
            <v>107023140026</v>
          </cell>
          <cell r="E187" t="str">
            <v>DOMINGO, FRYNNS LIAM ATIENZA</v>
          </cell>
          <cell r="F187" t="str">
            <v>Male</v>
          </cell>
          <cell r="G187">
            <v>1</v>
          </cell>
          <cell r="H187">
            <v>1</v>
          </cell>
          <cell r="AR187">
            <v>0</v>
          </cell>
          <cell r="AS187">
            <v>22</v>
          </cell>
          <cell r="AU187">
            <v>0</v>
          </cell>
          <cell r="AV187">
            <v>46266</v>
          </cell>
          <cell r="AW187">
            <v>46295</v>
          </cell>
          <cell r="BA187">
            <v>4</v>
          </cell>
        </row>
        <row r="188">
          <cell r="A188">
            <v>185</v>
          </cell>
          <cell r="C188" t="str">
            <v>September</v>
          </cell>
          <cell r="D188" t="str">
            <v>110347140023</v>
          </cell>
          <cell r="E188" t="str">
            <v>DUMADALUG, JAMES DIZON</v>
          </cell>
          <cell r="F188" t="str">
            <v>Male</v>
          </cell>
          <cell r="G188">
            <v>1</v>
          </cell>
          <cell r="H188">
            <v>1</v>
          </cell>
          <cell r="AR188">
            <v>0</v>
          </cell>
          <cell r="AS188">
            <v>22</v>
          </cell>
          <cell r="AU188">
            <v>0</v>
          </cell>
          <cell r="AV188">
            <v>46266</v>
          </cell>
          <cell r="AW188">
            <v>46295</v>
          </cell>
          <cell r="BA188">
            <v>5</v>
          </cell>
        </row>
        <row r="189">
          <cell r="A189">
            <v>186</v>
          </cell>
          <cell r="C189" t="str">
            <v>September</v>
          </cell>
          <cell r="D189" t="str">
            <v>107031140010</v>
          </cell>
          <cell r="E189" t="str">
            <v>GARCIA, KIRK NATHAN BOLSICO</v>
          </cell>
          <cell r="F189" t="str">
            <v>Male</v>
          </cell>
          <cell r="G189">
            <v>1</v>
          </cell>
          <cell r="H189">
            <v>1</v>
          </cell>
          <cell r="AR189">
            <v>0</v>
          </cell>
          <cell r="AS189">
            <v>22</v>
          </cell>
          <cell r="AU189">
            <v>0</v>
          </cell>
          <cell r="AV189">
            <v>46266</v>
          </cell>
          <cell r="AW189">
            <v>46295</v>
          </cell>
          <cell r="BA189">
            <v>6</v>
          </cell>
        </row>
        <row r="190">
          <cell r="A190">
            <v>187</v>
          </cell>
          <cell r="C190" t="str">
            <v>September</v>
          </cell>
          <cell r="D190" t="str">
            <v>107061140477</v>
          </cell>
          <cell r="E190" t="str">
            <v>GUEVARRA, SEAD SYRON CORPUZ</v>
          </cell>
          <cell r="F190" t="str">
            <v>Male</v>
          </cell>
          <cell r="G190">
            <v>1</v>
          </cell>
          <cell r="H190">
            <v>1</v>
          </cell>
          <cell r="AR190">
            <v>0</v>
          </cell>
          <cell r="AS190">
            <v>22</v>
          </cell>
          <cell r="AU190">
            <v>0</v>
          </cell>
          <cell r="AV190">
            <v>46266</v>
          </cell>
          <cell r="AW190">
            <v>46295</v>
          </cell>
          <cell r="BA190">
            <v>7</v>
          </cell>
        </row>
        <row r="191">
          <cell r="A191">
            <v>188</v>
          </cell>
          <cell r="C191" t="str">
            <v>September</v>
          </cell>
          <cell r="D191" t="str">
            <v>133624150052</v>
          </cell>
          <cell r="E191" t="str">
            <v>MACAPANTON, ALIMAN SULTAN</v>
          </cell>
          <cell r="F191" t="str">
            <v>Male</v>
          </cell>
          <cell r="G191">
            <v>1</v>
          </cell>
          <cell r="H191">
            <v>1</v>
          </cell>
          <cell r="AR191">
            <v>0</v>
          </cell>
          <cell r="AS191">
            <v>22</v>
          </cell>
          <cell r="AU191">
            <v>0</v>
          </cell>
          <cell r="AV191">
            <v>46266</v>
          </cell>
          <cell r="AW191">
            <v>46295</v>
          </cell>
          <cell r="BA191">
            <v>8</v>
          </cell>
        </row>
        <row r="192">
          <cell r="A192">
            <v>189</v>
          </cell>
          <cell r="C192" t="str">
            <v>September</v>
          </cell>
          <cell r="D192" t="str">
            <v>107027140164</v>
          </cell>
          <cell r="E192" t="str">
            <v>MEJIA, FRANCIS KHIAN LLARENA</v>
          </cell>
          <cell r="F192" t="str">
            <v>Male</v>
          </cell>
          <cell r="G192">
            <v>1</v>
          </cell>
          <cell r="H192">
            <v>1</v>
          </cell>
          <cell r="AR192">
            <v>0</v>
          </cell>
          <cell r="AS192">
            <v>22</v>
          </cell>
          <cell r="AU192">
            <v>0</v>
          </cell>
          <cell r="AV192">
            <v>46266</v>
          </cell>
          <cell r="AW192">
            <v>46295</v>
          </cell>
          <cell r="BA192">
            <v>9</v>
          </cell>
        </row>
        <row r="193">
          <cell r="A193">
            <v>190</v>
          </cell>
          <cell r="C193" t="str">
            <v>September</v>
          </cell>
          <cell r="D193" t="str">
            <v>107185140032</v>
          </cell>
          <cell r="E193" t="str">
            <v>NERI, GABRIEL BRIONES</v>
          </cell>
          <cell r="F193" t="str">
            <v>Male</v>
          </cell>
          <cell r="G193">
            <v>1</v>
          </cell>
          <cell r="H193">
            <v>1</v>
          </cell>
          <cell r="AR193">
            <v>0</v>
          </cell>
          <cell r="AS193">
            <v>22</v>
          </cell>
          <cell r="AU193">
            <v>0</v>
          </cell>
          <cell r="AV193">
            <v>46266</v>
          </cell>
          <cell r="AW193">
            <v>46295</v>
          </cell>
          <cell r="BA193">
            <v>10</v>
          </cell>
        </row>
        <row r="194">
          <cell r="A194">
            <v>191</v>
          </cell>
          <cell r="C194" t="str">
            <v>September</v>
          </cell>
          <cell r="D194" t="str">
            <v>107057130479</v>
          </cell>
          <cell r="E194" t="str">
            <v>PAYABYAB, SHELTER RAIN ALEJANDRO</v>
          </cell>
          <cell r="F194" t="str">
            <v>Male</v>
          </cell>
          <cell r="G194">
            <v>1</v>
          </cell>
          <cell r="H194">
            <v>1</v>
          </cell>
          <cell r="AR194">
            <v>0</v>
          </cell>
          <cell r="AS194">
            <v>22</v>
          </cell>
          <cell r="AU194">
            <v>0</v>
          </cell>
          <cell r="AV194">
            <v>46266</v>
          </cell>
          <cell r="AW194">
            <v>46295</v>
          </cell>
          <cell r="BA194">
            <v>11</v>
          </cell>
        </row>
        <row r="195">
          <cell r="A195">
            <v>192</v>
          </cell>
          <cell r="C195" t="str">
            <v>September</v>
          </cell>
          <cell r="D195" t="str">
            <v>113420140126</v>
          </cell>
          <cell r="E195" t="str">
            <v>RAMIREZ, RENCES DWANE RAMONES</v>
          </cell>
          <cell r="F195" t="str">
            <v>Male</v>
          </cell>
          <cell r="G195">
            <v>1</v>
          </cell>
          <cell r="H195">
            <v>1</v>
          </cell>
          <cell r="AR195">
            <v>0</v>
          </cell>
          <cell r="AS195">
            <v>22</v>
          </cell>
          <cell r="AU195">
            <v>0</v>
          </cell>
          <cell r="AV195">
            <v>46266</v>
          </cell>
          <cell r="AW195">
            <v>46295</v>
          </cell>
          <cell r="BA195">
            <v>12</v>
          </cell>
        </row>
        <row r="196">
          <cell r="A196">
            <v>193</v>
          </cell>
          <cell r="C196" t="str">
            <v>September</v>
          </cell>
          <cell r="D196" t="str">
            <v>107048150273</v>
          </cell>
          <cell r="E196" t="str">
            <v>SUGAY, ASHTON GUTIERREZ</v>
          </cell>
          <cell r="F196" t="str">
            <v>Male</v>
          </cell>
          <cell r="G196">
            <v>1</v>
          </cell>
          <cell r="H196">
            <v>1</v>
          </cell>
          <cell r="AR196">
            <v>0</v>
          </cell>
          <cell r="AS196">
            <v>22</v>
          </cell>
          <cell r="AU196">
            <v>0</v>
          </cell>
          <cell r="AV196">
            <v>46266</v>
          </cell>
          <cell r="AW196">
            <v>46295</v>
          </cell>
          <cell r="BA196">
            <v>13</v>
          </cell>
        </row>
        <row r="197">
          <cell r="A197">
            <v>194</v>
          </cell>
          <cell r="C197" t="str">
            <v>September</v>
          </cell>
          <cell r="D197">
            <v>107032140054</v>
          </cell>
          <cell r="E197" t="str">
            <v>SANTIAGO, JARED ALBERTH BARREDA</v>
          </cell>
          <cell r="F197" t="str">
            <v>Male</v>
          </cell>
          <cell r="G197">
            <v>1</v>
          </cell>
          <cell r="H197">
            <v>1</v>
          </cell>
          <cell r="AR197">
            <v>0</v>
          </cell>
          <cell r="AS197">
            <v>22</v>
          </cell>
          <cell r="AU197">
            <v>0</v>
          </cell>
          <cell r="AV197">
            <v>46266</v>
          </cell>
          <cell r="AW197">
            <v>46295</v>
          </cell>
          <cell r="BA197">
            <v>14</v>
          </cell>
        </row>
        <row r="198">
          <cell r="A198">
            <v>195</v>
          </cell>
          <cell r="C198" t="str">
            <v>September</v>
          </cell>
          <cell r="D198" t="str">
            <v>122379140033</v>
          </cell>
          <cell r="E198" t="str">
            <v>ACAYAN, HANNAH NICOLE COSTUNA</v>
          </cell>
          <cell r="F198" t="str">
            <v>Female</v>
          </cell>
          <cell r="G198">
            <v>1</v>
          </cell>
          <cell r="H198">
            <v>1</v>
          </cell>
          <cell r="AR198">
            <v>0</v>
          </cell>
          <cell r="AS198">
            <v>22</v>
          </cell>
          <cell r="AU198">
            <v>0</v>
          </cell>
          <cell r="AV198">
            <v>46266</v>
          </cell>
          <cell r="AW198">
            <v>46295</v>
          </cell>
          <cell r="BA198">
            <v>1</v>
          </cell>
        </row>
        <row r="199">
          <cell r="A199">
            <v>196</v>
          </cell>
          <cell r="C199" t="str">
            <v>September</v>
          </cell>
          <cell r="D199" t="str">
            <v>107041140509</v>
          </cell>
          <cell r="E199" t="str">
            <v>AREÑEZ, FRANCHESKA OCAMPO</v>
          </cell>
          <cell r="F199" t="str">
            <v>Female</v>
          </cell>
          <cell r="G199">
            <v>1</v>
          </cell>
          <cell r="H199">
            <v>1</v>
          </cell>
          <cell r="AR199">
            <v>0</v>
          </cell>
          <cell r="AS199">
            <v>22</v>
          </cell>
          <cell r="AU199">
            <v>0</v>
          </cell>
          <cell r="AV199">
            <v>46266</v>
          </cell>
          <cell r="AW199">
            <v>46295</v>
          </cell>
          <cell r="BA199">
            <v>2</v>
          </cell>
        </row>
        <row r="200">
          <cell r="A200">
            <v>197</v>
          </cell>
          <cell r="C200" t="str">
            <v>September</v>
          </cell>
          <cell r="D200" t="str">
            <v>159547140065</v>
          </cell>
          <cell r="E200" t="str">
            <v>BALUCANAG, CHLOE LIAN GALINO</v>
          </cell>
          <cell r="F200" t="str">
            <v>Female</v>
          </cell>
          <cell r="G200">
            <v>1</v>
          </cell>
          <cell r="H200">
            <v>1</v>
          </cell>
          <cell r="AR200">
            <v>0</v>
          </cell>
          <cell r="AS200">
            <v>22</v>
          </cell>
          <cell r="AU200">
            <v>0</v>
          </cell>
          <cell r="AV200">
            <v>46266</v>
          </cell>
          <cell r="AW200">
            <v>46295</v>
          </cell>
          <cell r="BA200">
            <v>3</v>
          </cell>
        </row>
        <row r="201">
          <cell r="A201">
            <v>198</v>
          </cell>
          <cell r="C201" t="str">
            <v>September</v>
          </cell>
          <cell r="D201" t="str">
            <v>107022140163</v>
          </cell>
          <cell r="E201" t="str">
            <v>BIE, JOHN RAIN MAGTOTO</v>
          </cell>
          <cell r="F201" t="str">
            <v>Female</v>
          </cell>
          <cell r="G201">
            <v>1</v>
          </cell>
          <cell r="H201">
            <v>1</v>
          </cell>
          <cell r="AR201">
            <v>0</v>
          </cell>
          <cell r="AS201">
            <v>22</v>
          </cell>
          <cell r="AU201">
            <v>0</v>
          </cell>
          <cell r="AV201">
            <v>46266</v>
          </cell>
          <cell r="AW201">
            <v>46295</v>
          </cell>
          <cell r="BA201">
            <v>4</v>
          </cell>
        </row>
        <row r="202">
          <cell r="A202">
            <v>199</v>
          </cell>
          <cell r="C202" t="str">
            <v>September</v>
          </cell>
          <cell r="D202" t="str">
            <v>105935140024</v>
          </cell>
          <cell r="E202" t="str">
            <v>DAVID, ASHLEY LAPUZ</v>
          </cell>
          <cell r="F202" t="str">
            <v>Female</v>
          </cell>
          <cell r="G202">
            <v>1</v>
          </cell>
          <cell r="H202">
            <v>1</v>
          </cell>
          <cell r="AR202">
            <v>0</v>
          </cell>
          <cell r="AS202">
            <v>22</v>
          </cell>
          <cell r="AU202">
            <v>0</v>
          </cell>
          <cell r="AV202">
            <v>46266</v>
          </cell>
          <cell r="AW202">
            <v>46295</v>
          </cell>
          <cell r="BA202">
            <v>5</v>
          </cell>
        </row>
        <row r="203">
          <cell r="A203">
            <v>200</v>
          </cell>
          <cell r="C203" t="str">
            <v>September</v>
          </cell>
          <cell r="D203" t="str">
            <v>106066150025</v>
          </cell>
          <cell r="E203" t="str">
            <v>FLORES, THEA MARIE LUMUYA</v>
          </cell>
          <cell r="F203" t="str">
            <v>Female</v>
          </cell>
          <cell r="G203">
            <v>1</v>
          </cell>
          <cell r="H203">
            <v>1</v>
          </cell>
          <cell r="AR203">
            <v>0</v>
          </cell>
          <cell r="AS203">
            <v>22</v>
          </cell>
          <cell r="AU203">
            <v>0</v>
          </cell>
          <cell r="AV203">
            <v>46266</v>
          </cell>
          <cell r="AW203">
            <v>46295</v>
          </cell>
          <cell r="BA203">
            <v>6</v>
          </cell>
        </row>
        <row r="204">
          <cell r="A204">
            <v>201</v>
          </cell>
          <cell r="C204" t="str">
            <v>September</v>
          </cell>
          <cell r="D204" t="str">
            <v>107032140061</v>
          </cell>
          <cell r="E204" t="str">
            <v>INGAL, SHAINA KYLE PINEDA</v>
          </cell>
          <cell r="F204" t="str">
            <v>Female</v>
          </cell>
          <cell r="G204">
            <v>1</v>
          </cell>
          <cell r="H204">
            <v>1</v>
          </cell>
          <cell r="AR204">
            <v>0</v>
          </cell>
          <cell r="AS204">
            <v>22</v>
          </cell>
          <cell r="AU204">
            <v>0</v>
          </cell>
          <cell r="AV204">
            <v>46266</v>
          </cell>
          <cell r="AW204">
            <v>46295</v>
          </cell>
          <cell r="BA204">
            <v>7</v>
          </cell>
        </row>
        <row r="205">
          <cell r="A205">
            <v>202</v>
          </cell>
          <cell r="C205" t="str">
            <v>September</v>
          </cell>
          <cell r="D205">
            <v>106072140070</v>
          </cell>
          <cell r="E205" t="str">
            <v>MACAPODI, AINA MANGUNTAWAR</v>
          </cell>
          <cell r="F205" t="str">
            <v>Female</v>
          </cell>
          <cell r="G205">
            <v>1</v>
          </cell>
          <cell r="H205">
            <v>1</v>
          </cell>
          <cell r="AR205">
            <v>0</v>
          </cell>
          <cell r="AS205">
            <v>22</v>
          </cell>
          <cell r="AU205">
            <v>0</v>
          </cell>
          <cell r="AV205">
            <v>46266</v>
          </cell>
          <cell r="AW205">
            <v>46295</v>
          </cell>
          <cell r="BA205">
            <v>8</v>
          </cell>
        </row>
        <row r="206">
          <cell r="A206">
            <v>203</v>
          </cell>
          <cell r="C206" t="str">
            <v>September</v>
          </cell>
          <cell r="D206" t="str">
            <v>136634150917</v>
          </cell>
          <cell r="E206" t="str">
            <v>MIPAMPANG, RASHEDA BASCARA</v>
          </cell>
          <cell r="F206" t="str">
            <v>Female</v>
          </cell>
          <cell r="G206">
            <v>1</v>
          </cell>
          <cell r="H206">
            <v>1</v>
          </cell>
          <cell r="AR206">
            <v>0</v>
          </cell>
          <cell r="AS206">
            <v>22</v>
          </cell>
          <cell r="AU206">
            <v>0</v>
          </cell>
          <cell r="AV206">
            <v>46266</v>
          </cell>
          <cell r="AW206">
            <v>46295</v>
          </cell>
          <cell r="BA206">
            <v>9</v>
          </cell>
        </row>
        <row r="207">
          <cell r="A207">
            <v>204</v>
          </cell>
          <cell r="C207" t="str">
            <v>September</v>
          </cell>
          <cell r="D207" t="str">
            <v>107028140103</v>
          </cell>
          <cell r="E207" t="str">
            <v>TAYSON, DANIELLE MAE PANES</v>
          </cell>
          <cell r="F207" t="str">
            <v>Female</v>
          </cell>
          <cell r="G207">
            <v>1</v>
          </cell>
          <cell r="H207">
            <v>1</v>
          </cell>
          <cell r="AR207">
            <v>0</v>
          </cell>
          <cell r="AS207">
            <v>22</v>
          </cell>
          <cell r="AU207">
            <v>0</v>
          </cell>
          <cell r="AV207">
            <v>46266</v>
          </cell>
          <cell r="AW207">
            <v>46295</v>
          </cell>
          <cell r="BA207">
            <v>10</v>
          </cell>
        </row>
        <row r="208">
          <cell r="A208">
            <v>205</v>
          </cell>
          <cell r="C208" t="str">
            <v>September</v>
          </cell>
          <cell r="D208">
            <v>105205140016</v>
          </cell>
          <cell r="E208" t="str">
            <v>FAJARDO, PRINCE DANIEL RODAJE</v>
          </cell>
          <cell r="F208" t="str">
            <v>Female</v>
          </cell>
          <cell r="G208">
            <v>1</v>
          </cell>
          <cell r="H208">
            <v>1</v>
          </cell>
          <cell r="AR208">
            <v>0</v>
          </cell>
          <cell r="AS208">
            <v>22</v>
          </cell>
          <cell r="AU208">
            <v>0</v>
          </cell>
          <cell r="AV208">
            <v>46266</v>
          </cell>
          <cell r="AW208">
            <v>46295</v>
          </cell>
          <cell r="BA208">
            <v>11</v>
          </cell>
        </row>
        <row r="209">
          <cell r="A209">
            <v>206</v>
          </cell>
          <cell r="C209" t="str">
            <v>September</v>
          </cell>
          <cell r="D209" t="str">
            <v/>
          </cell>
          <cell r="E209" t="str">
            <v/>
          </cell>
          <cell r="F209" t="str">
            <v/>
          </cell>
          <cell r="G209" t="str">
            <v/>
          </cell>
          <cell r="H209" t="str">
            <v/>
          </cell>
          <cell r="AR209" t="str">
            <v/>
          </cell>
          <cell r="AS209" t="str">
            <v/>
          </cell>
          <cell r="AU209" t="str">
            <v/>
          </cell>
          <cell r="AV209" t="str">
            <v/>
          </cell>
          <cell r="AW209" t="str">
            <v/>
          </cell>
          <cell r="BA209" t="str">
            <v/>
          </cell>
        </row>
        <row r="210">
          <cell r="A210">
            <v>207</v>
          </cell>
          <cell r="C210" t="str">
            <v>September</v>
          </cell>
          <cell r="D210" t="str">
            <v/>
          </cell>
          <cell r="E210" t="str">
            <v/>
          </cell>
          <cell r="F210" t="str">
            <v/>
          </cell>
          <cell r="G210" t="str">
            <v/>
          </cell>
          <cell r="H210" t="str">
            <v/>
          </cell>
          <cell r="AR210" t="str">
            <v/>
          </cell>
          <cell r="AS210" t="str">
            <v/>
          </cell>
          <cell r="AU210" t="str">
            <v/>
          </cell>
          <cell r="AV210" t="str">
            <v/>
          </cell>
          <cell r="AW210" t="str">
            <v/>
          </cell>
          <cell r="BA210" t="str">
            <v/>
          </cell>
        </row>
        <row r="211">
          <cell r="A211">
            <v>208</v>
          </cell>
          <cell r="C211" t="str">
            <v>September</v>
          </cell>
          <cell r="D211" t="str">
            <v/>
          </cell>
          <cell r="E211" t="str">
            <v/>
          </cell>
          <cell r="F211" t="str">
            <v/>
          </cell>
          <cell r="G211" t="str">
            <v/>
          </cell>
          <cell r="H211" t="str">
            <v/>
          </cell>
          <cell r="AR211" t="str">
            <v/>
          </cell>
          <cell r="AS211" t="str">
            <v/>
          </cell>
          <cell r="AU211" t="str">
            <v/>
          </cell>
          <cell r="AV211" t="str">
            <v/>
          </cell>
          <cell r="AW211" t="str">
            <v/>
          </cell>
          <cell r="BA211" t="str">
            <v/>
          </cell>
        </row>
        <row r="212">
          <cell r="A212">
            <v>209</v>
          </cell>
          <cell r="C212" t="str">
            <v>September</v>
          </cell>
          <cell r="D212" t="str">
            <v/>
          </cell>
          <cell r="E212" t="str">
            <v/>
          </cell>
          <cell r="F212" t="str">
            <v/>
          </cell>
          <cell r="G212" t="str">
            <v/>
          </cell>
          <cell r="H212" t="str">
            <v/>
          </cell>
          <cell r="AR212" t="str">
            <v/>
          </cell>
          <cell r="AS212" t="str">
            <v/>
          </cell>
          <cell r="AU212" t="str">
            <v/>
          </cell>
          <cell r="AV212" t="str">
            <v/>
          </cell>
          <cell r="AW212" t="str">
            <v/>
          </cell>
          <cell r="BA212" t="str">
            <v/>
          </cell>
        </row>
        <row r="213">
          <cell r="A213">
            <v>210</v>
          </cell>
          <cell r="C213" t="str">
            <v>September</v>
          </cell>
          <cell r="D213" t="str">
            <v/>
          </cell>
          <cell r="E213" t="str">
            <v/>
          </cell>
          <cell r="F213" t="str">
            <v/>
          </cell>
          <cell r="G213" t="str">
            <v/>
          </cell>
          <cell r="H213" t="str">
            <v/>
          </cell>
          <cell r="AR213" t="str">
            <v/>
          </cell>
          <cell r="AS213" t="str">
            <v/>
          </cell>
          <cell r="AU213" t="str">
            <v/>
          </cell>
          <cell r="AV213" t="str">
            <v/>
          </cell>
          <cell r="AW213" t="str">
            <v/>
          </cell>
          <cell r="BA213" t="str">
            <v/>
          </cell>
        </row>
        <row r="214">
          <cell r="A214">
            <v>211</v>
          </cell>
          <cell r="C214" t="str">
            <v>September</v>
          </cell>
          <cell r="D214" t="str">
            <v/>
          </cell>
          <cell r="E214" t="str">
            <v/>
          </cell>
          <cell r="F214" t="str">
            <v/>
          </cell>
          <cell r="G214" t="str">
            <v/>
          </cell>
          <cell r="H214" t="str">
            <v/>
          </cell>
          <cell r="AR214" t="str">
            <v/>
          </cell>
          <cell r="AS214" t="str">
            <v/>
          </cell>
          <cell r="AU214" t="str">
            <v/>
          </cell>
          <cell r="AV214" t="str">
            <v/>
          </cell>
          <cell r="AW214" t="str">
            <v/>
          </cell>
          <cell r="BA214" t="str">
            <v/>
          </cell>
        </row>
        <row r="215">
          <cell r="A215">
            <v>212</v>
          </cell>
          <cell r="C215" t="str">
            <v>September</v>
          </cell>
          <cell r="D215" t="str">
            <v/>
          </cell>
          <cell r="E215" t="str">
            <v/>
          </cell>
          <cell r="F215" t="str">
            <v/>
          </cell>
          <cell r="G215" t="str">
            <v/>
          </cell>
          <cell r="H215" t="str">
            <v/>
          </cell>
          <cell r="AR215" t="str">
            <v/>
          </cell>
          <cell r="AS215" t="str">
            <v/>
          </cell>
          <cell r="AU215" t="str">
            <v/>
          </cell>
          <cell r="AV215" t="str">
            <v/>
          </cell>
          <cell r="AW215" t="str">
            <v/>
          </cell>
          <cell r="BA215" t="str">
            <v/>
          </cell>
        </row>
        <row r="216">
          <cell r="A216">
            <v>213</v>
          </cell>
          <cell r="C216" t="str">
            <v>September</v>
          </cell>
          <cell r="D216" t="str">
            <v/>
          </cell>
          <cell r="E216" t="str">
            <v/>
          </cell>
          <cell r="F216" t="str">
            <v/>
          </cell>
          <cell r="G216" t="str">
            <v/>
          </cell>
          <cell r="H216" t="str">
            <v/>
          </cell>
          <cell r="AR216" t="str">
            <v/>
          </cell>
          <cell r="AS216" t="str">
            <v/>
          </cell>
          <cell r="AU216" t="str">
            <v/>
          </cell>
          <cell r="AV216" t="str">
            <v/>
          </cell>
          <cell r="AW216" t="str">
            <v/>
          </cell>
          <cell r="BA216" t="str">
            <v/>
          </cell>
        </row>
        <row r="217">
          <cell r="A217">
            <v>214</v>
          </cell>
          <cell r="C217" t="str">
            <v>September</v>
          </cell>
          <cell r="D217" t="str">
            <v/>
          </cell>
          <cell r="E217" t="str">
            <v/>
          </cell>
          <cell r="F217" t="str">
            <v/>
          </cell>
          <cell r="G217" t="str">
            <v/>
          </cell>
          <cell r="H217" t="str">
            <v/>
          </cell>
          <cell r="AR217" t="str">
            <v/>
          </cell>
          <cell r="AS217" t="str">
            <v/>
          </cell>
          <cell r="AU217" t="str">
            <v/>
          </cell>
          <cell r="AV217" t="str">
            <v/>
          </cell>
          <cell r="AW217" t="str">
            <v/>
          </cell>
          <cell r="BA217" t="str">
            <v/>
          </cell>
        </row>
        <row r="218">
          <cell r="A218">
            <v>215</v>
          </cell>
          <cell r="C218" t="str">
            <v>September</v>
          </cell>
          <cell r="D218" t="str">
            <v/>
          </cell>
          <cell r="E218" t="str">
            <v/>
          </cell>
          <cell r="F218" t="str">
            <v/>
          </cell>
          <cell r="G218" t="str">
            <v/>
          </cell>
          <cell r="H218" t="str">
            <v/>
          </cell>
          <cell r="AR218" t="str">
            <v/>
          </cell>
          <cell r="AS218" t="str">
            <v/>
          </cell>
          <cell r="AU218" t="str">
            <v/>
          </cell>
          <cell r="AV218" t="str">
            <v/>
          </cell>
          <cell r="AW218" t="str">
            <v/>
          </cell>
          <cell r="BA218" t="str">
            <v/>
          </cell>
        </row>
        <row r="219">
          <cell r="A219">
            <v>216</v>
          </cell>
          <cell r="C219" t="str">
            <v>September</v>
          </cell>
          <cell r="D219" t="str">
            <v/>
          </cell>
          <cell r="E219" t="str">
            <v/>
          </cell>
          <cell r="F219" t="str">
            <v/>
          </cell>
          <cell r="G219" t="str">
            <v/>
          </cell>
          <cell r="H219" t="str">
            <v/>
          </cell>
          <cell r="AR219" t="str">
            <v/>
          </cell>
          <cell r="AS219" t="str">
            <v/>
          </cell>
          <cell r="AU219" t="str">
            <v/>
          </cell>
          <cell r="AV219" t="str">
            <v/>
          </cell>
          <cell r="AW219" t="str">
            <v/>
          </cell>
          <cell r="BA219" t="str">
            <v/>
          </cell>
        </row>
        <row r="220">
          <cell r="A220">
            <v>217</v>
          </cell>
          <cell r="C220" t="str">
            <v>September</v>
          </cell>
          <cell r="D220" t="str">
            <v/>
          </cell>
          <cell r="E220" t="str">
            <v/>
          </cell>
          <cell r="F220" t="str">
            <v/>
          </cell>
          <cell r="G220" t="str">
            <v/>
          </cell>
          <cell r="H220" t="str">
            <v/>
          </cell>
          <cell r="AR220" t="str">
            <v/>
          </cell>
          <cell r="AS220" t="str">
            <v/>
          </cell>
          <cell r="AU220" t="str">
            <v/>
          </cell>
          <cell r="AV220" t="str">
            <v/>
          </cell>
          <cell r="AW220" t="str">
            <v/>
          </cell>
          <cell r="BA220" t="str">
            <v/>
          </cell>
        </row>
        <row r="221">
          <cell r="A221">
            <v>218</v>
          </cell>
          <cell r="C221" t="str">
            <v>September</v>
          </cell>
          <cell r="D221" t="str">
            <v/>
          </cell>
          <cell r="E221" t="str">
            <v/>
          </cell>
          <cell r="F221" t="str">
            <v/>
          </cell>
          <cell r="G221" t="str">
            <v/>
          </cell>
          <cell r="H221" t="str">
            <v/>
          </cell>
          <cell r="AR221" t="str">
            <v/>
          </cell>
          <cell r="AS221" t="str">
            <v/>
          </cell>
          <cell r="AU221" t="str">
            <v/>
          </cell>
          <cell r="AV221" t="str">
            <v/>
          </cell>
          <cell r="AW221" t="str">
            <v/>
          </cell>
          <cell r="BA221" t="str">
            <v/>
          </cell>
        </row>
        <row r="222">
          <cell r="A222">
            <v>219</v>
          </cell>
          <cell r="C222" t="str">
            <v>September</v>
          </cell>
          <cell r="D222" t="str">
            <v/>
          </cell>
          <cell r="E222" t="str">
            <v/>
          </cell>
          <cell r="F222" t="str">
            <v/>
          </cell>
          <cell r="G222" t="str">
            <v/>
          </cell>
          <cell r="H222" t="str">
            <v/>
          </cell>
          <cell r="AR222" t="str">
            <v/>
          </cell>
          <cell r="AS222" t="str">
            <v/>
          </cell>
          <cell r="AU222" t="str">
            <v/>
          </cell>
          <cell r="AV222" t="str">
            <v/>
          </cell>
          <cell r="AW222" t="str">
            <v/>
          </cell>
          <cell r="BA222" t="str">
            <v/>
          </cell>
        </row>
        <row r="223">
          <cell r="A223">
            <v>220</v>
          </cell>
          <cell r="C223" t="str">
            <v>September</v>
          </cell>
          <cell r="D223" t="str">
            <v/>
          </cell>
          <cell r="E223" t="str">
            <v/>
          </cell>
          <cell r="F223" t="str">
            <v/>
          </cell>
          <cell r="G223" t="str">
            <v/>
          </cell>
          <cell r="H223" t="str">
            <v/>
          </cell>
          <cell r="AR223" t="str">
            <v/>
          </cell>
          <cell r="AS223" t="str">
            <v/>
          </cell>
          <cell r="AU223" t="str">
            <v/>
          </cell>
          <cell r="AV223" t="str">
            <v/>
          </cell>
          <cell r="AW223" t="str">
            <v/>
          </cell>
          <cell r="BA223" t="str">
            <v/>
          </cell>
        </row>
        <row r="224">
          <cell r="A224">
            <v>221</v>
          </cell>
          <cell r="C224" t="str">
            <v>September</v>
          </cell>
          <cell r="D224" t="str">
            <v/>
          </cell>
          <cell r="E224" t="str">
            <v/>
          </cell>
          <cell r="F224" t="str">
            <v/>
          </cell>
          <cell r="G224" t="str">
            <v/>
          </cell>
          <cell r="H224" t="str">
            <v/>
          </cell>
          <cell r="AR224" t="str">
            <v/>
          </cell>
          <cell r="AS224" t="str">
            <v/>
          </cell>
          <cell r="AU224" t="str">
            <v/>
          </cell>
          <cell r="AV224" t="str">
            <v/>
          </cell>
          <cell r="AW224" t="str">
            <v/>
          </cell>
          <cell r="BA224" t="str">
            <v/>
          </cell>
        </row>
        <row r="225">
          <cell r="A225">
            <v>222</v>
          </cell>
          <cell r="C225" t="str">
            <v>September</v>
          </cell>
          <cell r="D225" t="str">
            <v/>
          </cell>
          <cell r="E225" t="str">
            <v/>
          </cell>
          <cell r="F225" t="str">
            <v/>
          </cell>
          <cell r="G225" t="str">
            <v/>
          </cell>
          <cell r="H225" t="str">
            <v/>
          </cell>
          <cell r="AR225" t="str">
            <v/>
          </cell>
          <cell r="AS225" t="str">
            <v/>
          </cell>
          <cell r="AU225" t="str">
            <v/>
          </cell>
          <cell r="AV225" t="str">
            <v/>
          </cell>
          <cell r="AW225" t="str">
            <v/>
          </cell>
          <cell r="BA225" t="str">
            <v/>
          </cell>
        </row>
        <row r="226">
          <cell r="A226">
            <v>223</v>
          </cell>
          <cell r="C226" t="str">
            <v>September</v>
          </cell>
          <cell r="D226" t="str">
            <v/>
          </cell>
          <cell r="E226" t="str">
            <v/>
          </cell>
          <cell r="F226" t="str">
            <v/>
          </cell>
          <cell r="G226" t="str">
            <v/>
          </cell>
          <cell r="H226" t="str">
            <v/>
          </cell>
          <cell r="AR226" t="str">
            <v/>
          </cell>
          <cell r="AS226" t="str">
            <v/>
          </cell>
          <cell r="AU226" t="str">
            <v/>
          </cell>
          <cell r="AV226" t="str">
            <v/>
          </cell>
          <cell r="AW226" t="str">
            <v/>
          </cell>
          <cell r="BA226" t="str">
            <v/>
          </cell>
        </row>
        <row r="227">
          <cell r="A227">
            <v>224</v>
          </cell>
          <cell r="C227" t="str">
            <v>September</v>
          </cell>
          <cell r="D227" t="str">
            <v/>
          </cell>
          <cell r="E227" t="str">
            <v/>
          </cell>
          <cell r="F227" t="str">
            <v/>
          </cell>
          <cell r="G227" t="str">
            <v/>
          </cell>
          <cell r="H227" t="str">
            <v/>
          </cell>
          <cell r="AR227" t="str">
            <v/>
          </cell>
          <cell r="AS227" t="str">
            <v/>
          </cell>
          <cell r="AU227" t="str">
            <v/>
          </cell>
          <cell r="AV227" t="str">
            <v/>
          </cell>
          <cell r="AW227" t="str">
            <v/>
          </cell>
          <cell r="BA227" t="str">
            <v/>
          </cell>
        </row>
        <row r="228">
          <cell r="A228">
            <v>225</v>
          </cell>
          <cell r="C228" t="str">
            <v>September</v>
          </cell>
          <cell r="D228" t="str">
            <v/>
          </cell>
          <cell r="E228" t="str">
            <v/>
          </cell>
          <cell r="F228" t="str">
            <v/>
          </cell>
          <cell r="G228" t="str">
            <v/>
          </cell>
          <cell r="H228" t="str">
            <v/>
          </cell>
          <cell r="AR228" t="str">
            <v/>
          </cell>
          <cell r="AS228" t="str">
            <v/>
          </cell>
          <cell r="AU228" t="str">
            <v/>
          </cell>
          <cell r="AV228" t="str">
            <v/>
          </cell>
          <cell r="AW228" t="str">
            <v/>
          </cell>
          <cell r="BA228" t="str">
            <v/>
          </cell>
        </row>
        <row r="229">
          <cell r="A229">
            <v>226</v>
          </cell>
          <cell r="C229" t="str">
            <v>September</v>
          </cell>
          <cell r="D229" t="str">
            <v/>
          </cell>
          <cell r="E229" t="str">
            <v/>
          </cell>
          <cell r="F229" t="str">
            <v/>
          </cell>
          <cell r="G229" t="str">
            <v/>
          </cell>
          <cell r="H229" t="str">
            <v/>
          </cell>
          <cell r="AR229" t="str">
            <v/>
          </cell>
          <cell r="AS229" t="str">
            <v/>
          </cell>
          <cell r="AU229" t="str">
            <v/>
          </cell>
          <cell r="AV229" t="str">
            <v/>
          </cell>
          <cell r="AW229" t="str">
            <v/>
          </cell>
          <cell r="BA229" t="str">
            <v/>
          </cell>
        </row>
        <row r="230">
          <cell r="A230">
            <v>227</v>
          </cell>
          <cell r="C230" t="str">
            <v>September</v>
          </cell>
          <cell r="D230" t="str">
            <v/>
          </cell>
          <cell r="E230" t="str">
            <v/>
          </cell>
          <cell r="F230" t="str">
            <v/>
          </cell>
          <cell r="G230" t="str">
            <v/>
          </cell>
          <cell r="H230" t="str">
            <v/>
          </cell>
          <cell r="AR230" t="str">
            <v/>
          </cell>
          <cell r="AS230" t="str">
            <v/>
          </cell>
          <cell r="AU230" t="str">
            <v/>
          </cell>
          <cell r="AV230" t="str">
            <v/>
          </cell>
          <cell r="AW230" t="str">
            <v/>
          </cell>
          <cell r="BA230" t="str">
            <v/>
          </cell>
        </row>
        <row r="231">
          <cell r="A231">
            <v>228</v>
          </cell>
          <cell r="C231" t="str">
            <v>September</v>
          </cell>
          <cell r="D231" t="str">
            <v/>
          </cell>
          <cell r="E231" t="str">
            <v/>
          </cell>
          <cell r="F231" t="str">
            <v/>
          </cell>
          <cell r="G231" t="str">
            <v/>
          </cell>
          <cell r="H231" t="str">
            <v/>
          </cell>
          <cell r="AR231" t="str">
            <v/>
          </cell>
          <cell r="AS231" t="str">
            <v/>
          </cell>
          <cell r="AU231" t="str">
            <v/>
          </cell>
          <cell r="AV231" t="str">
            <v/>
          </cell>
          <cell r="AW231" t="str">
            <v/>
          </cell>
          <cell r="BA231" t="str">
            <v/>
          </cell>
        </row>
        <row r="232">
          <cell r="A232">
            <v>229</v>
          </cell>
          <cell r="C232" t="str">
            <v>September</v>
          </cell>
          <cell r="D232" t="str">
            <v/>
          </cell>
          <cell r="E232" t="str">
            <v/>
          </cell>
          <cell r="F232" t="str">
            <v/>
          </cell>
          <cell r="G232" t="str">
            <v/>
          </cell>
          <cell r="H232" t="str">
            <v/>
          </cell>
          <cell r="AR232" t="str">
            <v/>
          </cell>
          <cell r="AS232" t="str">
            <v/>
          </cell>
          <cell r="AU232" t="str">
            <v/>
          </cell>
          <cell r="AV232" t="str">
            <v/>
          </cell>
          <cell r="AW232" t="str">
            <v/>
          </cell>
          <cell r="BA232" t="str">
            <v/>
          </cell>
        </row>
        <row r="233">
          <cell r="A233">
            <v>230</v>
          </cell>
          <cell r="C233" t="str">
            <v>September</v>
          </cell>
          <cell r="D233" t="str">
            <v/>
          </cell>
          <cell r="E233" t="str">
            <v/>
          </cell>
          <cell r="F233" t="str">
            <v/>
          </cell>
          <cell r="G233" t="str">
            <v/>
          </cell>
          <cell r="H233" t="str">
            <v/>
          </cell>
          <cell r="AR233" t="str">
            <v/>
          </cell>
          <cell r="AS233" t="str">
            <v/>
          </cell>
          <cell r="AU233" t="str">
            <v/>
          </cell>
          <cell r="AV233" t="str">
            <v/>
          </cell>
          <cell r="AW233" t="str">
            <v/>
          </cell>
          <cell r="BA233" t="str">
            <v/>
          </cell>
        </row>
        <row r="234">
          <cell r="A234">
            <v>231</v>
          </cell>
          <cell r="C234" t="str">
            <v>September</v>
          </cell>
          <cell r="D234" t="str">
            <v/>
          </cell>
          <cell r="E234" t="str">
            <v/>
          </cell>
          <cell r="F234" t="str">
            <v/>
          </cell>
          <cell r="G234" t="str">
            <v/>
          </cell>
          <cell r="H234" t="str">
            <v/>
          </cell>
          <cell r="AR234" t="str">
            <v/>
          </cell>
          <cell r="AS234" t="str">
            <v/>
          </cell>
          <cell r="AU234" t="str">
            <v/>
          </cell>
          <cell r="AV234" t="str">
            <v/>
          </cell>
          <cell r="AW234" t="str">
            <v/>
          </cell>
          <cell r="BA234" t="str">
            <v/>
          </cell>
        </row>
        <row r="235">
          <cell r="A235">
            <v>232</v>
          </cell>
          <cell r="C235" t="str">
            <v>September</v>
          </cell>
          <cell r="D235" t="str">
            <v/>
          </cell>
          <cell r="E235" t="str">
            <v/>
          </cell>
          <cell r="F235" t="str">
            <v/>
          </cell>
          <cell r="G235" t="str">
            <v/>
          </cell>
          <cell r="H235" t="str">
            <v/>
          </cell>
          <cell r="AR235" t="str">
            <v/>
          </cell>
          <cell r="AS235" t="str">
            <v/>
          </cell>
          <cell r="AU235" t="str">
            <v/>
          </cell>
          <cell r="AV235" t="str">
            <v/>
          </cell>
          <cell r="AW235" t="str">
            <v/>
          </cell>
          <cell r="BA235" t="str">
            <v/>
          </cell>
        </row>
        <row r="236">
          <cell r="A236">
            <v>233</v>
          </cell>
          <cell r="C236" t="str">
            <v>September</v>
          </cell>
          <cell r="D236" t="str">
            <v/>
          </cell>
          <cell r="E236" t="str">
            <v/>
          </cell>
          <cell r="F236" t="str">
            <v/>
          </cell>
          <cell r="G236" t="str">
            <v/>
          </cell>
          <cell r="H236" t="str">
            <v/>
          </cell>
          <cell r="AR236" t="str">
            <v/>
          </cell>
          <cell r="AS236" t="str">
            <v/>
          </cell>
          <cell r="AU236" t="str">
            <v/>
          </cell>
          <cell r="AV236" t="str">
            <v/>
          </cell>
          <cell r="AW236" t="str">
            <v/>
          </cell>
          <cell r="BA236" t="str">
            <v/>
          </cell>
        </row>
        <row r="237">
          <cell r="A237">
            <v>234</v>
          </cell>
          <cell r="C237" t="str">
            <v>September</v>
          </cell>
          <cell r="D237" t="str">
            <v/>
          </cell>
          <cell r="E237" t="str">
            <v/>
          </cell>
          <cell r="F237" t="str">
            <v/>
          </cell>
          <cell r="G237" t="str">
            <v/>
          </cell>
          <cell r="H237" t="str">
            <v/>
          </cell>
          <cell r="AR237" t="str">
            <v/>
          </cell>
          <cell r="AS237" t="str">
            <v/>
          </cell>
          <cell r="AU237" t="str">
            <v/>
          </cell>
          <cell r="AV237" t="str">
            <v/>
          </cell>
          <cell r="AW237" t="str">
            <v/>
          </cell>
          <cell r="BA237" t="str">
            <v/>
          </cell>
        </row>
        <row r="238">
          <cell r="A238">
            <v>235</v>
          </cell>
          <cell r="C238" t="str">
            <v>September</v>
          </cell>
          <cell r="D238" t="str">
            <v/>
          </cell>
          <cell r="E238" t="str">
            <v/>
          </cell>
          <cell r="F238" t="str">
            <v/>
          </cell>
          <cell r="G238" t="str">
            <v/>
          </cell>
          <cell r="H238" t="str">
            <v/>
          </cell>
          <cell r="AR238" t="str">
            <v/>
          </cell>
          <cell r="AS238" t="str">
            <v/>
          </cell>
          <cell r="AU238" t="str">
            <v/>
          </cell>
          <cell r="AV238" t="str">
            <v/>
          </cell>
          <cell r="AW238" t="str">
            <v/>
          </cell>
          <cell r="BA238" t="str">
            <v/>
          </cell>
        </row>
        <row r="239">
          <cell r="A239">
            <v>236</v>
          </cell>
          <cell r="C239" t="str">
            <v>September</v>
          </cell>
          <cell r="D239" t="str">
            <v/>
          </cell>
          <cell r="E239" t="str">
            <v/>
          </cell>
          <cell r="F239" t="str">
            <v/>
          </cell>
          <cell r="G239" t="str">
            <v/>
          </cell>
          <cell r="H239" t="str">
            <v/>
          </cell>
          <cell r="AR239" t="str">
            <v/>
          </cell>
          <cell r="AS239" t="str">
            <v/>
          </cell>
          <cell r="AU239" t="str">
            <v/>
          </cell>
          <cell r="AV239" t="str">
            <v/>
          </cell>
          <cell r="AW239" t="str">
            <v/>
          </cell>
          <cell r="BA239" t="str">
            <v/>
          </cell>
        </row>
        <row r="240">
          <cell r="A240">
            <v>237</v>
          </cell>
          <cell r="C240" t="str">
            <v>September</v>
          </cell>
          <cell r="D240" t="str">
            <v/>
          </cell>
          <cell r="E240" t="str">
            <v/>
          </cell>
          <cell r="F240" t="str">
            <v/>
          </cell>
          <cell r="G240" t="str">
            <v/>
          </cell>
          <cell r="H240" t="str">
            <v/>
          </cell>
          <cell r="AR240" t="str">
            <v/>
          </cell>
          <cell r="AS240" t="str">
            <v/>
          </cell>
          <cell r="AU240" t="str">
            <v/>
          </cell>
          <cell r="AV240" t="str">
            <v/>
          </cell>
          <cell r="AW240" t="str">
            <v/>
          </cell>
          <cell r="BA240" t="str">
            <v/>
          </cell>
        </row>
        <row r="241">
          <cell r="A241">
            <v>238</v>
          </cell>
          <cell r="C241" t="str">
            <v>September</v>
          </cell>
          <cell r="D241" t="str">
            <v/>
          </cell>
          <cell r="E241" t="str">
            <v/>
          </cell>
          <cell r="F241" t="str">
            <v/>
          </cell>
          <cell r="G241" t="str">
            <v/>
          </cell>
          <cell r="H241" t="str">
            <v/>
          </cell>
          <cell r="AR241" t="str">
            <v/>
          </cell>
          <cell r="AS241" t="str">
            <v/>
          </cell>
          <cell r="AU241" t="str">
            <v/>
          </cell>
          <cell r="AV241" t="str">
            <v/>
          </cell>
          <cell r="AW241" t="str">
            <v/>
          </cell>
          <cell r="BA241" t="str">
            <v/>
          </cell>
        </row>
        <row r="242">
          <cell r="A242">
            <v>239</v>
          </cell>
          <cell r="C242" t="str">
            <v>September</v>
          </cell>
          <cell r="D242" t="str">
            <v/>
          </cell>
          <cell r="E242" t="str">
            <v/>
          </cell>
          <cell r="F242" t="str">
            <v/>
          </cell>
          <cell r="G242" t="str">
            <v/>
          </cell>
          <cell r="H242" t="str">
            <v/>
          </cell>
          <cell r="AR242" t="str">
            <v/>
          </cell>
          <cell r="AS242" t="str">
            <v/>
          </cell>
          <cell r="AU242" t="str">
            <v/>
          </cell>
          <cell r="AV242" t="str">
            <v/>
          </cell>
          <cell r="AW242" t="str">
            <v/>
          </cell>
          <cell r="BA242" t="str">
            <v/>
          </cell>
        </row>
        <row r="243">
          <cell r="A243">
            <v>240</v>
          </cell>
          <cell r="C243" t="str">
            <v>September</v>
          </cell>
          <cell r="D243" t="str">
            <v/>
          </cell>
          <cell r="E243" t="str">
            <v/>
          </cell>
          <cell r="F243" t="str">
            <v/>
          </cell>
          <cell r="G243" t="str">
            <v/>
          </cell>
          <cell r="H243" t="str">
            <v/>
          </cell>
          <cell r="AR243" t="str">
            <v/>
          </cell>
          <cell r="AS243" t="str">
            <v/>
          </cell>
          <cell r="AU243" t="str">
            <v/>
          </cell>
          <cell r="AV243" t="str">
            <v/>
          </cell>
          <cell r="AW243" t="str">
            <v/>
          </cell>
          <cell r="BA243" t="str">
            <v/>
          </cell>
        </row>
        <row r="244">
          <cell r="A244">
            <v>241</v>
          </cell>
          <cell r="C244" t="str">
            <v>October</v>
          </cell>
          <cell r="D244" t="str">
            <v>122625140006</v>
          </cell>
          <cell r="E244" t="str">
            <v>ACAYAN, ELIJAH DITALO</v>
          </cell>
          <cell r="F244" t="str">
            <v>Male</v>
          </cell>
          <cell r="G244">
            <v>1</v>
          </cell>
          <cell r="H244">
            <v>1</v>
          </cell>
          <cell r="AR244">
            <v>0</v>
          </cell>
          <cell r="AS244">
            <v>22</v>
          </cell>
          <cell r="AU244">
            <v>0</v>
          </cell>
          <cell r="AV244">
            <v>46296</v>
          </cell>
          <cell r="AW244">
            <v>46325</v>
          </cell>
          <cell r="BA244">
            <v>1</v>
          </cell>
        </row>
        <row r="245">
          <cell r="A245">
            <v>242</v>
          </cell>
          <cell r="C245" t="str">
            <v>October</v>
          </cell>
          <cell r="D245" t="str">
            <v>419658160041</v>
          </cell>
          <cell r="E245" t="str">
            <v>ARCILLA, KYLE XANDRE MATUS</v>
          </cell>
          <cell r="F245" t="str">
            <v>Male</v>
          </cell>
          <cell r="G245">
            <v>1</v>
          </cell>
          <cell r="H245">
            <v>1</v>
          </cell>
          <cell r="AR245">
            <v>0</v>
          </cell>
          <cell r="AS245">
            <v>22</v>
          </cell>
          <cell r="AU245">
            <v>0</v>
          </cell>
          <cell r="AV245">
            <v>46296</v>
          </cell>
          <cell r="AW245">
            <v>46325</v>
          </cell>
          <cell r="BA245">
            <v>2</v>
          </cell>
        </row>
        <row r="246">
          <cell r="A246">
            <v>243</v>
          </cell>
          <cell r="C246" t="str">
            <v>October</v>
          </cell>
          <cell r="D246" t="str">
            <v>104015140057</v>
          </cell>
          <cell r="E246" t="str">
            <v>CAPAYAN, DENVER CORPUZ</v>
          </cell>
          <cell r="F246" t="str">
            <v>Male</v>
          </cell>
          <cell r="G246">
            <v>1</v>
          </cell>
          <cell r="H246">
            <v>1</v>
          </cell>
          <cell r="AR246">
            <v>0</v>
          </cell>
          <cell r="AS246">
            <v>22</v>
          </cell>
          <cell r="AU246">
            <v>0</v>
          </cell>
          <cell r="AV246">
            <v>46296</v>
          </cell>
          <cell r="AW246">
            <v>46325</v>
          </cell>
          <cell r="BA246">
            <v>3</v>
          </cell>
        </row>
        <row r="247">
          <cell r="A247">
            <v>244</v>
          </cell>
          <cell r="C247" t="str">
            <v>October</v>
          </cell>
          <cell r="D247" t="str">
            <v>107023140026</v>
          </cell>
          <cell r="E247" t="str">
            <v>DOMINGO, FRYNNS LIAM ATIENZA</v>
          </cell>
          <cell r="F247" t="str">
            <v>Male</v>
          </cell>
          <cell r="G247">
            <v>1</v>
          </cell>
          <cell r="H247">
            <v>1</v>
          </cell>
          <cell r="AR247">
            <v>0</v>
          </cell>
          <cell r="AS247">
            <v>22</v>
          </cell>
          <cell r="AU247">
            <v>0</v>
          </cell>
          <cell r="AV247">
            <v>46296</v>
          </cell>
          <cell r="AW247">
            <v>46325</v>
          </cell>
          <cell r="BA247">
            <v>4</v>
          </cell>
        </row>
        <row r="248">
          <cell r="A248">
            <v>245</v>
          </cell>
          <cell r="C248" t="str">
            <v>October</v>
          </cell>
          <cell r="D248" t="str">
            <v>110347140023</v>
          </cell>
          <cell r="E248" t="str">
            <v>DUMADALUG, JAMES DIZON</v>
          </cell>
          <cell r="F248" t="str">
            <v>Male</v>
          </cell>
          <cell r="G248">
            <v>1</v>
          </cell>
          <cell r="H248">
            <v>1</v>
          </cell>
          <cell r="AR248">
            <v>0</v>
          </cell>
          <cell r="AS248">
            <v>22</v>
          </cell>
          <cell r="AU248">
            <v>0</v>
          </cell>
          <cell r="AV248">
            <v>46296</v>
          </cell>
          <cell r="AW248">
            <v>46325</v>
          </cell>
          <cell r="BA248">
            <v>5</v>
          </cell>
        </row>
        <row r="249">
          <cell r="A249">
            <v>246</v>
          </cell>
          <cell r="C249" t="str">
            <v>October</v>
          </cell>
          <cell r="D249" t="str">
            <v>107031140010</v>
          </cell>
          <cell r="E249" t="str">
            <v>GARCIA, KIRK NATHAN BOLSICO</v>
          </cell>
          <cell r="F249" t="str">
            <v>Male</v>
          </cell>
          <cell r="G249">
            <v>1</v>
          </cell>
          <cell r="H249">
            <v>1</v>
          </cell>
          <cell r="AR249">
            <v>0</v>
          </cell>
          <cell r="AS249">
            <v>22</v>
          </cell>
          <cell r="AU249">
            <v>0</v>
          </cell>
          <cell r="AV249">
            <v>46296</v>
          </cell>
          <cell r="AW249">
            <v>46325</v>
          </cell>
          <cell r="BA249">
            <v>6</v>
          </cell>
        </row>
        <row r="250">
          <cell r="A250">
            <v>247</v>
          </cell>
          <cell r="C250" t="str">
            <v>October</v>
          </cell>
          <cell r="D250" t="str">
            <v>107061140477</v>
          </cell>
          <cell r="E250" t="str">
            <v>GUEVARRA, SEAD SYRON CORPUZ</v>
          </cell>
          <cell r="F250" t="str">
            <v>Male</v>
          </cell>
          <cell r="G250">
            <v>1</v>
          </cell>
          <cell r="H250">
            <v>1</v>
          </cell>
          <cell r="AR250">
            <v>0</v>
          </cell>
          <cell r="AS250">
            <v>22</v>
          </cell>
          <cell r="AU250">
            <v>0</v>
          </cell>
          <cell r="AV250">
            <v>46296</v>
          </cell>
          <cell r="AW250">
            <v>46325</v>
          </cell>
          <cell r="BA250">
            <v>7</v>
          </cell>
        </row>
        <row r="251">
          <cell r="A251">
            <v>248</v>
          </cell>
          <cell r="C251" t="str">
            <v>October</v>
          </cell>
          <cell r="D251" t="str">
            <v>133624150052</v>
          </cell>
          <cell r="E251" t="str">
            <v>MACAPANTON, ALIMAN SULTAN</v>
          </cell>
          <cell r="F251" t="str">
            <v>Male</v>
          </cell>
          <cell r="G251">
            <v>1</v>
          </cell>
          <cell r="H251">
            <v>1</v>
          </cell>
          <cell r="AR251">
            <v>0</v>
          </cell>
          <cell r="AS251">
            <v>22</v>
          </cell>
          <cell r="AU251">
            <v>0</v>
          </cell>
          <cell r="AV251">
            <v>46296</v>
          </cell>
          <cell r="AW251">
            <v>46325</v>
          </cell>
          <cell r="BA251">
            <v>8</v>
          </cell>
        </row>
        <row r="252">
          <cell r="A252">
            <v>249</v>
          </cell>
          <cell r="C252" t="str">
            <v>October</v>
          </cell>
          <cell r="D252" t="str">
            <v>107027140164</v>
          </cell>
          <cell r="E252" t="str">
            <v>MEJIA, FRANCIS KHIAN LLARENA</v>
          </cell>
          <cell r="F252" t="str">
            <v>Male</v>
          </cell>
          <cell r="G252">
            <v>1</v>
          </cell>
          <cell r="H252">
            <v>1</v>
          </cell>
          <cell r="AR252">
            <v>0</v>
          </cell>
          <cell r="AS252">
            <v>22</v>
          </cell>
          <cell r="AU252">
            <v>0</v>
          </cell>
          <cell r="AV252">
            <v>46296</v>
          </cell>
          <cell r="AW252">
            <v>46325</v>
          </cell>
          <cell r="BA252">
            <v>9</v>
          </cell>
        </row>
        <row r="253">
          <cell r="A253">
            <v>250</v>
          </cell>
          <cell r="C253" t="str">
            <v>October</v>
          </cell>
          <cell r="D253" t="str">
            <v>107185140032</v>
          </cell>
          <cell r="E253" t="str">
            <v>NERI, GABRIEL BRIONES</v>
          </cell>
          <cell r="F253" t="str">
            <v>Male</v>
          </cell>
          <cell r="G253">
            <v>1</v>
          </cell>
          <cell r="H253">
            <v>1</v>
          </cell>
          <cell r="AR253">
            <v>0</v>
          </cell>
          <cell r="AS253">
            <v>22</v>
          </cell>
          <cell r="AU253">
            <v>0</v>
          </cell>
          <cell r="AV253">
            <v>46296</v>
          </cell>
          <cell r="AW253">
            <v>46325</v>
          </cell>
          <cell r="BA253">
            <v>10</v>
          </cell>
        </row>
        <row r="254">
          <cell r="A254">
            <v>251</v>
          </cell>
          <cell r="C254" t="str">
            <v>October</v>
          </cell>
          <cell r="D254" t="str">
            <v>107057130479</v>
          </cell>
          <cell r="E254" t="str">
            <v>PAYABYAB, SHELTER RAIN ALEJANDRO</v>
          </cell>
          <cell r="F254" t="str">
            <v>Male</v>
          </cell>
          <cell r="G254">
            <v>1</v>
          </cell>
          <cell r="H254">
            <v>1</v>
          </cell>
          <cell r="AR254">
            <v>0</v>
          </cell>
          <cell r="AS254">
            <v>22</v>
          </cell>
          <cell r="AU254">
            <v>0</v>
          </cell>
          <cell r="AV254">
            <v>46296</v>
          </cell>
          <cell r="AW254">
            <v>46325</v>
          </cell>
          <cell r="BA254">
            <v>11</v>
          </cell>
        </row>
        <row r="255">
          <cell r="A255">
            <v>252</v>
          </cell>
          <cell r="C255" t="str">
            <v>October</v>
          </cell>
          <cell r="D255" t="str">
            <v>113420140126</v>
          </cell>
          <cell r="E255" t="str">
            <v>RAMIREZ, RENCES DWANE RAMONES</v>
          </cell>
          <cell r="F255" t="str">
            <v>Male</v>
          </cell>
          <cell r="G255">
            <v>1</v>
          </cell>
          <cell r="H255">
            <v>1</v>
          </cell>
          <cell r="AR255">
            <v>0</v>
          </cell>
          <cell r="AS255">
            <v>22</v>
          </cell>
          <cell r="AU255">
            <v>0</v>
          </cell>
          <cell r="AV255">
            <v>46296</v>
          </cell>
          <cell r="AW255">
            <v>46325</v>
          </cell>
          <cell r="BA255">
            <v>12</v>
          </cell>
        </row>
        <row r="256">
          <cell r="A256">
            <v>253</v>
          </cell>
          <cell r="C256" t="str">
            <v>October</v>
          </cell>
          <cell r="D256" t="str">
            <v>107048150273</v>
          </cell>
          <cell r="E256" t="str">
            <v>SUGAY, ASHTON GUTIERREZ</v>
          </cell>
          <cell r="F256" t="str">
            <v>Male</v>
          </cell>
          <cell r="G256">
            <v>1</v>
          </cell>
          <cell r="H256">
            <v>1</v>
          </cell>
          <cell r="AR256">
            <v>0</v>
          </cell>
          <cell r="AS256">
            <v>22</v>
          </cell>
          <cell r="AU256">
            <v>0</v>
          </cell>
          <cell r="AV256">
            <v>46296</v>
          </cell>
          <cell r="AW256">
            <v>46325</v>
          </cell>
          <cell r="BA256">
            <v>13</v>
          </cell>
        </row>
        <row r="257">
          <cell r="A257">
            <v>254</v>
          </cell>
          <cell r="C257" t="str">
            <v>October</v>
          </cell>
          <cell r="D257">
            <v>107032140054</v>
          </cell>
          <cell r="E257" t="str">
            <v>SANTIAGO, JARED ALBERTH BARREDA</v>
          </cell>
          <cell r="F257" t="str">
            <v>Male</v>
          </cell>
          <cell r="G257">
            <v>1</v>
          </cell>
          <cell r="H257">
            <v>1</v>
          </cell>
          <cell r="AR257">
            <v>0</v>
          </cell>
          <cell r="AS257">
            <v>22</v>
          </cell>
          <cell r="AU257">
            <v>0</v>
          </cell>
          <cell r="AV257">
            <v>46296</v>
          </cell>
          <cell r="AW257">
            <v>46325</v>
          </cell>
          <cell r="BA257">
            <v>14</v>
          </cell>
        </row>
        <row r="258">
          <cell r="A258">
            <v>255</v>
          </cell>
          <cell r="C258" t="str">
            <v>October</v>
          </cell>
          <cell r="D258" t="str">
            <v>122379140033</v>
          </cell>
          <cell r="E258" t="str">
            <v>ACAYAN, HANNAH NICOLE COSTUNA</v>
          </cell>
          <cell r="F258" t="str">
            <v>Female</v>
          </cell>
          <cell r="G258">
            <v>1</v>
          </cell>
          <cell r="H258">
            <v>1</v>
          </cell>
          <cell r="AR258">
            <v>0</v>
          </cell>
          <cell r="AS258">
            <v>22</v>
          </cell>
          <cell r="AU258">
            <v>0</v>
          </cell>
          <cell r="AV258">
            <v>46296</v>
          </cell>
          <cell r="AW258">
            <v>46325</v>
          </cell>
          <cell r="BA258">
            <v>1</v>
          </cell>
        </row>
        <row r="259">
          <cell r="A259">
            <v>256</v>
          </cell>
          <cell r="C259" t="str">
            <v>October</v>
          </cell>
          <cell r="D259" t="str">
            <v>107041140509</v>
          </cell>
          <cell r="E259" t="str">
            <v>AREÑEZ, FRANCHESKA OCAMPO</v>
          </cell>
          <cell r="F259" t="str">
            <v>Female</v>
          </cell>
          <cell r="G259">
            <v>1</v>
          </cell>
          <cell r="H259">
            <v>1</v>
          </cell>
          <cell r="AR259">
            <v>0</v>
          </cell>
          <cell r="AS259">
            <v>22</v>
          </cell>
          <cell r="AU259">
            <v>0</v>
          </cell>
          <cell r="AV259">
            <v>46296</v>
          </cell>
          <cell r="AW259">
            <v>46325</v>
          </cell>
          <cell r="BA259">
            <v>2</v>
          </cell>
        </row>
        <row r="260">
          <cell r="A260">
            <v>257</v>
          </cell>
          <cell r="C260" t="str">
            <v>October</v>
          </cell>
          <cell r="D260" t="str">
            <v>159547140065</v>
          </cell>
          <cell r="E260" t="str">
            <v>BALUCANAG, CHLOE LIAN GALINO</v>
          </cell>
          <cell r="F260" t="str">
            <v>Female</v>
          </cell>
          <cell r="G260">
            <v>1</v>
          </cell>
          <cell r="H260">
            <v>1</v>
          </cell>
          <cell r="AR260">
            <v>0</v>
          </cell>
          <cell r="AS260">
            <v>22</v>
          </cell>
          <cell r="AU260">
            <v>0</v>
          </cell>
          <cell r="AV260">
            <v>46296</v>
          </cell>
          <cell r="AW260">
            <v>46325</v>
          </cell>
          <cell r="BA260">
            <v>3</v>
          </cell>
        </row>
        <row r="261">
          <cell r="A261">
            <v>258</v>
          </cell>
          <cell r="C261" t="str">
            <v>October</v>
          </cell>
          <cell r="D261" t="str">
            <v>107022140163</v>
          </cell>
          <cell r="E261" t="str">
            <v>BIE, JOHN RAIN MAGTOTO</v>
          </cell>
          <cell r="F261" t="str">
            <v>Female</v>
          </cell>
          <cell r="G261">
            <v>1</v>
          </cell>
          <cell r="H261">
            <v>1</v>
          </cell>
          <cell r="AR261">
            <v>0</v>
          </cell>
          <cell r="AS261">
            <v>22</v>
          </cell>
          <cell r="AU261">
            <v>0</v>
          </cell>
          <cell r="AV261">
            <v>46296</v>
          </cell>
          <cell r="AW261">
            <v>46325</v>
          </cell>
          <cell r="BA261">
            <v>4</v>
          </cell>
        </row>
        <row r="262">
          <cell r="A262">
            <v>259</v>
          </cell>
          <cell r="C262" t="str">
            <v>October</v>
          </cell>
          <cell r="D262" t="str">
            <v>105935140024</v>
          </cell>
          <cell r="E262" t="str">
            <v>DAVID, ASHLEY LAPUZ</v>
          </cell>
          <cell r="F262" t="str">
            <v>Female</v>
          </cell>
          <cell r="G262">
            <v>1</v>
          </cell>
          <cell r="H262">
            <v>1</v>
          </cell>
          <cell r="AR262">
            <v>0</v>
          </cell>
          <cell r="AS262">
            <v>22</v>
          </cell>
          <cell r="AU262">
            <v>0</v>
          </cell>
          <cell r="AV262">
            <v>46296</v>
          </cell>
          <cell r="AW262">
            <v>46325</v>
          </cell>
          <cell r="BA262">
            <v>5</v>
          </cell>
        </row>
        <row r="263">
          <cell r="A263">
            <v>260</v>
          </cell>
          <cell r="C263" t="str">
            <v>October</v>
          </cell>
          <cell r="D263" t="str">
            <v>106066150025</v>
          </cell>
          <cell r="E263" t="str">
            <v>FLORES, THEA MARIE LUMUYA</v>
          </cell>
          <cell r="F263" t="str">
            <v>Female</v>
          </cell>
          <cell r="G263">
            <v>1</v>
          </cell>
          <cell r="H263">
            <v>1</v>
          </cell>
          <cell r="AR263">
            <v>0</v>
          </cell>
          <cell r="AS263">
            <v>22</v>
          </cell>
          <cell r="AU263">
            <v>0</v>
          </cell>
          <cell r="AV263">
            <v>46296</v>
          </cell>
          <cell r="AW263">
            <v>46325</v>
          </cell>
          <cell r="BA263">
            <v>6</v>
          </cell>
        </row>
        <row r="264">
          <cell r="A264">
            <v>261</v>
          </cell>
          <cell r="C264" t="str">
            <v>October</v>
          </cell>
          <cell r="D264" t="str">
            <v>107032140061</v>
          </cell>
          <cell r="E264" t="str">
            <v>INGAL, SHAINA KYLE PINEDA</v>
          </cell>
          <cell r="F264" t="str">
            <v>Female</v>
          </cell>
          <cell r="G264">
            <v>1</v>
          </cell>
          <cell r="H264">
            <v>1</v>
          </cell>
          <cell r="AR264">
            <v>0</v>
          </cell>
          <cell r="AS264">
            <v>22</v>
          </cell>
          <cell r="AU264">
            <v>0</v>
          </cell>
          <cell r="AV264">
            <v>46296</v>
          </cell>
          <cell r="AW264">
            <v>46325</v>
          </cell>
          <cell r="BA264">
            <v>7</v>
          </cell>
        </row>
        <row r="265">
          <cell r="A265">
            <v>262</v>
          </cell>
          <cell r="C265" t="str">
            <v>October</v>
          </cell>
          <cell r="D265">
            <v>106072140070</v>
          </cell>
          <cell r="E265" t="str">
            <v>MACAPODI, AINA MANGUNTAWAR</v>
          </cell>
          <cell r="F265" t="str">
            <v>Female</v>
          </cell>
          <cell r="G265">
            <v>1</v>
          </cell>
          <cell r="H265">
            <v>1</v>
          </cell>
          <cell r="AR265">
            <v>0</v>
          </cell>
          <cell r="AS265">
            <v>22</v>
          </cell>
          <cell r="AU265">
            <v>0</v>
          </cell>
          <cell r="AV265">
            <v>46296</v>
          </cell>
          <cell r="AW265">
            <v>46325</v>
          </cell>
          <cell r="BA265">
            <v>8</v>
          </cell>
        </row>
        <row r="266">
          <cell r="A266">
            <v>263</v>
          </cell>
          <cell r="C266" t="str">
            <v>October</v>
          </cell>
          <cell r="D266" t="str">
            <v>136634150917</v>
          </cell>
          <cell r="E266" t="str">
            <v>MIPAMPANG, RASHEDA BASCARA</v>
          </cell>
          <cell r="F266" t="str">
            <v>Female</v>
          </cell>
          <cell r="G266">
            <v>1</v>
          </cell>
          <cell r="H266">
            <v>1</v>
          </cell>
          <cell r="AR266">
            <v>0</v>
          </cell>
          <cell r="AS266">
            <v>22</v>
          </cell>
          <cell r="AU266">
            <v>0</v>
          </cell>
          <cell r="AV266">
            <v>46296</v>
          </cell>
          <cell r="AW266">
            <v>46325</v>
          </cell>
          <cell r="BA266">
            <v>9</v>
          </cell>
        </row>
        <row r="267">
          <cell r="A267">
            <v>264</v>
          </cell>
          <cell r="C267" t="str">
            <v>October</v>
          </cell>
          <cell r="D267" t="str">
            <v>107028140103</v>
          </cell>
          <cell r="E267" t="str">
            <v>TAYSON, DANIELLE MAE PANES</v>
          </cell>
          <cell r="F267" t="str">
            <v>Female</v>
          </cell>
          <cell r="G267">
            <v>1</v>
          </cell>
          <cell r="H267">
            <v>1</v>
          </cell>
          <cell r="AR267">
            <v>0</v>
          </cell>
          <cell r="AS267">
            <v>22</v>
          </cell>
          <cell r="AU267">
            <v>0</v>
          </cell>
          <cell r="AV267">
            <v>46296</v>
          </cell>
          <cell r="AW267">
            <v>46325</v>
          </cell>
          <cell r="BA267">
            <v>10</v>
          </cell>
        </row>
        <row r="268">
          <cell r="A268">
            <v>265</v>
          </cell>
          <cell r="C268" t="str">
            <v>October</v>
          </cell>
          <cell r="D268">
            <v>105205140016</v>
          </cell>
          <cell r="E268" t="str">
            <v>FAJARDO, PRINCE DANIEL RODAJE</v>
          </cell>
          <cell r="F268" t="str">
            <v>Female</v>
          </cell>
          <cell r="G268">
            <v>1</v>
          </cell>
          <cell r="H268">
            <v>1</v>
          </cell>
          <cell r="AR268">
            <v>0</v>
          </cell>
          <cell r="AS268">
            <v>22</v>
          </cell>
          <cell r="AU268">
            <v>0</v>
          </cell>
          <cell r="AV268">
            <v>46296</v>
          </cell>
          <cell r="AW268">
            <v>46325</v>
          </cell>
          <cell r="BA268">
            <v>11</v>
          </cell>
        </row>
        <row r="269">
          <cell r="A269">
            <v>266</v>
          </cell>
          <cell r="C269" t="str">
            <v>October</v>
          </cell>
          <cell r="D269" t="str">
            <v/>
          </cell>
          <cell r="E269" t="str">
            <v/>
          </cell>
          <cell r="F269" t="str">
            <v/>
          </cell>
          <cell r="G269" t="str">
            <v/>
          </cell>
          <cell r="H269" t="str">
            <v/>
          </cell>
          <cell r="AR269" t="str">
            <v/>
          </cell>
          <cell r="AS269" t="str">
            <v/>
          </cell>
          <cell r="AU269" t="str">
            <v/>
          </cell>
          <cell r="AV269" t="str">
            <v/>
          </cell>
          <cell r="AW269" t="str">
            <v/>
          </cell>
          <cell r="BA269" t="str">
            <v/>
          </cell>
        </row>
        <row r="270">
          <cell r="A270">
            <v>267</v>
          </cell>
          <cell r="C270" t="str">
            <v>October</v>
          </cell>
          <cell r="D270" t="str">
            <v/>
          </cell>
          <cell r="E270" t="str">
            <v/>
          </cell>
          <cell r="F270" t="str">
            <v/>
          </cell>
          <cell r="G270" t="str">
            <v/>
          </cell>
          <cell r="H270" t="str">
            <v/>
          </cell>
          <cell r="AR270" t="str">
            <v/>
          </cell>
          <cell r="AS270" t="str">
            <v/>
          </cell>
          <cell r="AU270" t="str">
            <v/>
          </cell>
          <cell r="AV270" t="str">
            <v/>
          </cell>
          <cell r="AW270" t="str">
            <v/>
          </cell>
          <cell r="BA270" t="str">
            <v/>
          </cell>
        </row>
        <row r="271">
          <cell r="A271">
            <v>268</v>
          </cell>
          <cell r="C271" t="str">
            <v>October</v>
          </cell>
          <cell r="D271" t="str">
            <v/>
          </cell>
          <cell r="E271" t="str">
            <v/>
          </cell>
          <cell r="F271" t="str">
            <v/>
          </cell>
          <cell r="G271" t="str">
            <v/>
          </cell>
          <cell r="H271" t="str">
            <v/>
          </cell>
          <cell r="AR271" t="str">
            <v/>
          </cell>
          <cell r="AS271" t="str">
            <v/>
          </cell>
          <cell r="AU271" t="str">
            <v/>
          </cell>
          <cell r="AV271" t="str">
            <v/>
          </cell>
          <cell r="AW271" t="str">
            <v/>
          </cell>
          <cell r="BA271" t="str">
            <v/>
          </cell>
        </row>
        <row r="272">
          <cell r="A272">
            <v>269</v>
          </cell>
          <cell r="C272" t="str">
            <v>October</v>
          </cell>
          <cell r="D272" t="str">
            <v/>
          </cell>
          <cell r="E272" t="str">
            <v/>
          </cell>
          <cell r="F272" t="str">
            <v/>
          </cell>
          <cell r="G272" t="str">
            <v/>
          </cell>
          <cell r="H272" t="str">
            <v/>
          </cell>
          <cell r="AR272" t="str">
            <v/>
          </cell>
          <cell r="AS272" t="str">
            <v/>
          </cell>
          <cell r="AU272" t="str">
            <v/>
          </cell>
          <cell r="AV272" t="str">
            <v/>
          </cell>
          <cell r="AW272" t="str">
            <v/>
          </cell>
          <cell r="BA272" t="str">
            <v/>
          </cell>
        </row>
        <row r="273">
          <cell r="A273">
            <v>270</v>
          </cell>
          <cell r="C273" t="str">
            <v>October</v>
          </cell>
          <cell r="D273" t="str">
            <v/>
          </cell>
          <cell r="E273" t="str">
            <v/>
          </cell>
          <cell r="F273" t="str">
            <v/>
          </cell>
          <cell r="G273" t="str">
            <v/>
          </cell>
          <cell r="H273" t="str">
            <v/>
          </cell>
          <cell r="AR273" t="str">
            <v/>
          </cell>
          <cell r="AS273" t="str">
            <v/>
          </cell>
          <cell r="AU273" t="str">
            <v/>
          </cell>
          <cell r="AV273" t="str">
            <v/>
          </cell>
          <cell r="AW273" t="str">
            <v/>
          </cell>
          <cell r="BA273" t="str">
            <v/>
          </cell>
        </row>
        <row r="274">
          <cell r="A274">
            <v>271</v>
          </cell>
          <cell r="C274" t="str">
            <v>October</v>
          </cell>
          <cell r="D274" t="str">
            <v/>
          </cell>
          <cell r="E274" t="str">
            <v/>
          </cell>
          <cell r="F274" t="str">
            <v/>
          </cell>
          <cell r="G274" t="str">
            <v/>
          </cell>
          <cell r="H274" t="str">
            <v/>
          </cell>
          <cell r="AR274" t="str">
            <v/>
          </cell>
          <cell r="AS274" t="str">
            <v/>
          </cell>
          <cell r="AU274" t="str">
            <v/>
          </cell>
          <cell r="AV274" t="str">
            <v/>
          </cell>
          <cell r="AW274" t="str">
            <v/>
          </cell>
          <cell r="BA274" t="str">
            <v/>
          </cell>
        </row>
        <row r="275">
          <cell r="A275">
            <v>272</v>
          </cell>
          <cell r="C275" t="str">
            <v>October</v>
          </cell>
          <cell r="D275" t="str">
            <v/>
          </cell>
          <cell r="E275" t="str">
            <v/>
          </cell>
          <cell r="F275" t="str">
            <v/>
          </cell>
          <cell r="G275" t="str">
            <v/>
          </cell>
          <cell r="H275" t="str">
            <v/>
          </cell>
          <cell r="AR275" t="str">
            <v/>
          </cell>
          <cell r="AS275" t="str">
            <v/>
          </cell>
          <cell r="AU275" t="str">
            <v/>
          </cell>
          <cell r="AV275" t="str">
            <v/>
          </cell>
          <cell r="AW275" t="str">
            <v/>
          </cell>
          <cell r="BA275" t="str">
            <v/>
          </cell>
        </row>
        <row r="276">
          <cell r="A276">
            <v>273</v>
          </cell>
          <cell r="C276" t="str">
            <v>October</v>
          </cell>
          <cell r="D276" t="str">
            <v/>
          </cell>
          <cell r="E276" t="str">
            <v/>
          </cell>
          <cell r="F276" t="str">
            <v/>
          </cell>
          <cell r="G276" t="str">
            <v/>
          </cell>
          <cell r="H276" t="str">
            <v/>
          </cell>
          <cell r="AR276" t="str">
            <v/>
          </cell>
          <cell r="AS276" t="str">
            <v/>
          </cell>
          <cell r="AU276" t="str">
            <v/>
          </cell>
          <cell r="AV276" t="str">
            <v/>
          </cell>
          <cell r="AW276" t="str">
            <v/>
          </cell>
          <cell r="BA276" t="str">
            <v/>
          </cell>
        </row>
        <row r="277">
          <cell r="A277">
            <v>274</v>
          </cell>
          <cell r="C277" t="str">
            <v>October</v>
          </cell>
          <cell r="D277" t="str">
            <v/>
          </cell>
          <cell r="E277" t="str">
            <v/>
          </cell>
          <cell r="F277" t="str">
            <v/>
          </cell>
          <cell r="G277" t="str">
            <v/>
          </cell>
          <cell r="H277" t="str">
            <v/>
          </cell>
          <cell r="AR277" t="str">
            <v/>
          </cell>
          <cell r="AS277" t="str">
            <v/>
          </cell>
          <cell r="AU277" t="str">
            <v/>
          </cell>
          <cell r="AV277" t="str">
            <v/>
          </cell>
          <cell r="AW277" t="str">
            <v/>
          </cell>
          <cell r="BA277" t="str">
            <v/>
          </cell>
        </row>
        <row r="278">
          <cell r="A278">
            <v>275</v>
          </cell>
          <cell r="C278" t="str">
            <v>October</v>
          </cell>
          <cell r="D278" t="str">
            <v/>
          </cell>
          <cell r="E278" t="str">
            <v/>
          </cell>
          <cell r="F278" t="str">
            <v/>
          </cell>
          <cell r="G278" t="str">
            <v/>
          </cell>
          <cell r="H278" t="str">
            <v/>
          </cell>
          <cell r="AR278" t="str">
            <v/>
          </cell>
          <cell r="AS278" t="str">
            <v/>
          </cell>
          <cell r="AU278" t="str">
            <v/>
          </cell>
          <cell r="AV278" t="str">
            <v/>
          </cell>
          <cell r="AW278" t="str">
            <v/>
          </cell>
          <cell r="BA278" t="str">
            <v/>
          </cell>
        </row>
        <row r="279">
          <cell r="A279">
            <v>276</v>
          </cell>
          <cell r="C279" t="str">
            <v>October</v>
          </cell>
          <cell r="D279" t="str">
            <v/>
          </cell>
          <cell r="E279" t="str">
            <v/>
          </cell>
          <cell r="F279" t="str">
            <v/>
          </cell>
          <cell r="G279" t="str">
            <v/>
          </cell>
          <cell r="H279" t="str">
            <v/>
          </cell>
          <cell r="AR279" t="str">
            <v/>
          </cell>
          <cell r="AS279" t="str">
            <v/>
          </cell>
          <cell r="AU279" t="str">
            <v/>
          </cell>
          <cell r="AV279" t="str">
            <v/>
          </cell>
          <cell r="AW279" t="str">
            <v/>
          </cell>
          <cell r="BA279" t="str">
            <v/>
          </cell>
        </row>
        <row r="280">
          <cell r="A280">
            <v>277</v>
          </cell>
          <cell r="C280" t="str">
            <v>October</v>
          </cell>
          <cell r="D280" t="str">
            <v/>
          </cell>
          <cell r="E280" t="str">
            <v/>
          </cell>
          <cell r="F280" t="str">
            <v/>
          </cell>
          <cell r="G280" t="str">
            <v/>
          </cell>
          <cell r="H280" t="str">
            <v/>
          </cell>
          <cell r="AR280" t="str">
            <v/>
          </cell>
          <cell r="AS280" t="str">
            <v/>
          </cell>
          <cell r="AU280" t="str">
            <v/>
          </cell>
          <cell r="AV280" t="str">
            <v/>
          </cell>
          <cell r="AW280" t="str">
            <v/>
          </cell>
          <cell r="BA280" t="str">
            <v/>
          </cell>
        </row>
        <row r="281">
          <cell r="A281">
            <v>278</v>
          </cell>
          <cell r="C281" t="str">
            <v>October</v>
          </cell>
          <cell r="D281" t="str">
            <v/>
          </cell>
          <cell r="E281" t="str">
            <v/>
          </cell>
          <cell r="F281" t="str">
            <v/>
          </cell>
          <cell r="G281" t="str">
            <v/>
          </cell>
          <cell r="H281" t="str">
            <v/>
          </cell>
          <cell r="AR281" t="str">
            <v/>
          </cell>
          <cell r="AS281" t="str">
            <v/>
          </cell>
          <cell r="AU281" t="str">
            <v/>
          </cell>
          <cell r="AV281" t="str">
            <v/>
          </cell>
          <cell r="AW281" t="str">
            <v/>
          </cell>
          <cell r="BA281" t="str">
            <v/>
          </cell>
        </row>
        <row r="282">
          <cell r="A282">
            <v>279</v>
          </cell>
          <cell r="C282" t="str">
            <v>October</v>
          </cell>
          <cell r="D282" t="str">
            <v/>
          </cell>
          <cell r="E282" t="str">
            <v/>
          </cell>
          <cell r="F282" t="str">
            <v/>
          </cell>
          <cell r="G282" t="str">
            <v/>
          </cell>
          <cell r="H282" t="str">
            <v/>
          </cell>
          <cell r="AR282" t="str">
            <v/>
          </cell>
          <cell r="AS282" t="str">
            <v/>
          </cell>
          <cell r="AU282" t="str">
            <v/>
          </cell>
          <cell r="AV282" t="str">
            <v/>
          </cell>
          <cell r="AW282" t="str">
            <v/>
          </cell>
          <cell r="BA282" t="str">
            <v/>
          </cell>
        </row>
        <row r="283">
          <cell r="A283">
            <v>280</v>
          </cell>
          <cell r="C283" t="str">
            <v>October</v>
          </cell>
          <cell r="D283" t="str">
            <v/>
          </cell>
          <cell r="E283" t="str">
            <v/>
          </cell>
          <cell r="F283" t="str">
            <v/>
          </cell>
          <cell r="G283" t="str">
            <v/>
          </cell>
          <cell r="H283" t="str">
            <v/>
          </cell>
          <cell r="AR283" t="str">
            <v/>
          </cell>
          <cell r="AS283" t="str">
            <v/>
          </cell>
          <cell r="AU283" t="str">
            <v/>
          </cell>
          <cell r="AV283" t="str">
            <v/>
          </cell>
          <cell r="AW283" t="str">
            <v/>
          </cell>
          <cell r="BA283" t="str">
            <v/>
          </cell>
        </row>
        <row r="284">
          <cell r="A284">
            <v>281</v>
          </cell>
          <cell r="C284" t="str">
            <v>October</v>
          </cell>
          <cell r="D284" t="str">
            <v/>
          </cell>
          <cell r="E284" t="str">
            <v/>
          </cell>
          <cell r="F284" t="str">
            <v/>
          </cell>
          <cell r="G284" t="str">
            <v/>
          </cell>
          <cell r="H284" t="str">
            <v/>
          </cell>
          <cell r="AR284" t="str">
            <v/>
          </cell>
          <cell r="AS284" t="str">
            <v/>
          </cell>
          <cell r="AU284" t="str">
            <v/>
          </cell>
          <cell r="AV284" t="str">
            <v/>
          </cell>
          <cell r="AW284" t="str">
            <v/>
          </cell>
          <cell r="BA284" t="str">
            <v/>
          </cell>
        </row>
        <row r="285">
          <cell r="A285">
            <v>282</v>
          </cell>
          <cell r="C285" t="str">
            <v>October</v>
          </cell>
          <cell r="D285" t="str">
            <v/>
          </cell>
          <cell r="E285" t="str">
            <v/>
          </cell>
          <cell r="F285" t="str">
            <v/>
          </cell>
          <cell r="G285" t="str">
            <v/>
          </cell>
          <cell r="H285" t="str">
            <v/>
          </cell>
          <cell r="AR285" t="str">
            <v/>
          </cell>
          <cell r="AS285" t="str">
            <v/>
          </cell>
          <cell r="AU285" t="str">
            <v/>
          </cell>
          <cell r="AV285" t="str">
            <v/>
          </cell>
          <cell r="AW285" t="str">
            <v/>
          </cell>
          <cell r="BA285" t="str">
            <v/>
          </cell>
        </row>
        <row r="286">
          <cell r="A286">
            <v>283</v>
          </cell>
          <cell r="C286" t="str">
            <v>October</v>
          </cell>
          <cell r="D286" t="str">
            <v/>
          </cell>
          <cell r="E286" t="str">
            <v/>
          </cell>
          <cell r="F286" t="str">
            <v/>
          </cell>
          <cell r="G286" t="str">
            <v/>
          </cell>
          <cell r="H286" t="str">
            <v/>
          </cell>
          <cell r="AR286" t="str">
            <v/>
          </cell>
          <cell r="AS286" t="str">
            <v/>
          </cell>
          <cell r="AU286" t="str">
            <v/>
          </cell>
          <cell r="AV286" t="str">
            <v/>
          </cell>
          <cell r="AW286" t="str">
            <v/>
          </cell>
          <cell r="BA286" t="str">
            <v/>
          </cell>
        </row>
        <row r="287">
          <cell r="A287">
            <v>284</v>
          </cell>
          <cell r="C287" t="str">
            <v>October</v>
          </cell>
          <cell r="D287" t="str">
            <v/>
          </cell>
          <cell r="E287" t="str">
            <v/>
          </cell>
          <cell r="F287" t="str">
            <v/>
          </cell>
          <cell r="G287" t="str">
            <v/>
          </cell>
          <cell r="H287" t="str">
            <v/>
          </cell>
          <cell r="AR287" t="str">
            <v/>
          </cell>
          <cell r="AS287" t="str">
            <v/>
          </cell>
          <cell r="AU287" t="str">
            <v/>
          </cell>
          <cell r="AV287" t="str">
            <v/>
          </cell>
          <cell r="AW287" t="str">
            <v/>
          </cell>
          <cell r="BA287" t="str">
            <v/>
          </cell>
        </row>
        <row r="288">
          <cell r="A288">
            <v>285</v>
          </cell>
          <cell r="C288" t="str">
            <v>October</v>
          </cell>
          <cell r="D288" t="str">
            <v/>
          </cell>
          <cell r="E288" t="str">
            <v/>
          </cell>
          <cell r="F288" t="str">
            <v/>
          </cell>
          <cell r="G288" t="str">
            <v/>
          </cell>
          <cell r="H288" t="str">
            <v/>
          </cell>
          <cell r="AR288" t="str">
            <v/>
          </cell>
          <cell r="AS288" t="str">
            <v/>
          </cell>
          <cell r="AU288" t="str">
            <v/>
          </cell>
          <cell r="AV288" t="str">
            <v/>
          </cell>
          <cell r="AW288" t="str">
            <v/>
          </cell>
          <cell r="BA288" t="str">
            <v/>
          </cell>
        </row>
        <row r="289">
          <cell r="A289">
            <v>286</v>
          </cell>
          <cell r="C289" t="str">
            <v>October</v>
          </cell>
          <cell r="D289" t="str">
            <v/>
          </cell>
          <cell r="E289" t="str">
            <v/>
          </cell>
          <cell r="F289" t="str">
            <v/>
          </cell>
          <cell r="G289" t="str">
            <v/>
          </cell>
          <cell r="H289" t="str">
            <v/>
          </cell>
          <cell r="AR289" t="str">
            <v/>
          </cell>
          <cell r="AS289" t="str">
            <v/>
          </cell>
          <cell r="AU289" t="str">
            <v/>
          </cell>
          <cell r="AV289" t="str">
            <v/>
          </cell>
          <cell r="AW289" t="str">
            <v/>
          </cell>
          <cell r="BA289" t="str">
            <v/>
          </cell>
        </row>
        <row r="290">
          <cell r="A290">
            <v>287</v>
          </cell>
          <cell r="C290" t="str">
            <v>October</v>
          </cell>
          <cell r="D290" t="str">
            <v/>
          </cell>
          <cell r="E290" t="str">
            <v/>
          </cell>
          <cell r="F290" t="str">
            <v/>
          </cell>
          <cell r="G290" t="str">
            <v/>
          </cell>
          <cell r="H290" t="str">
            <v/>
          </cell>
          <cell r="AR290" t="str">
            <v/>
          </cell>
          <cell r="AS290" t="str">
            <v/>
          </cell>
          <cell r="AU290" t="str">
            <v/>
          </cell>
          <cell r="AV290" t="str">
            <v/>
          </cell>
          <cell r="AW290" t="str">
            <v/>
          </cell>
          <cell r="BA290" t="str">
            <v/>
          </cell>
        </row>
        <row r="291">
          <cell r="A291">
            <v>288</v>
          </cell>
          <cell r="C291" t="str">
            <v>October</v>
          </cell>
          <cell r="D291" t="str">
            <v/>
          </cell>
          <cell r="E291" t="str">
            <v/>
          </cell>
          <cell r="F291" t="str">
            <v/>
          </cell>
          <cell r="G291" t="str">
            <v/>
          </cell>
          <cell r="H291" t="str">
            <v/>
          </cell>
          <cell r="AR291" t="str">
            <v/>
          </cell>
          <cell r="AS291" t="str">
            <v/>
          </cell>
          <cell r="AU291" t="str">
            <v/>
          </cell>
          <cell r="AV291" t="str">
            <v/>
          </cell>
          <cell r="AW291" t="str">
            <v/>
          </cell>
          <cell r="BA291" t="str">
            <v/>
          </cell>
        </row>
        <row r="292">
          <cell r="A292">
            <v>289</v>
          </cell>
          <cell r="C292" t="str">
            <v>October</v>
          </cell>
          <cell r="D292" t="str">
            <v/>
          </cell>
          <cell r="E292" t="str">
            <v/>
          </cell>
          <cell r="F292" t="str">
            <v/>
          </cell>
          <cell r="G292" t="str">
            <v/>
          </cell>
          <cell r="H292" t="str">
            <v/>
          </cell>
          <cell r="AR292" t="str">
            <v/>
          </cell>
          <cell r="AS292" t="str">
            <v/>
          </cell>
          <cell r="AU292" t="str">
            <v/>
          </cell>
          <cell r="AV292" t="str">
            <v/>
          </cell>
          <cell r="AW292" t="str">
            <v/>
          </cell>
          <cell r="BA292" t="str">
            <v/>
          </cell>
        </row>
        <row r="293">
          <cell r="A293">
            <v>290</v>
          </cell>
          <cell r="C293" t="str">
            <v>October</v>
          </cell>
          <cell r="D293" t="str">
            <v/>
          </cell>
          <cell r="E293" t="str">
            <v/>
          </cell>
          <cell r="F293" t="str">
            <v/>
          </cell>
          <cell r="G293" t="str">
            <v/>
          </cell>
          <cell r="H293" t="str">
            <v/>
          </cell>
          <cell r="AR293" t="str">
            <v/>
          </cell>
          <cell r="AS293" t="str">
            <v/>
          </cell>
          <cell r="AU293" t="str">
            <v/>
          </cell>
          <cell r="AV293" t="str">
            <v/>
          </cell>
          <cell r="AW293" t="str">
            <v/>
          </cell>
          <cell r="BA293" t="str">
            <v/>
          </cell>
        </row>
        <row r="294">
          <cell r="A294">
            <v>291</v>
          </cell>
          <cell r="C294" t="str">
            <v>October</v>
          </cell>
          <cell r="D294" t="str">
            <v/>
          </cell>
          <cell r="E294" t="str">
            <v/>
          </cell>
          <cell r="F294" t="str">
            <v/>
          </cell>
          <cell r="G294" t="str">
            <v/>
          </cell>
          <cell r="H294" t="str">
            <v/>
          </cell>
          <cell r="AR294" t="str">
            <v/>
          </cell>
          <cell r="AS294" t="str">
            <v/>
          </cell>
          <cell r="AU294" t="str">
            <v/>
          </cell>
          <cell r="AV294" t="str">
            <v/>
          </cell>
          <cell r="AW294" t="str">
            <v/>
          </cell>
          <cell r="BA294" t="str">
            <v/>
          </cell>
        </row>
        <row r="295">
          <cell r="A295">
            <v>292</v>
          </cell>
          <cell r="C295" t="str">
            <v>October</v>
          </cell>
          <cell r="D295" t="str">
            <v/>
          </cell>
          <cell r="E295" t="str">
            <v/>
          </cell>
          <cell r="F295" t="str">
            <v/>
          </cell>
          <cell r="G295" t="str">
            <v/>
          </cell>
          <cell r="H295" t="str">
            <v/>
          </cell>
          <cell r="AR295" t="str">
            <v/>
          </cell>
          <cell r="AS295" t="str">
            <v/>
          </cell>
          <cell r="AU295" t="str">
            <v/>
          </cell>
          <cell r="AV295" t="str">
            <v/>
          </cell>
          <cell r="AW295" t="str">
            <v/>
          </cell>
          <cell r="BA295" t="str">
            <v/>
          </cell>
        </row>
        <row r="296">
          <cell r="A296">
            <v>293</v>
          </cell>
          <cell r="C296" t="str">
            <v>October</v>
          </cell>
          <cell r="D296" t="str">
            <v/>
          </cell>
          <cell r="E296" t="str">
            <v/>
          </cell>
          <cell r="F296" t="str">
            <v/>
          </cell>
          <cell r="G296" t="str">
            <v/>
          </cell>
          <cell r="H296" t="str">
            <v/>
          </cell>
          <cell r="AR296" t="str">
            <v/>
          </cell>
          <cell r="AS296" t="str">
            <v/>
          </cell>
          <cell r="AU296" t="str">
            <v/>
          </cell>
          <cell r="AV296" t="str">
            <v/>
          </cell>
          <cell r="AW296" t="str">
            <v/>
          </cell>
          <cell r="BA296" t="str">
            <v/>
          </cell>
        </row>
        <row r="297">
          <cell r="A297">
            <v>294</v>
          </cell>
          <cell r="C297" t="str">
            <v>October</v>
          </cell>
          <cell r="D297" t="str">
            <v/>
          </cell>
          <cell r="E297" t="str">
            <v/>
          </cell>
          <cell r="F297" t="str">
            <v/>
          </cell>
          <cell r="G297" t="str">
            <v/>
          </cell>
          <cell r="H297" t="str">
            <v/>
          </cell>
          <cell r="AR297" t="str">
            <v/>
          </cell>
          <cell r="AS297" t="str">
            <v/>
          </cell>
          <cell r="AU297" t="str">
            <v/>
          </cell>
          <cell r="AV297" t="str">
            <v/>
          </cell>
          <cell r="AW297" t="str">
            <v/>
          </cell>
          <cell r="BA297" t="str">
            <v/>
          </cell>
        </row>
        <row r="298">
          <cell r="A298">
            <v>295</v>
          </cell>
          <cell r="C298" t="str">
            <v>October</v>
          </cell>
          <cell r="D298" t="str">
            <v/>
          </cell>
          <cell r="E298" t="str">
            <v/>
          </cell>
          <cell r="F298" t="str">
            <v/>
          </cell>
          <cell r="G298" t="str">
            <v/>
          </cell>
          <cell r="H298" t="str">
            <v/>
          </cell>
          <cell r="AR298" t="str">
            <v/>
          </cell>
          <cell r="AS298" t="str">
            <v/>
          </cell>
          <cell r="AU298" t="str">
            <v/>
          </cell>
          <cell r="AV298" t="str">
            <v/>
          </cell>
          <cell r="AW298" t="str">
            <v/>
          </cell>
          <cell r="BA298" t="str">
            <v/>
          </cell>
        </row>
        <row r="299">
          <cell r="A299">
            <v>296</v>
          </cell>
          <cell r="C299" t="str">
            <v>October</v>
          </cell>
          <cell r="D299" t="str">
            <v/>
          </cell>
          <cell r="E299" t="str">
            <v/>
          </cell>
          <cell r="F299" t="str">
            <v/>
          </cell>
          <cell r="G299" t="str">
            <v/>
          </cell>
          <cell r="H299" t="str">
            <v/>
          </cell>
          <cell r="AR299" t="str">
            <v/>
          </cell>
          <cell r="AS299" t="str">
            <v/>
          </cell>
          <cell r="AU299" t="str">
            <v/>
          </cell>
          <cell r="AV299" t="str">
            <v/>
          </cell>
          <cell r="AW299" t="str">
            <v/>
          </cell>
          <cell r="BA299" t="str">
            <v/>
          </cell>
        </row>
        <row r="300">
          <cell r="A300">
            <v>297</v>
          </cell>
          <cell r="C300" t="str">
            <v>October</v>
          </cell>
          <cell r="D300" t="str">
            <v/>
          </cell>
          <cell r="E300" t="str">
            <v/>
          </cell>
          <cell r="F300" t="str">
            <v/>
          </cell>
          <cell r="G300" t="str">
            <v/>
          </cell>
          <cell r="H300" t="str">
            <v/>
          </cell>
          <cell r="AR300" t="str">
            <v/>
          </cell>
          <cell r="AS300" t="str">
            <v/>
          </cell>
          <cell r="AU300" t="str">
            <v/>
          </cell>
          <cell r="AV300" t="str">
            <v/>
          </cell>
          <cell r="AW300" t="str">
            <v/>
          </cell>
          <cell r="BA300" t="str">
            <v/>
          </cell>
        </row>
        <row r="301">
          <cell r="A301">
            <v>298</v>
          </cell>
          <cell r="C301" t="str">
            <v>October</v>
          </cell>
          <cell r="D301" t="str">
            <v/>
          </cell>
          <cell r="E301" t="str">
            <v/>
          </cell>
          <cell r="F301" t="str">
            <v/>
          </cell>
          <cell r="G301" t="str">
            <v/>
          </cell>
          <cell r="H301" t="str">
            <v/>
          </cell>
          <cell r="AR301" t="str">
            <v/>
          </cell>
          <cell r="AS301" t="str">
            <v/>
          </cell>
          <cell r="AU301" t="str">
            <v/>
          </cell>
          <cell r="AV301" t="str">
            <v/>
          </cell>
          <cell r="AW301" t="str">
            <v/>
          </cell>
          <cell r="BA301" t="str">
            <v/>
          </cell>
        </row>
        <row r="302">
          <cell r="A302">
            <v>299</v>
          </cell>
          <cell r="C302" t="str">
            <v>October</v>
          </cell>
          <cell r="D302" t="str">
            <v/>
          </cell>
          <cell r="E302" t="str">
            <v/>
          </cell>
          <cell r="F302" t="str">
            <v/>
          </cell>
          <cell r="G302" t="str">
            <v/>
          </cell>
          <cell r="H302" t="str">
            <v/>
          </cell>
          <cell r="AR302" t="str">
            <v/>
          </cell>
          <cell r="AS302" t="str">
            <v/>
          </cell>
          <cell r="AU302" t="str">
            <v/>
          </cell>
          <cell r="AV302" t="str">
            <v/>
          </cell>
          <cell r="AW302" t="str">
            <v/>
          </cell>
          <cell r="BA302" t="str">
            <v/>
          </cell>
        </row>
        <row r="303">
          <cell r="A303">
            <v>300</v>
          </cell>
          <cell r="C303" t="str">
            <v>October</v>
          </cell>
          <cell r="D303" t="str">
            <v/>
          </cell>
          <cell r="E303" t="str">
            <v/>
          </cell>
          <cell r="F303" t="str">
            <v/>
          </cell>
          <cell r="G303" t="str">
            <v/>
          </cell>
          <cell r="H303" t="str">
            <v/>
          </cell>
          <cell r="AR303" t="str">
            <v/>
          </cell>
          <cell r="AS303" t="str">
            <v/>
          </cell>
          <cell r="AU303" t="str">
            <v/>
          </cell>
          <cell r="AV303" t="str">
            <v/>
          </cell>
          <cell r="AW303" t="str">
            <v/>
          </cell>
          <cell r="BA303" t="str">
            <v/>
          </cell>
        </row>
        <row r="304">
          <cell r="A304">
            <v>301</v>
          </cell>
          <cell r="C304" t="str">
            <v>November</v>
          </cell>
          <cell r="D304" t="str">
            <v>122625140006</v>
          </cell>
          <cell r="E304" t="str">
            <v>ACAYAN, ELIJAH DITALO</v>
          </cell>
          <cell r="F304" t="str">
            <v>Male</v>
          </cell>
          <cell r="G304">
            <v>1</v>
          </cell>
          <cell r="H304">
            <v>1</v>
          </cell>
          <cell r="AR304">
            <v>0</v>
          </cell>
          <cell r="AS304">
            <v>19</v>
          </cell>
          <cell r="AU304">
            <v>0</v>
          </cell>
          <cell r="AV304">
            <v>46329</v>
          </cell>
          <cell r="AW304">
            <v>46353</v>
          </cell>
          <cell r="BA304">
            <v>1</v>
          </cell>
        </row>
        <row r="305">
          <cell r="A305">
            <v>302</v>
          </cell>
          <cell r="C305" t="str">
            <v>November</v>
          </cell>
          <cell r="D305" t="str">
            <v>419658160041</v>
          </cell>
          <cell r="E305" t="str">
            <v>ARCILLA, KYLE XANDRE MATUS</v>
          </cell>
          <cell r="F305" t="str">
            <v>Male</v>
          </cell>
          <cell r="G305">
            <v>1</v>
          </cell>
          <cell r="H305">
            <v>1</v>
          </cell>
          <cell r="AR305">
            <v>0</v>
          </cell>
          <cell r="AS305">
            <v>19</v>
          </cell>
          <cell r="AU305">
            <v>0</v>
          </cell>
          <cell r="AV305">
            <v>46329</v>
          </cell>
          <cell r="AW305">
            <v>46353</v>
          </cell>
          <cell r="BA305">
            <v>2</v>
          </cell>
        </row>
        <row r="306">
          <cell r="A306">
            <v>303</v>
          </cell>
          <cell r="C306" t="str">
            <v>November</v>
          </cell>
          <cell r="D306" t="str">
            <v>104015140057</v>
          </cell>
          <cell r="E306" t="str">
            <v>CAPAYAN, DENVER CORPUZ</v>
          </cell>
          <cell r="F306" t="str">
            <v>Male</v>
          </cell>
          <cell r="G306">
            <v>1</v>
          </cell>
          <cell r="H306">
            <v>1</v>
          </cell>
          <cell r="AR306">
            <v>0</v>
          </cell>
          <cell r="AS306">
            <v>19</v>
          </cell>
          <cell r="AU306">
            <v>0</v>
          </cell>
          <cell r="AV306">
            <v>46329</v>
          </cell>
          <cell r="AW306">
            <v>46353</v>
          </cell>
          <cell r="BA306">
            <v>3</v>
          </cell>
        </row>
        <row r="307">
          <cell r="A307">
            <v>304</v>
          </cell>
          <cell r="C307" t="str">
            <v>November</v>
          </cell>
          <cell r="D307" t="str">
            <v>107023140026</v>
          </cell>
          <cell r="E307" t="str">
            <v>DOMINGO, FRYNNS LIAM ATIENZA</v>
          </cell>
          <cell r="F307" t="str">
            <v>Male</v>
          </cell>
          <cell r="G307">
            <v>1</v>
          </cell>
          <cell r="H307">
            <v>1</v>
          </cell>
          <cell r="AR307">
            <v>0</v>
          </cell>
          <cell r="AS307">
            <v>19</v>
          </cell>
          <cell r="AU307">
            <v>0</v>
          </cell>
          <cell r="AV307">
            <v>46329</v>
          </cell>
          <cell r="AW307">
            <v>46353</v>
          </cell>
          <cell r="BA307">
            <v>4</v>
          </cell>
        </row>
        <row r="308">
          <cell r="A308">
            <v>305</v>
          </cell>
          <cell r="C308" t="str">
            <v>November</v>
          </cell>
          <cell r="D308" t="str">
            <v>110347140023</v>
          </cell>
          <cell r="E308" t="str">
            <v>DUMADALUG, JAMES DIZON</v>
          </cell>
          <cell r="F308" t="str">
            <v>Male</v>
          </cell>
          <cell r="G308">
            <v>1</v>
          </cell>
          <cell r="H308">
            <v>1</v>
          </cell>
          <cell r="AR308">
            <v>0</v>
          </cell>
          <cell r="AS308">
            <v>19</v>
          </cell>
          <cell r="AU308">
            <v>0</v>
          </cell>
          <cell r="AV308">
            <v>46329</v>
          </cell>
          <cell r="AW308">
            <v>46353</v>
          </cell>
          <cell r="BA308">
            <v>5</v>
          </cell>
        </row>
        <row r="309">
          <cell r="A309">
            <v>306</v>
          </cell>
          <cell r="C309" t="str">
            <v>November</v>
          </cell>
          <cell r="D309" t="str">
            <v>107031140010</v>
          </cell>
          <cell r="E309" t="str">
            <v>GARCIA, KIRK NATHAN BOLSICO</v>
          </cell>
          <cell r="F309" t="str">
            <v>Male</v>
          </cell>
          <cell r="G309">
            <v>1</v>
          </cell>
          <cell r="H309">
            <v>1</v>
          </cell>
          <cell r="AR309">
            <v>0</v>
          </cell>
          <cell r="AS309">
            <v>19</v>
          </cell>
          <cell r="AU309">
            <v>0</v>
          </cell>
          <cell r="AV309">
            <v>46329</v>
          </cell>
          <cell r="AW309">
            <v>46353</v>
          </cell>
          <cell r="BA309">
            <v>6</v>
          </cell>
        </row>
        <row r="310">
          <cell r="A310">
            <v>307</v>
          </cell>
          <cell r="C310" t="str">
            <v>November</v>
          </cell>
          <cell r="D310" t="str">
            <v>107061140477</v>
          </cell>
          <cell r="E310" t="str">
            <v>GUEVARRA, SEAD SYRON CORPUZ</v>
          </cell>
          <cell r="F310" t="str">
            <v>Male</v>
          </cell>
          <cell r="G310">
            <v>1</v>
          </cell>
          <cell r="H310">
            <v>1</v>
          </cell>
          <cell r="AR310">
            <v>0</v>
          </cell>
          <cell r="AS310">
            <v>19</v>
          </cell>
          <cell r="AU310">
            <v>0</v>
          </cell>
          <cell r="AV310">
            <v>46329</v>
          </cell>
          <cell r="AW310">
            <v>46353</v>
          </cell>
          <cell r="BA310">
            <v>7</v>
          </cell>
        </row>
        <row r="311">
          <cell r="A311">
            <v>308</v>
          </cell>
          <cell r="C311" t="str">
            <v>November</v>
          </cell>
          <cell r="D311" t="str">
            <v>133624150052</v>
          </cell>
          <cell r="E311" t="str">
            <v>MACAPANTON, ALIMAN SULTAN</v>
          </cell>
          <cell r="F311" t="str">
            <v>Male</v>
          </cell>
          <cell r="G311">
            <v>1</v>
          </cell>
          <cell r="H311">
            <v>1</v>
          </cell>
          <cell r="AR311">
            <v>0</v>
          </cell>
          <cell r="AS311">
            <v>19</v>
          </cell>
          <cell r="AU311">
            <v>0</v>
          </cell>
          <cell r="AV311">
            <v>46329</v>
          </cell>
          <cell r="AW311">
            <v>46353</v>
          </cell>
          <cell r="BA311">
            <v>8</v>
          </cell>
        </row>
        <row r="312">
          <cell r="A312">
            <v>309</v>
          </cell>
          <cell r="C312" t="str">
            <v>November</v>
          </cell>
          <cell r="D312" t="str">
            <v>107027140164</v>
          </cell>
          <cell r="E312" t="str">
            <v>MEJIA, FRANCIS KHIAN LLARENA</v>
          </cell>
          <cell r="F312" t="str">
            <v>Male</v>
          </cell>
          <cell r="G312">
            <v>1</v>
          </cell>
          <cell r="H312">
            <v>1</v>
          </cell>
          <cell r="AR312">
            <v>0</v>
          </cell>
          <cell r="AS312">
            <v>19</v>
          </cell>
          <cell r="AU312">
            <v>0</v>
          </cell>
          <cell r="AV312">
            <v>46329</v>
          </cell>
          <cell r="AW312">
            <v>46353</v>
          </cell>
          <cell r="BA312">
            <v>9</v>
          </cell>
        </row>
        <row r="313">
          <cell r="A313">
            <v>310</v>
          </cell>
          <cell r="C313" t="str">
            <v>November</v>
          </cell>
          <cell r="D313" t="str">
            <v>107185140032</v>
          </cell>
          <cell r="E313" t="str">
            <v>NERI, GABRIEL BRIONES</v>
          </cell>
          <cell r="F313" t="str">
            <v>Male</v>
          </cell>
          <cell r="G313">
            <v>1</v>
          </cell>
          <cell r="H313">
            <v>1</v>
          </cell>
          <cell r="AR313">
            <v>0</v>
          </cell>
          <cell r="AS313">
            <v>19</v>
          </cell>
          <cell r="AU313">
            <v>0</v>
          </cell>
          <cell r="AV313">
            <v>46329</v>
          </cell>
          <cell r="AW313">
            <v>46353</v>
          </cell>
          <cell r="BA313">
            <v>10</v>
          </cell>
        </row>
        <row r="314">
          <cell r="A314">
            <v>311</v>
          </cell>
          <cell r="C314" t="str">
            <v>November</v>
          </cell>
          <cell r="D314" t="str">
            <v>107057130479</v>
          </cell>
          <cell r="E314" t="str">
            <v>PAYABYAB, SHELTER RAIN ALEJANDRO</v>
          </cell>
          <cell r="F314" t="str">
            <v>Male</v>
          </cell>
          <cell r="G314">
            <v>1</v>
          </cell>
          <cell r="H314">
            <v>1</v>
          </cell>
          <cell r="AR314">
            <v>0</v>
          </cell>
          <cell r="AS314">
            <v>19</v>
          </cell>
          <cell r="AU314">
            <v>0</v>
          </cell>
          <cell r="AV314">
            <v>46329</v>
          </cell>
          <cell r="AW314">
            <v>46353</v>
          </cell>
          <cell r="BA314">
            <v>11</v>
          </cell>
        </row>
        <row r="315">
          <cell r="A315">
            <v>312</v>
          </cell>
          <cell r="C315" t="str">
            <v>November</v>
          </cell>
          <cell r="D315" t="str">
            <v>113420140126</v>
          </cell>
          <cell r="E315" t="str">
            <v>RAMIREZ, RENCES DWANE RAMONES</v>
          </cell>
          <cell r="F315" t="str">
            <v>Male</v>
          </cell>
          <cell r="G315">
            <v>1</v>
          </cell>
          <cell r="H315">
            <v>1</v>
          </cell>
          <cell r="AR315">
            <v>0</v>
          </cell>
          <cell r="AS315">
            <v>19</v>
          </cell>
          <cell r="AU315">
            <v>0</v>
          </cell>
          <cell r="AV315">
            <v>46329</v>
          </cell>
          <cell r="AW315">
            <v>46353</v>
          </cell>
          <cell r="BA315">
            <v>12</v>
          </cell>
        </row>
        <row r="316">
          <cell r="A316">
            <v>313</v>
          </cell>
          <cell r="C316" t="str">
            <v>November</v>
          </cell>
          <cell r="D316" t="str">
            <v>107048150273</v>
          </cell>
          <cell r="E316" t="str">
            <v>SUGAY, ASHTON GUTIERREZ</v>
          </cell>
          <cell r="F316" t="str">
            <v>Male</v>
          </cell>
          <cell r="G316">
            <v>1</v>
          </cell>
          <cell r="H316">
            <v>1</v>
          </cell>
          <cell r="AR316">
            <v>0</v>
          </cell>
          <cell r="AS316">
            <v>19</v>
          </cell>
          <cell r="AU316">
            <v>0</v>
          </cell>
          <cell r="AV316">
            <v>46329</v>
          </cell>
          <cell r="AW316">
            <v>46353</v>
          </cell>
          <cell r="BA316">
            <v>13</v>
          </cell>
        </row>
        <row r="317">
          <cell r="A317">
            <v>314</v>
          </cell>
          <cell r="C317" t="str">
            <v>November</v>
          </cell>
          <cell r="D317">
            <v>107032140054</v>
          </cell>
          <cell r="E317" t="str">
            <v>SANTIAGO, JARED ALBERTH BARREDA</v>
          </cell>
          <cell r="F317" t="str">
            <v>Male</v>
          </cell>
          <cell r="G317">
            <v>1</v>
          </cell>
          <cell r="H317">
            <v>1</v>
          </cell>
          <cell r="AR317">
            <v>0</v>
          </cell>
          <cell r="AS317">
            <v>19</v>
          </cell>
          <cell r="AU317">
            <v>0</v>
          </cell>
          <cell r="AV317">
            <v>46329</v>
          </cell>
          <cell r="AW317">
            <v>46353</v>
          </cell>
          <cell r="BA317">
            <v>14</v>
          </cell>
        </row>
        <row r="318">
          <cell r="A318">
            <v>315</v>
          </cell>
          <cell r="C318" t="str">
            <v>November</v>
          </cell>
          <cell r="D318" t="str">
            <v>122379140033</v>
          </cell>
          <cell r="E318" t="str">
            <v>ACAYAN, HANNAH NICOLE COSTUNA</v>
          </cell>
          <cell r="F318" t="str">
            <v>Female</v>
          </cell>
          <cell r="G318">
            <v>1</v>
          </cell>
          <cell r="H318">
            <v>1</v>
          </cell>
          <cell r="AR318">
            <v>0</v>
          </cell>
          <cell r="AS318">
            <v>19</v>
          </cell>
          <cell r="AU318">
            <v>0</v>
          </cell>
          <cell r="AV318">
            <v>46329</v>
          </cell>
          <cell r="AW318">
            <v>46353</v>
          </cell>
          <cell r="BA318">
            <v>1</v>
          </cell>
        </row>
        <row r="319">
          <cell r="A319">
            <v>316</v>
          </cell>
          <cell r="C319" t="str">
            <v>November</v>
          </cell>
          <cell r="D319" t="str">
            <v>107041140509</v>
          </cell>
          <cell r="E319" t="str">
            <v>AREÑEZ, FRANCHESKA OCAMPO</v>
          </cell>
          <cell r="F319" t="str">
            <v>Female</v>
          </cell>
          <cell r="G319">
            <v>1</v>
          </cell>
          <cell r="H319">
            <v>1</v>
          </cell>
          <cell r="AR319">
            <v>0</v>
          </cell>
          <cell r="AS319">
            <v>19</v>
          </cell>
          <cell r="AU319">
            <v>0</v>
          </cell>
          <cell r="AV319">
            <v>46329</v>
          </cell>
          <cell r="AW319">
            <v>46353</v>
          </cell>
          <cell r="BA319">
            <v>2</v>
          </cell>
        </row>
        <row r="320">
          <cell r="A320">
            <v>317</v>
          </cell>
          <cell r="C320" t="str">
            <v>November</v>
          </cell>
          <cell r="D320" t="str">
            <v>159547140065</v>
          </cell>
          <cell r="E320" t="str">
            <v>BALUCANAG, CHLOE LIAN GALINO</v>
          </cell>
          <cell r="F320" t="str">
            <v>Female</v>
          </cell>
          <cell r="G320">
            <v>1</v>
          </cell>
          <cell r="H320">
            <v>1</v>
          </cell>
          <cell r="AR320">
            <v>0</v>
          </cell>
          <cell r="AS320">
            <v>19</v>
          </cell>
          <cell r="AU320">
            <v>0</v>
          </cell>
          <cell r="AV320">
            <v>46329</v>
          </cell>
          <cell r="AW320">
            <v>46353</v>
          </cell>
          <cell r="BA320">
            <v>3</v>
          </cell>
        </row>
        <row r="321">
          <cell r="A321">
            <v>318</v>
          </cell>
          <cell r="C321" t="str">
            <v>November</v>
          </cell>
          <cell r="D321" t="str">
            <v>107022140163</v>
          </cell>
          <cell r="E321" t="str">
            <v>BIE, JOHN RAIN MAGTOTO</v>
          </cell>
          <cell r="F321" t="str">
            <v>Female</v>
          </cell>
          <cell r="G321">
            <v>1</v>
          </cell>
          <cell r="H321">
            <v>1</v>
          </cell>
          <cell r="AR321">
            <v>0</v>
          </cell>
          <cell r="AS321">
            <v>19</v>
          </cell>
          <cell r="AU321">
            <v>0</v>
          </cell>
          <cell r="AV321">
            <v>46329</v>
          </cell>
          <cell r="AW321">
            <v>46353</v>
          </cell>
          <cell r="BA321">
            <v>4</v>
          </cell>
        </row>
        <row r="322">
          <cell r="A322">
            <v>319</v>
          </cell>
          <cell r="C322" t="str">
            <v>November</v>
          </cell>
          <cell r="D322" t="str">
            <v>105935140024</v>
          </cell>
          <cell r="E322" t="str">
            <v>DAVID, ASHLEY LAPUZ</v>
          </cell>
          <cell r="F322" t="str">
            <v>Female</v>
          </cell>
          <cell r="G322">
            <v>1</v>
          </cell>
          <cell r="H322">
            <v>1</v>
          </cell>
          <cell r="AR322">
            <v>0</v>
          </cell>
          <cell r="AS322">
            <v>19</v>
          </cell>
          <cell r="AU322">
            <v>0</v>
          </cell>
          <cell r="AV322">
            <v>46329</v>
          </cell>
          <cell r="AW322">
            <v>46353</v>
          </cell>
          <cell r="BA322">
            <v>5</v>
          </cell>
        </row>
        <row r="323">
          <cell r="A323">
            <v>320</v>
          </cell>
          <cell r="C323" t="str">
            <v>November</v>
          </cell>
          <cell r="D323" t="str">
            <v>106066150025</v>
          </cell>
          <cell r="E323" t="str">
            <v>FLORES, THEA MARIE LUMUYA</v>
          </cell>
          <cell r="F323" t="str">
            <v>Female</v>
          </cell>
          <cell r="G323">
            <v>1</v>
          </cell>
          <cell r="H323">
            <v>1</v>
          </cell>
          <cell r="AR323">
            <v>0</v>
          </cell>
          <cell r="AS323">
            <v>19</v>
          </cell>
          <cell r="AU323">
            <v>0</v>
          </cell>
          <cell r="AV323">
            <v>46329</v>
          </cell>
          <cell r="AW323">
            <v>46353</v>
          </cell>
          <cell r="BA323">
            <v>6</v>
          </cell>
        </row>
        <row r="324">
          <cell r="A324">
            <v>321</v>
          </cell>
          <cell r="C324" t="str">
            <v>November</v>
          </cell>
          <cell r="D324" t="str">
            <v>107032140061</v>
          </cell>
          <cell r="E324" t="str">
            <v>INGAL, SHAINA KYLE PINEDA</v>
          </cell>
          <cell r="F324" t="str">
            <v>Female</v>
          </cell>
          <cell r="G324">
            <v>1</v>
          </cell>
          <cell r="H324">
            <v>1</v>
          </cell>
          <cell r="AR324">
            <v>0</v>
          </cell>
          <cell r="AS324">
            <v>19</v>
          </cell>
          <cell r="AU324">
            <v>0</v>
          </cell>
          <cell r="AV324">
            <v>46329</v>
          </cell>
          <cell r="AW324">
            <v>46353</v>
          </cell>
          <cell r="BA324">
            <v>7</v>
          </cell>
        </row>
        <row r="325">
          <cell r="A325">
            <v>322</v>
          </cell>
          <cell r="C325" t="str">
            <v>November</v>
          </cell>
          <cell r="D325">
            <v>106072140070</v>
          </cell>
          <cell r="E325" t="str">
            <v>MACAPODI, AINA MANGUNTAWAR</v>
          </cell>
          <cell r="F325" t="str">
            <v>Female</v>
          </cell>
          <cell r="G325">
            <v>1</v>
          </cell>
          <cell r="H325">
            <v>1</v>
          </cell>
          <cell r="AR325">
            <v>0</v>
          </cell>
          <cell r="AS325">
            <v>19</v>
          </cell>
          <cell r="AU325">
            <v>0</v>
          </cell>
          <cell r="AV325">
            <v>46329</v>
          </cell>
          <cell r="AW325">
            <v>46353</v>
          </cell>
          <cell r="BA325">
            <v>8</v>
          </cell>
        </row>
        <row r="326">
          <cell r="A326">
            <v>323</v>
          </cell>
          <cell r="C326" t="str">
            <v>November</v>
          </cell>
          <cell r="D326" t="str">
            <v>136634150917</v>
          </cell>
          <cell r="E326" t="str">
            <v>MIPAMPANG, RASHEDA BASCARA</v>
          </cell>
          <cell r="F326" t="str">
            <v>Female</v>
          </cell>
          <cell r="G326">
            <v>1</v>
          </cell>
          <cell r="H326">
            <v>1</v>
          </cell>
          <cell r="AR326">
            <v>0</v>
          </cell>
          <cell r="AS326">
            <v>19</v>
          </cell>
          <cell r="AU326">
            <v>0</v>
          </cell>
          <cell r="AV326">
            <v>46329</v>
          </cell>
          <cell r="AW326">
            <v>46353</v>
          </cell>
          <cell r="BA326">
            <v>9</v>
          </cell>
        </row>
        <row r="327">
          <cell r="A327">
            <v>324</v>
          </cell>
          <cell r="C327" t="str">
            <v>November</v>
          </cell>
          <cell r="D327" t="str">
            <v>107028140103</v>
          </cell>
          <cell r="E327" t="str">
            <v>TAYSON, DANIELLE MAE PANES</v>
          </cell>
          <cell r="F327" t="str">
            <v>Female</v>
          </cell>
          <cell r="G327">
            <v>1</v>
          </cell>
          <cell r="H327">
            <v>1</v>
          </cell>
          <cell r="AR327">
            <v>0</v>
          </cell>
          <cell r="AS327">
            <v>19</v>
          </cell>
          <cell r="AU327">
            <v>0</v>
          </cell>
          <cell r="AV327">
            <v>46329</v>
          </cell>
          <cell r="AW327">
            <v>46353</v>
          </cell>
          <cell r="BA327">
            <v>10</v>
          </cell>
        </row>
        <row r="328">
          <cell r="A328">
            <v>325</v>
          </cell>
          <cell r="C328" t="str">
            <v>November</v>
          </cell>
          <cell r="D328">
            <v>105205140016</v>
          </cell>
          <cell r="E328" t="str">
            <v>FAJARDO, PRINCE DANIEL RODAJE</v>
          </cell>
          <cell r="F328" t="str">
            <v>Female</v>
          </cell>
          <cell r="G328">
            <v>1</v>
          </cell>
          <cell r="H328">
            <v>1</v>
          </cell>
          <cell r="AR328">
            <v>0</v>
          </cell>
          <cell r="AS328">
            <v>19</v>
          </cell>
          <cell r="AU328">
            <v>0</v>
          </cell>
          <cell r="AV328">
            <v>46329</v>
          </cell>
          <cell r="AW328">
            <v>46353</v>
          </cell>
          <cell r="BA328">
            <v>11</v>
          </cell>
        </row>
        <row r="329">
          <cell r="A329">
            <v>326</v>
          </cell>
          <cell r="C329" t="str">
            <v>November</v>
          </cell>
          <cell r="D329" t="str">
            <v/>
          </cell>
          <cell r="E329" t="str">
            <v/>
          </cell>
          <cell r="F329" t="str">
            <v/>
          </cell>
          <cell r="G329" t="str">
            <v/>
          </cell>
          <cell r="H329" t="str">
            <v/>
          </cell>
          <cell r="AR329" t="str">
            <v/>
          </cell>
          <cell r="AS329" t="str">
            <v/>
          </cell>
          <cell r="AU329" t="str">
            <v/>
          </cell>
          <cell r="AV329" t="str">
            <v/>
          </cell>
          <cell r="AW329" t="str">
            <v/>
          </cell>
          <cell r="BA329" t="str">
            <v/>
          </cell>
        </row>
        <row r="330">
          <cell r="A330">
            <v>327</v>
          </cell>
          <cell r="C330" t="str">
            <v>November</v>
          </cell>
          <cell r="D330" t="str">
            <v/>
          </cell>
          <cell r="E330" t="str">
            <v/>
          </cell>
          <cell r="F330" t="str">
            <v/>
          </cell>
          <cell r="G330" t="str">
            <v/>
          </cell>
          <cell r="H330" t="str">
            <v/>
          </cell>
          <cell r="AR330" t="str">
            <v/>
          </cell>
          <cell r="AS330" t="str">
            <v/>
          </cell>
          <cell r="AU330" t="str">
            <v/>
          </cell>
          <cell r="AV330" t="str">
            <v/>
          </cell>
          <cell r="AW330" t="str">
            <v/>
          </cell>
          <cell r="BA330" t="str">
            <v/>
          </cell>
        </row>
        <row r="331">
          <cell r="A331">
            <v>328</v>
          </cell>
          <cell r="C331" t="str">
            <v>November</v>
          </cell>
          <cell r="D331" t="str">
            <v/>
          </cell>
          <cell r="E331" t="str">
            <v/>
          </cell>
          <cell r="F331" t="str">
            <v/>
          </cell>
          <cell r="G331" t="str">
            <v/>
          </cell>
          <cell r="H331" t="str">
            <v/>
          </cell>
          <cell r="AR331" t="str">
            <v/>
          </cell>
          <cell r="AS331" t="str">
            <v/>
          </cell>
          <cell r="AU331" t="str">
            <v/>
          </cell>
          <cell r="AV331" t="str">
            <v/>
          </cell>
          <cell r="AW331" t="str">
            <v/>
          </cell>
          <cell r="BA331" t="str">
            <v/>
          </cell>
        </row>
        <row r="332">
          <cell r="A332">
            <v>329</v>
          </cell>
          <cell r="C332" t="str">
            <v>November</v>
          </cell>
          <cell r="D332" t="str">
            <v/>
          </cell>
          <cell r="E332" t="str">
            <v/>
          </cell>
          <cell r="F332" t="str">
            <v/>
          </cell>
          <cell r="G332" t="str">
            <v/>
          </cell>
          <cell r="H332" t="str">
            <v/>
          </cell>
          <cell r="AR332" t="str">
            <v/>
          </cell>
          <cell r="AS332" t="str">
            <v/>
          </cell>
          <cell r="AU332" t="str">
            <v/>
          </cell>
          <cell r="AV332" t="str">
            <v/>
          </cell>
          <cell r="AW332" t="str">
            <v/>
          </cell>
          <cell r="BA332" t="str">
            <v/>
          </cell>
        </row>
        <row r="333">
          <cell r="A333">
            <v>330</v>
          </cell>
          <cell r="C333" t="str">
            <v>November</v>
          </cell>
          <cell r="D333" t="str">
            <v/>
          </cell>
          <cell r="E333" t="str">
            <v/>
          </cell>
          <cell r="F333" t="str">
            <v/>
          </cell>
          <cell r="G333" t="str">
            <v/>
          </cell>
          <cell r="H333" t="str">
            <v/>
          </cell>
          <cell r="AR333" t="str">
            <v/>
          </cell>
          <cell r="AS333" t="str">
            <v/>
          </cell>
          <cell r="AU333" t="str">
            <v/>
          </cell>
          <cell r="AV333" t="str">
            <v/>
          </cell>
          <cell r="AW333" t="str">
            <v/>
          </cell>
          <cell r="BA333" t="str">
            <v/>
          </cell>
        </row>
        <row r="334">
          <cell r="A334">
            <v>331</v>
          </cell>
          <cell r="C334" t="str">
            <v>November</v>
          </cell>
          <cell r="D334" t="str">
            <v/>
          </cell>
          <cell r="E334" t="str">
            <v/>
          </cell>
          <cell r="F334" t="str">
            <v/>
          </cell>
          <cell r="G334" t="str">
            <v/>
          </cell>
          <cell r="H334" t="str">
            <v/>
          </cell>
          <cell r="AR334" t="str">
            <v/>
          </cell>
          <cell r="AS334" t="str">
            <v/>
          </cell>
          <cell r="AU334" t="str">
            <v/>
          </cell>
          <cell r="AV334" t="str">
            <v/>
          </cell>
          <cell r="AW334" t="str">
            <v/>
          </cell>
          <cell r="BA334" t="str">
            <v/>
          </cell>
        </row>
        <row r="335">
          <cell r="A335">
            <v>332</v>
          </cell>
          <cell r="C335" t="str">
            <v>November</v>
          </cell>
          <cell r="D335" t="str">
            <v/>
          </cell>
          <cell r="E335" t="str">
            <v/>
          </cell>
          <cell r="F335" t="str">
            <v/>
          </cell>
          <cell r="G335" t="str">
            <v/>
          </cell>
          <cell r="H335" t="str">
            <v/>
          </cell>
          <cell r="AR335" t="str">
            <v/>
          </cell>
          <cell r="AS335" t="str">
            <v/>
          </cell>
          <cell r="AU335" t="str">
            <v/>
          </cell>
          <cell r="AV335" t="str">
            <v/>
          </cell>
          <cell r="AW335" t="str">
            <v/>
          </cell>
          <cell r="BA335" t="str">
            <v/>
          </cell>
        </row>
        <row r="336">
          <cell r="A336">
            <v>333</v>
          </cell>
          <cell r="C336" t="str">
            <v>November</v>
          </cell>
          <cell r="D336" t="str">
            <v/>
          </cell>
          <cell r="E336" t="str">
            <v/>
          </cell>
          <cell r="F336" t="str">
            <v/>
          </cell>
          <cell r="G336" t="str">
            <v/>
          </cell>
          <cell r="H336" t="str">
            <v/>
          </cell>
          <cell r="AR336" t="str">
            <v/>
          </cell>
          <cell r="AS336" t="str">
            <v/>
          </cell>
          <cell r="AU336" t="str">
            <v/>
          </cell>
          <cell r="AV336" t="str">
            <v/>
          </cell>
          <cell r="AW336" t="str">
            <v/>
          </cell>
          <cell r="BA336" t="str">
            <v/>
          </cell>
        </row>
        <row r="337">
          <cell r="A337">
            <v>334</v>
          </cell>
          <cell r="C337" t="str">
            <v>November</v>
          </cell>
          <cell r="D337" t="str">
            <v/>
          </cell>
          <cell r="E337" t="str">
            <v/>
          </cell>
          <cell r="F337" t="str">
            <v/>
          </cell>
          <cell r="G337" t="str">
            <v/>
          </cell>
          <cell r="H337" t="str">
            <v/>
          </cell>
          <cell r="AR337" t="str">
            <v/>
          </cell>
          <cell r="AS337" t="str">
            <v/>
          </cell>
          <cell r="AU337" t="str">
            <v/>
          </cell>
          <cell r="AV337" t="str">
            <v/>
          </cell>
          <cell r="AW337" t="str">
            <v/>
          </cell>
          <cell r="BA337" t="str">
            <v/>
          </cell>
        </row>
        <row r="338">
          <cell r="A338">
            <v>335</v>
          </cell>
          <cell r="C338" t="str">
            <v>November</v>
          </cell>
          <cell r="D338" t="str">
            <v/>
          </cell>
          <cell r="E338" t="str">
            <v/>
          </cell>
          <cell r="F338" t="str">
            <v/>
          </cell>
          <cell r="G338" t="str">
            <v/>
          </cell>
          <cell r="H338" t="str">
            <v/>
          </cell>
          <cell r="AR338" t="str">
            <v/>
          </cell>
          <cell r="AS338" t="str">
            <v/>
          </cell>
          <cell r="AU338" t="str">
            <v/>
          </cell>
          <cell r="AV338" t="str">
            <v/>
          </cell>
          <cell r="AW338" t="str">
            <v/>
          </cell>
          <cell r="BA338" t="str">
            <v/>
          </cell>
        </row>
        <row r="339">
          <cell r="A339">
            <v>336</v>
          </cell>
          <cell r="C339" t="str">
            <v>November</v>
          </cell>
          <cell r="D339" t="str">
            <v/>
          </cell>
          <cell r="E339" t="str">
            <v/>
          </cell>
          <cell r="F339" t="str">
            <v/>
          </cell>
          <cell r="G339" t="str">
            <v/>
          </cell>
          <cell r="H339" t="str">
            <v/>
          </cell>
          <cell r="AR339" t="str">
            <v/>
          </cell>
          <cell r="AS339" t="str">
            <v/>
          </cell>
          <cell r="AU339" t="str">
            <v/>
          </cell>
          <cell r="AV339" t="str">
            <v/>
          </cell>
          <cell r="AW339" t="str">
            <v/>
          </cell>
          <cell r="BA339" t="str">
            <v/>
          </cell>
        </row>
        <row r="340">
          <cell r="A340">
            <v>337</v>
          </cell>
          <cell r="C340" t="str">
            <v>November</v>
          </cell>
          <cell r="D340" t="str">
            <v/>
          </cell>
          <cell r="E340" t="str">
            <v/>
          </cell>
          <cell r="F340" t="str">
            <v/>
          </cell>
          <cell r="G340" t="str">
            <v/>
          </cell>
          <cell r="H340" t="str">
            <v/>
          </cell>
          <cell r="AR340" t="str">
            <v/>
          </cell>
          <cell r="AS340" t="str">
            <v/>
          </cell>
          <cell r="AU340" t="str">
            <v/>
          </cell>
          <cell r="AV340" t="str">
            <v/>
          </cell>
          <cell r="AW340" t="str">
            <v/>
          </cell>
          <cell r="BA340" t="str">
            <v/>
          </cell>
        </row>
        <row r="341">
          <cell r="A341">
            <v>338</v>
          </cell>
          <cell r="C341" t="str">
            <v>November</v>
          </cell>
          <cell r="D341" t="str">
            <v/>
          </cell>
          <cell r="E341" t="str">
            <v/>
          </cell>
          <cell r="F341" t="str">
            <v/>
          </cell>
          <cell r="G341" t="str">
            <v/>
          </cell>
          <cell r="H341" t="str">
            <v/>
          </cell>
          <cell r="AR341" t="str">
            <v/>
          </cell>
          <cell r="AS341" t="str">
            <v/>
          </cell>
          <cell r="AU341" t="str">
            <v/>
          </cell>
          <cell r="AV341" t="str">
            <v/>
          </cell>
          <cell r="AW341" t="str">
            <v/>
          </cell>
          <cell r="BA341" t="str">
            <v/>
          </cell>
        </row>
        <row r="342">
          <cell r="A342">
            <v>339</v>
          </cell>
          <cell r="C342" t="str">
            <v>November</v>
          </cell>
          <cell r="D342" t="str">
            <v/>
          </cell>
          <cell r="E342" t="str">
            <v/>
          </cell>
          <cell r="F342" t="str">
            <v/>
          </cell>
          <cell r="G342" t="str">
            <v/>
          </cell>
          <cell r="H342" t="str">
            <v/>
          </cell>
          <cell r="AR342" t="str">
            <v/>
          </cell>
          <cell r="AS342" t="str">
            <v/>
          </cell>
          <cell r="AU342" t="str">
            <v/>
          </cell>
          <cell r="AV342" t="str">
            <v/>
          </cell>
          <cell r="AW342" t="str">
            <v/>
          </cell>
          <cell r="BA342" t="str">
            <v/>
          </cell>
        </row>
        <row r="343">
          <cell r="A343">
            <v>340</v>
          </cell>
          <cell r="C343" t="str">
            <v>November</v>
          </cell>
          <cell r="D343" t="str">
            <v/>
          </cell>
          <cell r="E343" t="str">
            <v/>
          </cell>
          <cell r="F343" t="str">
            <v/>
          </cell>
          <cell r="G343" t="str">
            <v/>
          </cell>
          <cell r="H343" t="str">
            <v/>
          </cell>
          <cell r="AR343" t="str">
            <v/>
          </cell>
          <cell r="AS343" t="str">
            <v/>
          </cell>
          <cell r="AU343" t="str">
            <v/>
          </cell>
          <cell r="AV343" t="str">
            <v/>
          </cell>
          <cell r="AW343" t="str">
            <v/>
          </cell>
          <cell r="BA343" t="str">
            <v/>
          </cell>
        </row>
        <row r="344">
          <cell r="A344">
            <v>341</v>
          </cell>
          <cell r="C344" t="str">
            <v>November</v>
          </cell>
          <cell r="D344" t="str">
            <v/>
          </cell>
          <cell r="E344" t="str">
            <v/>
          </cell>
          <cell r="F344" t="str">
            <v/>
          </cell>
          <cell r="G344" t="str">
            <v/>
          </cell>
          <cell r="H344" t="str">
            <v/>
          </cell>
          <cell r="AR344" t="str">
            <v/>
          </cell>
          <cell r="AS344" t="str">
            <v/>
          </cell>
          <cell r="AU344" t="str">
            <v/>
          </cell>
          <cell r="AV344" t="str">
            <v/>
          </cell>
          <cell r="AW344" t="str">
            <v/>
          </cell>
          <cell r="BA344" t="str">
            <v/>
          </cell>
        </row>
        <row r="345">
          <cell r="A345">
            <v>342</v>
          </cell>
          <cell r="C345" t="str">
            <v>November</v>
          </cell>
          <cell r="D345" t="str">
            <v/>
          </cell>
          <cell r="E345" t="str">
            <v/>
          </cell>
          <cell r="F345" t="str">
            <v/>
          </cell>
          <cell r="G345" t="str">
            <v/>
          </cell>
          <cell r="H345" t="str">
            <v/>
          </cell>
          <cell r="AR345" t="str">
            <v/>
          </cell>
          <cell r="AS345" t="str">
            <v/>
          </cell>
          <cell r="AU345" t="str">
            <v/>
          </cell>
          <cell r="AV345" t="str">
            <v/>
          </cell>
          <cell r="AW345" t="str">
            <v/>
          </cell>
          <cell r="BA345" t="str">
            <v/>
          </cell>
        </row>
        <row r="346">
          <cell r="A346">
            <v>343</v>
          </cell>
          <cell r="C346" t="str">
            <v>November</v>
          </cell>
          <cell r="D346" t="str">
            <v/>
          </cell>
          <cell r="E346" t="str">
            <v/>
          </cell>
          <cell r="F346" t="str">
            <v/>
          </cell>
          <cell r="G346" t="str">
            <v/>
          </cell>
          <cell r="H346" t="str">
            <v/>
          </cell>
          <cell r="AR346" t="str">
            <v/>
          </cell>
          <cell r="AS346" t="str">
            <v/>
          </cell>
          <cell r="AU346" t="str">
            <v/>
          </cell>
          <cell r="AV346" t="str">
            <v/>
          </cell>
          <cell r="AW346" t="str">
            <v/>
          </cell>
          <cell r="BA346" t="str">
            <v/>
          </cell>
        </row>
        <row r="347">
          <cell r="A347">
            <v>344</v>
          </cell>
          <cell r="C347" t="str">
            <v>November</v>
          </cell>
          <cell r="D347" t="str">
            <v/>
          </cell>
          <cell r="E347" t="str">
            <v/>
          </cell>
          <cell r="F347" t="str">
            <v/>
          </cell>
          <cell r="G347" t="str">
            <v/>
          </cell>
          <cell r="H347" t="str">
            <v/>
          </cell>
          <cell r="AR347" t="str">
            <v/>
          </cell>
          <cell r="AS347" t="str">
            <v/>
          </cell>
          <cell r="AU347" t="str">
            <v/>
          </cell>
          <cell r="AV347" t="str">
            <v/>
          </cell>
          <cell r="AW347" t="str">
            <v/>
          </cell>
          <cell r="BA347" t="str">
            <v/>
          </cell>
        </row>
        <row r="348">
          <cell r="A348">
            <v>345</v>
          </cell>
          <cell r="C348" t="str">
            <v>November</v>
          </cell>
          <cell r="D348" t="str">
            <v/>
          </cell>
          <cell r="E348" t="str">
            <v/>
          </cell>
          <cell r="F348" t="str">
            <v/>
          </cell>
          <cell r="G348" t="str">
            <v/>
          </cell>
          <cell r="H348" t="str">
            <v/>
          </cell>
          <cell r="AR348" t="str">
            <v/>
          </cell>
          <cell r="AS348" t="str">
            <v/>
          </cell>
          <cell r="AU348" t="str">
            <v/>
          </cell>
          <cell r="AV348" t="str">
            <v/>
          </cell>
          <cell r="AW348" t="str">
            <v/>
          </cell>
          <cell r="BA348" t="str">
            <v/>
          </cell>
        </row>
        <row r="349">
          <cell r="A349">
            <v>346</v>
          </cell>
          <cell r="C349" t="str">
            <v>November</v>
          </cell>
          <cell r="D349" t="str">
            <v/>
          </cell>
          <cell r="E349" t="str">
            <v/>
          </cell>
          <cell r="F349" t="str">
            <v/>
          </cell>
          <cell r="G349" t="str">
            <v/>
          </cell>
          <cell r="H349" t="str">
            <v/>
          </cell>
          <cell r="AR349" t="str">
            <v/>
          </cell>
          <cell r="AS349" t="str">
            <v/>
          </cell>
          <cell r="AU349" t="str">
            <v/>
          </cell>
          <cell r="AV349" t="str">
            <v/>
          </cell>
          <cell r="AW349" t="str">
            <v/>
          </cell>
          <cell r="BA349" t="str">
            <v/>
          </cell>
        </row>
        <row r="350">
          <cell r="A350">
            <v>347</v>
          </cell>
          <cell r="C350" t="str">
            <v>November</v>
          </cell>
          <cell r="D350" t="str">
            <v/>
          </cell>
          <cell r="E350" t="str">
            <v/>
          </cell>
          <cell r="F350" t="str">
            <v/>
          </cell>
          <cell r="G350" t="str">
            <v/>
          </cell>
          <cell r="H350" t="str">
            <v/>
          </cell>
          <cell r="AR350" t="str">
            <v/>
          </cell>
          <cell r="AS350" t="str">
            <v/>
          </cell>
          <cell r="AU350" t="str">
            <v/>
          </cell>
          <cell r="AV350" t="str">
            <v/>
          </cell>
          <cell r="AW350" t="str">
            <v/>
          </cell>
          <cell r="BA350" t="str">
            <v/>
          </cell>
        </row>
        <row r="351">
          <cell r="A351">
            <v>348</v>
          </cell>
          <cell r="C351" t="str">
            <v>November</v>
          </cell>
          <cell r="D351" t="str">
            <v/>
          </cell>
          <cell r="E351" t="str">
            <v/>
          </cell>
          <cell r="F351" t="str">
            <v/>
          </cell>
          <cell r="G351" t="str">
            <v/>
          </cell>
          <cell r="H351" t="str">
            <v/>
          </cell>
          <cell r="AR351" t="str">
            <v/>
          </cell>
          <cell r="AS351" t="str">
            <v/>
          </cell>
          <cell r="AU351" t="str">
            <v/>
          </cell>
          <cell r="AV351" t="str">
            <v/>
          </cell>
          <cell r="AW351" t="str">
            <v/>
          </cell>
          <cell r="BA351" t="str">
            <v/>
          </cell>
        </row>
        <row r="352">
          <cell r="A352">
            <v>349</v>
          </cell>
          <cell r="C352" t="str">
            <v>November</v>
          </cell>
          <cell r="D352" t="str">
            <v/>
          </cell>
          <cell r="E352" t="str">
            <v/>
          </cell>
          <cell r="F352" t="str">
            <v/>
          </cell>
          <cell r="G352" t="str">
            <v/>
          </cell>
          <cell r="H352" t="str">
            <v/>
          </cell>
          <cell r="AR352" t="str">
            <v/>
          </cell>
          <cell r="AS352" t="str">
            <v/>
          </cell>
          <cell r="AU352" t="str">
            <v/>
          </cell>
          <cell r="AV352" t="str">
            <v/>
          </cell>
          <cell r="AW352" t="str">
            <v/>
          </cell>
          <cell r="BA352" t="str">
            <v/>
          </cell>
        </row>
        <row r="353">
          <cell r="A353">
            <v>350</v>
          </cell>
          <cell r="C353" t="str">
            <v>November</v>
          </cell>
          <cell r="D353" t="str">
            <v/>
          </cell>
          <cell r="E353" t="str">
            <v/>
          </cell>
          <cell r="F353" t="str">
            <v/>
          </cell>
          <cell r="G353" t="str">
            <v/>
          </cell>
          <cell r="H353" t="str">
            <v/>
          </cell>
          <cell r="AR353" t="str">
            <v/>
          </cell>
          <cell r="AS353" t="str">
            <v/>
          </cell>
          <cell r="AU353" t="str">
            <v/>
          </cell>
          <cell r="AV353" t="str">
            <v/>
          </cell>
          <cell r="AW353" t="str">
            <v/>
          </cell>
          <cell r="BA353" t="str">
            <v/>
          </cell>
        </row>
        <row r="354">
          <cell r="A354">
            <v>351</v>
          </cell>
          <cell r="C354" t="str">
            <v>November</v>
          </cell>
          <cell r="D354" t="str">
            <v/>
          </cell>
          <cell r="E354" t="str">
            <v/>
          </cell>
          <cell r="F354" t="str">
            <v/>
          </cell>
          <cell r="G354" t="str">
            <v/>
          </cell>
          <cell r="H354" t="str">
            <v/>
          </cell>
          <cell r="AR354" t="str">
            <v/>
          </cell>
          <cell r="AS354" t="str">
            <v/>
          </cell>
          <cell r="AU354" t="str">
            <v/>
          </cell>
          <cell r="AV354" t="str">
            <v/>
          </cell>
          <cell r="AW354" t="str">
            <v/>
          </cell>
          <cell r="BA354" t="str">
            <v/>
          </cell>
        </row>
        <row r="355">
          <cell r="A355">
            <v>352</v>
          </cell>
          <cell r="C355" t="str">
            <v>November</v>
          </cell>
          <cell r="D355" t="str">
            <v/>
          </cell>
          <cell r="E355" t="str">
            <v/>
          </cell>
          <cell r="F355" t="str">
            <v/>
          </cell>
          <cell r="G355" t="str">
            <v/>
          </cell>
          <cell r="H355" t="str">
            <v/>
          </cell>
          <cell r="AR355" t="str">
            <v/>
          </cell>
          <cell r="AS355" t="str">
            <v/>
          </cell>
          <cell r="AU355" t="str">
            <v/>
          </cell>
          <cell r="AV355" t="str">
            <v/>
          </cell>
          <cell r="AW355" t="str">
            <v/>
          </cell>
          <cell r="BA355" t="str">
            <v/>
          </cell>
        </row>
        <row r="356">
          <cell r="A356">
            <v>353</v>
          </cell>
          <cell r="C356" t="str">
            <v>November</v>
          </cell>
          <cell r="D356" t="str">
            <v/>
          </cell>
          <cell r="E356" t="str">
            <v/>
          </cell>
          <cell r="F356" t="str">
            <v/>
          </cell>
          <cell r="G356" t="str">
            <v/>
          </cell>
          <cell r="H356" t="str">
            <v/>
          </cell>
          <cell r="AR356" t="str">
            <v/>
          </cell>
          <cell r="AS356" t="str">
            <v/>
          </cell>
          <cell r="AU356" t="str">
            <v/>
          </cell>
          <cell r="AV356" t="str">
            <v/>
          </cell>
          <cell r="AW356" t="str">
            <v/>
          </cell>
          <cell r="BA356" t="str">
            <v/>
          </cell>
        </row>
        <row r="357">
          <cell r="A357">
            <v>354</v>
          </cell>
          <cell r="C357" t="str">
            <v>November</v>
          </cell>
          <cell r="D357" t="str">
            <v/>
          </cell>
          <cell r="E357" t="str">
            <v/>
          </cell>
          <cell r="F357" t="str">
            <v/>
          </cell>
          <cell r="G357" t="str">
            <v/>
          </cell>
          <cell r="H357" t="str">
            <v/>
          </cell>
          <cell r="AR357" t="str">
            <v/>
          </cell>
          <cell r="AS357" t="str">
            <v/>
          </cell>
          <cell r="AU357" t="str">
            <v/>
          </cell>
          <cell r="AV357" t="str">
            <v/>
          </cell>
          <cell r="AW357" t="str">
            <v/>
          </cell>
          <cell r="BA357" t="str">
            <v/>
          </cell>
        </row>
        <row r="358">
          <cell r="A358">
            <v>355</v>
          </cell>
          <cell r="C358" t="str">
            <v>November</v>
          </cell>
          <cell r="D358" t="str">
            <v/>
          </cell>
          <cell r="E358" t="str">
            <v/>
          </cell>
          <cell r="F358" t="str">
            <v/>
          </cell>
          <cell r="G358" t="str">
            <v/>
          </cell>
          <cell r="H358" t="str">
            <v/>
          </cell>
          <cell r="AR358" t="str">
            <v/>
          </cell>
          <cell r="AS358" t="str">
            <v/>
          </cell>
          <cell r="AU358" t="str">
            <v/>
          </cell>
          <cell r="AV358" t="str">
            <v/>
          </cell>
          <cell r="AW358" t="str">
            <v/>
          </cell>
          <cell r="BA358" t="str">
            <v/>
          </cell>
        </row>
        <row r="359">
          <cell r="A359">
            <v>356</v>
          </cell>
          <cell r="C359" t="str">
            <v>November</v>
          </cell>
          <cell r="D359" t="str">
            <v/>
          </cell>
          <cell r="E359" t="str">
            <v/>
          </cell>
          <cell r="F359" t="str">
            <v/>
          </cell>
          <cell r="G359" t="str">
            <v/>
          </cell>
          <cell r="H359" t="str">
            <v/>
          </cell>
          <cell r="AR359" t="str">
            <v/>
          </cell>
          <cell r="AS359" t="str">
            <v/>
          </cell>
          <cell r="AU359" t="str">
            <v/>
          </cell>
          <cell r="AV359" t="str">
            <v/>
          </cell>
          <cell r="AW359" t="str">
            <v/>
          </cell>
          <cell r="BA359" t="str">
            <v/>
          </cell>
        </row>
        <row r="360">
          <cell r="A360">
            <v>357</v>
          </cell>
          <cell r="C360" t="str">
            <v>November</v>
          </cell>
          <cell r="D360" t="str">
            <v/>
          </cell>
          <cell r="E360" t="str">
            <v/>
          </cell>
          <cell r="F360" t="str">
            <v/>
          </cell>
          <cell r="G360" t="str">
            <v/>
          </cell>
          <cell r="H360" t="str">
            <v/>
          </cell>
          <cell r="AR360" t="str">
            <v/>
          </cell>
          <cell r="AS360" t="str">
            <v/>
          </cell>
          <cell r="AU360" t="str">
            <v/>
          </cell>
          <cell r="AV360" t="str">
            <v/>
          </cell>
          <cell r="AW360" t="str">
            <v/>
          </cell>
          <cell r="BA360" t="str">
            <v/>
          </cell>
        </row>
        <row r="361">
          <cell r="A361">
            <v>358</v>
          </cell>
          <cell r="C361" t="str">
            <v>November</v>
          </cell>
          <cell r="D361" t="str">
            <v/>
          </cell>
          <cell r="E361" t="str">
            <v/>
          </cell>
          <cell r="F361" t="str">
            <v/>
          </cell>
          <cell r="G361" t="str">
            <v/>
          </cell>
          <cell r="H361" t="str">
            <v/>
          </cell>
          <cell r="AR361" t="str">
            <v/>
          </cell>
          <cell r="AS361" t="str">
            <v/>
          </cell>
          <cell r="AU361" t="str">
            <v/>
          </cell>
          <cell r="AV361" t="str">
            <v/>
          </cell>
          <cell r="AW361" t="str">
            <v/>
          </cell>
          <cell r="BA361" t="str">
            <v/>
          </cell>
        </row>
        <row r="362">
          <cell r="A362">
            <v>359</v>
          </cell>
          <cell r="C362" t="str">
            <v>November</v>
          </cell>
          <cell r="D362" t="str">
            <v/>
          </cell>
          <cell r="E362" t="str">
            <v/>
          </cell>
          <cell r="F362" t="str">
            <v/>
          </cell>
          <cell r="G362" t="str">
            <v/>
          </cell>
          <cell r="H362" t="str">
            <v/>
          </cell>
          <cell r="AR362" t="str">
            <v/>
          </cell>
          <cell r="AS362" t="str">
            <v/>
          </cell>
          <cell r="AU362" t="str">
            <v/>
          </cell>
          <cell r="AV362" t="str">
            <v/>
          </cell>
          <cell r="AW362" t="str">
            <v/>
          </cell>
          <cell r="BA362" t="str">
            <v/>
          </cell>
        </row>
        <row r="363">
          <cell r="A363">
            <v>360</v>
          </cell>
          <cell r="C363" t="str">
            <v>November</v>
          </cell>
          <cell r="D363" t="str">
            <v/>
          </cell>
          <cell r="E363" t="str">
            <v/>
          </cell>
          <cell r="F363" t="str">
            <v/>
          </cell>
          <cell r="G363" t="str">
            <v/>
          </cell>
          <cell r="H363" t="str">
            <v/>
          </cell>
          <cell r="AR363" t="str">
            <v/>
          </cell>
          <cell r="AS363" t="str">
            <v/>
          </cell>
          <cell r="AU363" t="str">
            <v/>
          </cell>
          <cell r="AV363" t="str">
            <v/>
          </cell>
          <cell r="AW363" t="str">
            <v/>
          </cell>
          <cell r="BA363" t="str">
            <v/>
          </cell>
        </row>
        <row r="364">
          <cell r="A364">
            <v>361</v>
          </cell>
          <cell r="C364" t="str">
            <v>December</v>
          </cell>
          <cell r="D364" t="str">
            <v>122625140006</v>
          </cell>
          <cell r="E364" t="str">
            <v>ACAYAN, ELIJAH DITALO</v>
          </cell>
          <cell r="F364" t="str">
            <v>Male</v>
          </cell>
          <cell r="G364">
            <v>1</v>
          </cell>
          <cell r="H364">
            <v>1</v>
          </cell>
          <cell r="AR364">
            <v>0</v>
          </cell>
          <cell r="AS364">
            <v>13</v>
          </cell>
          <cell r="AU364">
            <v>0</v>
          </cell>
          <cell r="AV364">
            <v>46357</v>
          </cell>
          <cell r="AW364">
            <v>46374</v>
          </cell>
          <cell r="BA364">
            <v>1</v>
          </cell>
        </row>
        <row r="365">
          <cell r="A365">
            <v>362</v>
          </cell>
          <cell r="C365" t="str">
            <v>December</v>
          </cell>
          <cell r="D365" t="str">
            <v>419658160041</v>
          </cell>
          <cell r="E365" t="str">
            <v>ARCILLA, KYLE XANDRE MATUS</v>
          </cell>
          <cell r="F365" t="str">
            <v>Male</v>
          </cell>
          <cell r="G365">
            <v>1</v>
          </cell>
          <cell r="H365">
            <v>1</v>
          </cell>
          <cell r="AR365">
            <v>0</v>
          </cell>
          <cell r="AS365">
            <v>13</v>
          </cell>
          <cell r="AU365">
            <v>0</v>
          </cell>
          <cell r="AV365">
            <v>46357</v>
          </cell>
          <cell r="AW365">
            <v>46374</v>
          </cell>
          <cell r="BA365">
            <v>2</v>
          </cell>
        </row>
        <row r="366">
          <cell r="A366">
            <v>363</v>
          </cell>
          <cell r="C366" t="str">
            <v>December</v>
          </cell>
          <cell r="D366" t="str">
            <v>104015140057</v>
          </cell>
          <cell r="E366" t="str">
            <v>CAPAYAN, DENVER CORPUZ</v>
          </cell>
          <cell r="F366" t="str">
            <v>Male</v>
          </cell>
          <cell r="G366">
            <v>1</v>
          </cell>
          <cell r="H366">
            <v>1</v>
          </cell>
          <cell r="AR366">
            <v>0</v>
          </cell>
          <cell r="AS366">
            <v>13</v>
          </cell>
          <cell r="AU366">
            <v>0</v>
          </cell>
          <cell r="AV366">
            <v>46357</v>
          </cell>
          <cell r="AW366">
            <v>46374</v>
          </cell>
          <cell r="BA366">
            <v>3</v>
          </cell>
        </row>
        <row r="367">
          <cell r="A367">
            <v>364</v>
          </cell>
          <cell r="C367" t="str">
            <v>December</v>
          </cell>
          <cell r="D367" t="str">
            <v>107023140026</v>
          </cell>
          <cell r="E367" t="str">
            <v>DOMINGO, FRYNNS LIAM ATIENZA</v>
          </cell>
          <cell r="F367" t="str">
            <v>Male</v>
          </cell>
          <cell r="G367">
            <v>1</v>
          </cell>
          <cell r="H367">
            <v>1</v>
          </cell>
          <cell r="AR367">
            <v>0</v>
          </cell>
          <cell r="AS367">
            <v>13</v>
          </cell>
          <cell r="AU367">
            <v>0</v>
          </cell>
          <cell r="AV367">
            <v>46357</v>
          </cell>
          <cell r="AW367">
            <v>46374</v>
          </cell>
          <cell r="BA367">
            <v>4</v>
          </cell>
        </row>
        <row r="368">
          <cell r="A368">
            <v>365</v>
          </cell>
          <cell r="C368" t="str">
            <v>December</v>
          </cell>
          <cell r="D368" t="str">
            <v>110347140023</v>
          </cell>
          <cell r="E368" t="str">
            <v>DUMADALUG, JAMES DIZON</v>
          </cell>
          <cell r="F368" t="str">
            <v>Male</v>
          </cell>
          <cell r="G368">
            <v>1</v>
          </cell>
          <cell r="H368">
            <v>1</v>
          </cell>
          <cell r="AR368">
            <v>0</v>
          </cell>
          <cell r="AS368">
            <v>13</v>
          </cell>
          <cell r="AU368">
            <v>0</v>
          </cell>
          <cell r="AV368">
            <v>46357</v>
          </cell>
          <cell r="AW368">
            <v>46374</v>
          </cell>
          <cell r="BA368">
            <v>5</v>
          </cell>
        </row>
        <row r="369">
          <cell r="A369">
            <v>366</v>
          </cell>
          <cell r="C369" t="str">
            <v>December</v>
          </cell>
          <cell r="D369" t="str">
            <v>107031140010</v>
          </cell>
          <cell r="E369" t="str">
            <v>GARCIA, KIRK NATHAN BOLSICO</v>
          </cell>
          <cell r="F369" t="str">
            <v>Male</v>
          </cell>
          <cell r="G369">
            <v>1</v>
          </cell>
          <cell r="H369">
            <v>1</v>
          </cell>
          <cell r="AR369">
            <v>0</v>
          </cell>
          <cell r="AS369">
            <v>13</v>
          </cell>
          <cell r="AU369">
            <v>0</v>
          </cell>
          <cell r="AV369">
            <v>46357</v>
          </cell>
          <cell r="AW369">
            <v>46374</v>
          </cell>
          <cell r="BA369">
            <v>6</v>
          </cell>
        </row>
        <row r="370">
          <cell r="A370">
            <v>367</v>
          </cell>
          <cell r="C370" t="str">
            <v>December</v>
          </cell>
          <cell r="D370" t="str">
            <v>107061140477</v>
          </cell>
          <cell r="E370" t="str">
            <v>GUEVARRA, SEAD SYRON CORPUZ</v>
          </cell>
          <cell r="F370" t="str">
            <v>Male</v>
          </cell>
          <cell r="G370">
            <v>1</v>
          </cell>
          <cell r="H370">
            <v>1</v>
          </cell>
          <cell r="AR370">
            <v>0</v>
          </cell>
          <cell r="AS370">
            <v>13</v>
          </cell>
          <cell r="AU370">
            <v>0</v>
          </cell>
          <cell r="AV370">
            <v>46357</v>
          </cell>
          <cell r="AW370">
            <v>46374</v>
          </cell>
          <cell r="BA370">
            <v>7</v>
          </cell>
        </row>
        <row r="371">
          <cell r="A371">
            <v>368</v>
          </cell>
          <cell r="C371" t="str">
            <v>December</v>
          </cell>
          <cell r="D371" t="str">
            <v>133624150052</v>
          </cell>
          <cell r="E371" t="str">
            <v>MACAPANTON, ALIMAN SULTAN</v>
          </cell>
          <cell r="F371" t="str">
            <v>Male</v>
          </cell>
          <cell r="G371">
            <v>1</v>
          </cell>
          <cell r="H371">
            <v>1</v>
          </cell>
          <cell r="AR371">
            <v>0</v>
          </cell>
          <cell r="AS371">
            <v>13</v>
          </cell>
          <cell r="AU371">
            <v>0</v>
          </cell>
          <cell r="AV371">
            <v>46357</v>
          </cell>
          <cell r="AW371">
            <v>46374</v>
          </cell>
          <cell r="BA371">
            <v>8</v>
          </cell>
        </row>
        <row r="372">
          <cell r="A372">
            <v>369</v>
          </cell>
          <cell r="C372" t="str">
            <v>December</v>
          </cell>
          <cell r="D372" t="str">
            <v>107027140164</v>
          </cell>
          <cell r="E372" t="str">
            <v>MEJIA, FRANCIS KHIAN LLARENA</v>
          </cell>
          <cell r="F372" t="str">
            <v>Male</v>
          </cell>
          <cell r="G372">
            <v>1</v>
          </cell>
          <cell r="H372">
            <v>1</v>
          </cell>
          <cell r="AR372">
            <v>0</v>
          </cell>
          <cell r="AS372">
            <v>13</v>
          </cell>
          <cell r="AU372">
            <v>0</v>
          </cell>
          <cell r="AV372">
            <v>46357</v>
          </cell>
          <cell r="AW372">
            <v>46374</v>
          </cell>
          <cell r="BA372">
            <v>9</v>
          </cell>
        </row>
        <row r="373">
          <cell r="A373">
            <v>370</v>
          </cell>
          <cell r="C373" t="str">
            <v>December</v>
          </cell>
          <cell r="D373" t="str">
            <v>107185140032</v>
          </cell>
          <cell r="E373" t="str">
            <v>NERI, GABRIEL BRIONES</v>
          </cell>
          <cell r="F373" t="str">
            <v>Male</v>
          </cell>
          <cell r="G373">
            <v>1</v>
          </cell>
          <cell r="H373">
            <v>1</v>
          </cell>
          <cell r="AR373">
            <v>0</v>
          </cell>
          <cell r="AS373">
            <v>13</v>
          </cell>
          <cell r="AU373">
            <v>0</v>
          </cell>
          <cell r="AV373">
            <v>46357</v>
          </cell>
          <cell r="AW373">
            <v>46374</v>
          </cell>
          <cell r="BA373">
            <v>10</v>
          </cell>
        </row>
        <row r="374">
          <cell r="A374">
            <v>371</v>
          </cell>
          <cell r="C374" t="str">
            <v>December</v>
          </cell>
          <cell r="D374" t="str">
            <v>107057130479</v>
          </cell>
          <cell r="E374" t="str">
            <v>PAYABYAB, SHELTER RAIN ALEJANDRO</v>
          </cell>
          <cell r="F374" t="str">
            <v>Male</v>
          </cell>
          <cell r="G374">
            <v>1</v>
          </cell>
          <cell r="H374">
            <v>1</v>
          </cell>
          <cell r="AR374">
            <v>0</v>
          </cell>
          <cell r="AS374">
            <v>13</v>
          </cell>
          <cell r="AU374">
            <v>0</v>
          </cell>
          <cell r="AV374">
            <v>46357</v>
          </cell>
          <cell r="AW374">
            <v>46374</v>
          </cell>
          <cell r="BA374">
            <v>11</v>
          </cell>
        </row>
        <row r="375">
          <cell r="A375">
            <v>372</v>
          </cell>
          <cell r="C375" t="str">
            <v>December</v>
          </cell>
          <cell r="D375" t="str">
            <v>113420140126</v>
          </cell>
          <cell r="E375" t="str">
            <v>RAMIREZ, RENCES DWANE RAMONES</v>
          </cell>
          <cell r="F375" t="str">
            <v>Male</v>
          </cell>
          <cell r="G375">
            <v>1</v>
          </cell>
          <cell r="H375">
            <v>1</v>
          </cell>
          <cell r="AR375">
            <v>0</v>
          </cell>
          <cell r="AS375">
            <v>13</v>
          </cell>
          <cell r="AU375">
            <v>0</v>
          </cell>
          <cell r="AV375">
            <v>46357</v>
          </cell>
          <cell r="AW375">
            <v>46374</v>
          </cell>
          <cell r="BA375">
            <v>12</v>
          </cell>
        </row>
        <row r="376">
          <cell r="A376">
            <v>373</v>
          </cell>
          <cell r="C376" t="str">
            <v>December</v>
          </cell>
          <cell r="D376" t="str">
            <v>107048150273</v>
          </cell>
          <cell r="E376" t="str">
            <v>SUGAY, ASHTON GUTIERREZ</v>
          </cell>
          <cell r="F376" t="str">
            <v>Male</v>
          </cell>
          <cell r="G376">
            <v>1</v>
          </cell>
          <cell r="H376">
            <v>1</v>
          </cell>
          <cell r="AR376">
            <v>0</v>
          </cell>
          <cell r="AS376">
            <v>13</v>
          </cell>
          <cell r="AU376">
            <v>0</v>
          </cell>
          <cell r="AV376">
            <v>46357</v>
          </cell>
          <cell r="AW376">
            <v>46374</v>
          </cell>
          <cell r="BA376">
            <v>13</v>
          </cell>
        </row>
        <row r="377">
          <cell r="A377">
            <v>374</v>
          </cell>
          <cell r="C377" t="str">
            <v>December</v>
          </cell>
          <cell r="D377">
            <v>107032140054</v>
          </cell>
          <cell r="E377" t="str">
            <v>SANTIAGO, JARED ALBERTH BARREDA</v>
          </cell>
          <cell r="F377" t="str">
            <v>Male</v>
          </cell>
          <cell r="G377">
            <v>1</v>
          </cell>
          <cell r="H377">
            <v>1</v>
          </cell>
          <cell r="AR377">
            <v>0</v>
          </cell>
          <cell r="AS377">
            <v>13</v>
          </cell>
          <cell r="AU377">
            <v>0</v>
          </cell>
          <cell r="AV377">
            <v>46357</v>
          </cell>
          <cell r="AW377">
            <v>46374</v>
          </cell>
          <cell r="BA377">
            <v>14</v>
          </cell>
        </row>
        <row r="378">
          <cell r="A378">
            <v>375</v>
          </cell>
          <cell r="C378" t="str">
            <v>December</v>
          </cell>
          <cell r="D378" t="str">
            <v>122379140033</v>
          </cell>
          <cell r="E378" t="str">
            <v>ACAYAN, HANNAH NICOLE COSTUNA</v>
          </cell>
          <cell r="F378" t="str">
            <v>Female</v>
          </cell>
          <cell r="G378">
            <v>1</v>
          </cell>
          <cell r="H378">
            <v>1</v>
          </cell>
          <cell r="AR378">
            <v>0</v>
          </cell>
          <cell r="AS378">
            <v>13</v>
          </cell>
          <cell r="AU378">
            <v>0</v>
          </cell>
          <cell r="AV378">
            <v>46357</v>
          </cell>
          <cell r="AW378">
            <v>46374</v>
          </cell>
          <cell r="BA378">
            <v>1</v>
          </cell>
        </row>
        <row r="379">
          <cell r="A379">
            <v>376</v>
          </cell>
          <cell r="C379" t="str">
            <v>December</v>
          </cell>
          <cell r="D379" t="str">
            <v>107041140509</v>
          </cell>
          <cell r="E379" t="str">
            <v>AREÑEZ, FRANCHESKA OCAMPO</v>
          </cell>
          <cell r="F379" t="str">
            <v>Female</v>
          </cell>
          <cell r="G379">
            <v>1</v>
          </cell>
          <cell r="H379">
            <v>1</v>
          </cell>
          <cell r="AR379">
            <v>0</v>
          </cell>
          <cell r="AS379">
            <v>13</v>
          </cell>
          <cell r="AU379">
            <v>0</v>
          </cell>
          <cell r="AV379">
            <v>46357</v>
          </cell>
          <cell r="AW379">
            <v>46374</v>
          </cell>
          <cell r="BA379">
            <v>2</v>
          </cell>
        </row>
        <row r="380">
          <cell r="A380">
            <v>377</v>
          </cell>
          <cell r="C380" t="str">
            <v>December</v>
          </cell>
          <cell r="D380" t="str">
            <v>159547140065</v>
          </cell>
          <cell r="E380" t="str">
            <v>BALUCANAG, CHLOE LIAN GALINO</v>
          </cell>
          <cell r="F380" t="str">
            <v>Female</v>
          </cell>
          <cell r="G380">
            <v>1</v>
          </cell>
          <cell r="H380">
            <v>1</v>
          </cell>
          <cell r="AR380">
            <v>0</v>
          </cell>
          <cell r="AS380">
            <v>13</v>
          </cell>
          <cell r="AU380">
            <v>0</v>
          </cell>
          <cell r="AV380">
            <v>46357</v>
          </cell>
          <cell r="AW380">
            <v>46374</v>
          </cell>
          <cell r="BA380">
            <v>3</v>
          </cell>
        </row>
        <row r="381">
          <cell r="A381">
            <v>378</v>
          </cell>
          <cell r="C381" t="str">
            <v>December</v>
          </cell>
          <cell r="D381" t="str">
            <v>107022140163</v>
          </cell>
          <cell r="E381" t="str">
            <v>BIE, JOHN RAIN MAGTOTO</v>
          </cell>
          <cell r="F381" t="str">
            <v>Female</v>
          </cell>
          <cell r="G381">
            <v>1</v>
          </cell>
          <cell r="H381">
            <v>1</v>
          </cell>
          <cell r="AR381">
            <v>0</v>
          </cell>
          <cell r="AS381">
            <v>13</v>
          </cell>
          <cell r="AU381">
            <v>0</v>
          </cell>
          <cell r="AV381">
            <v>46357</v>
          </cell>
          <cell r="AW381">
            <v>46374</v>
          </cell>
          <cell r="BA381">
            <v>4</v>
          </cell>
        </row>
        <row r="382">
          <cell r="A382">
            <v>379</v>
          </cell>
          <cell r="C382" t="str">
            <v>December</v>
          </cell>
          <cell r="D382" t="str">
            <v>105935140024</v>
          </cell>
          <cell r="E382" t="str">
            <v>DAVID, ASHLEY LAPUZ</v>
          </cell>
          <cell r="F382" t="str">
            <v>Female</v>
          </cell>
          <cell r="G382">
            <v>1</v>
          </cell>
          <cell r="H382">
            <v>1</v>
          </cell>
          <cell r="AR382">
            <v>0</v>
          </cell>
          <cell r="AS382">
            <v>13</v>
          </cell>
          <cell r="AU382">
            <v>0</v>
          </cell>
          <cell r="AV382">
            <v>46357</v>
          </cell>
          <cell r="AW382">
            <v>46374</v>
          </cell>
          <cell r="BA382">
            <v>5</v>
          </cell>
        </row>
        <row r="383">
          <cell r="A383">
            <v>380</v>
          </cell>
          <cell r="C383" t="str">
            <v>December</v>
          </cell>
          <cell r="D383" t="str">
            <v>106066150025</v>
          </cell>
          <cell r="E383" t="str">
            <v>FLORES, THEA MARIE LUMUYA</v>
          </cell>
          <cell r="F383" t="str">
            <v>Female</v>
          </cell>
          <cell r="G383">
            <v>1</v>
          </cell>
          <cell r="H383">
            <v>1</v>
          </cell>
          <cell r="AR383">
            <v>0</v>
          </cell>
          <cell r="AS383">
            <v>13</v>
          </cell>
          <cell r="AU383">
            <v>0</v>
          </cell>
          <cell r="AV383">
            <v>46357</v>
          </cell>
          <cell r="AW383">
            <v>46374</v>
          </cell>
          <cell r="BA383">
            <v>6</v>
          </cell>
        </row>
        <row r="384">
          <cell r="A384">
            <v>381</v>
          </cell>
          <cell r="C384" t="str">
            <v>December</v>
          </cell>
          <cell r="D384" t="str">
            <v>107032140061</v>
          </cell>
          <cell r="E384" t="str">
            <v>INGAL, SHAINA KYLE PINEDA</v>
          </cell>
          <cell r="F384" t="str">
            <v>Female</v>
          </cell>
          <cell r="G384">
            <v>1</v>
          </cell>
          <cell r="H384">
            <v>1</v>
          </cell>
          <cell r="AR384">
            <v>0</v>
          </cell>
          <cell r="AS384">
            <v>13</v>
          </cell>
          <cell r="AU384">
            <v>0</v>
          </cell>
          <cell r="AV384">
            <v>46357</v>
          </cell>
          <cell r="AW384">
            <v>46374</v>
          </cell>
          <cell r="BA384">
            <v>7</v>
          </cell>
        </row>
        <row r="385">
          <cell r="A385">
            <v>382</v>
          </cell>
          <cell r="C385" t="str">
            <v>December</v>
          </cell>
          <cell r="D385">
            <v>106072140070</v>
          </cell>
          <cell r="E385" t="str">
            <v>MACAPODI, AINA MANGUNTAWAR</v>
          </cell>
          <cell r="F385" t="str">
            <v>Female</v>
          </cell>
          <cell r="G385">
            <v>1</v>
          </cell>
          <cell r="H385">
            <v>1</v>
          </cell>
          <cell r="AR385">
            <v>0</v>
          </cell>
          <cell r="AS385">
            <v>13</v>
          </cell>
          <cell r="AU385">
            <v>0</v>
          </cell>
          <cell r="AV385">
            <v>46357</v>
          </cell>
          <cell r="AW385">
            <v>46374</v>
          </cell>
          <cell r="BA385">
            <v>8</v>
          </cell>
        </row>
        <row r="386">
          <cell r="A386">
            <v>383</v>
          </cell>
          <cell r="C386" t="str">
            <v>December</v>
          </cell>
          <cell r="D386" t="str">
            <v>136634150917</v>
          </cell>
          <cell r="E386" t="str">
            <v>MIPAMPANG, RASHEDA BASCARA</v>
          </cell>
          <cell r="F386" t="str">
            <v>Female</v>
          </cell>
          <cell r="G386">
            <v>1</v>
          </cell>
          <cell r="H386">
            <v>1</v>
          </cell>
          <cell r="AR386">
            <v>0</v>
          </cell>
          <cell r="AS386">
            <v>13</v>
          </cell>
          <cell r="AU386">
            <v>0</v>
          </cell>
          <cell r="AV386">
            <v>46357</v>
          </cell>
          <cell r="AW386">
            <v>46374</v>
          </cell>
          <cell r="BA386">
            <v>9</v>
          </cell>
        </row>
        <row r="387">
          <cell r="A387">
            <v>384</v>
          </cell>
          <cell r="C387" t="str">
            <v>December</v>
          </cell>
          <cell r="D387" t="str">
            <v>107028140103</v>
          </cell>
          <cell r="E387" t="str">
            <v>TAYSON, DANIELLE MAE PANES</v>
          </cell>
          <cell r="F387" t="str">
            <v>Female</v>
          </cell>
          <cell r="G387">
            <v>1</v>
          </cell>
          <cell r="H387">
            <v>1</v>
          </cell>
          <cell r="AR387">
            <v>0</v>
          </cell>
          <cell r="AS387">
            <v>13</v>
          </cell>
          <cell r="AU387">
            <v>0</v>
          </cell>
          <cell r="AV387">
            <v>46357</v>
          </cell>
          <cell r="AW387">
            <v>46374</v>
          </cell>
          <cell r="BA387">
            <v>10</v>
          </cell>
        </row>
        <row r="388">
          <cell r="A388">
            <v>385</v>
          </cell>
          <cell r="C388" t="str">
            <v>December</v>
          </cell>
          <cell r="D388">
            <v>105205140016</v>
          </cell>
          <cell r="E388" t="str">
            <v>FAJARDO, PRINCE DANIEL RODAJE</v>
          </cell>
          <cell r="F388" t="str">
            <v>Female</v>
          </cell>
          <cell r="G388">
            <v>1</v>
          </cell>
          <cell r="H388">
            <v>1</v>
          </cell>
          <cell r="AR388">
            <v>0</v>
          </cell>
          <cell r="AS388">
            <v>13</v>
          </cell>
          <cell r="AU388">
            <v>0</v>
          </cell>
          <cell r="AV388">
            <v>46357</v>
          </cell>
          <cell r="AW388">
            <v>46374</v>
          </cell>
          <cell r="BA388">
            <v>11</v>
          </cell>
        </row>
        <row r="389">
          <cell r="A389">
            <v>386</v>
          </cell>
          <cell r="C389" t="str">
            <v>December</v>
          </cell>
          <cell r="D389" t="str">
            <v/>
          </cell>
          <cell r="E389" t="str">
            <v/>
          </cell>
          <cell r="F389" t="str">
            <v/>
          </cell>
          <cell r="G389" t="str">
            <v/>
          </cell>
          <cell r="H389" t="str">
            <v/>
          </cell>
          <cell r="AR389" t="str">
            <v/>
          </cell>
          <cell r="AS389" t="str">
            <v/>
          </cell>
          <cell r="AU389" t="str">
            <v/>
          </cell>
          <cell r="AV389" t="str">
            <v/>
          </cell>
          <cell r="AW389" t="str">
            <v/>
          </cell>
          <cell r="BA389" t="str">
            <v/>
          </cell>
        </row>
        <row r="390">
          <cell r="A390">
            <v>387</v>
          </cell>
          <cell r="C390" t="str">
            <v>December</v>
          </cell>
          <cell r="D390" t="str">
            <v/>
          </cell>
          <cell r="E390" t="str">
            <v/>
          </cell>
          <cell r="F390" t="str">
            <v/>
          </cell>
          <cell r="G390" t="str">
            <v/>
          </cell>
          <cell r="H390" t="str">
            <v/>
          </cell>
          <cell r="AR390" t="str">
            <v/>
          </cell>
          <cell r="AS390" t="str">
            <v/>
          </cell>
          <cell r="AU390" t="str">
            <v/>
          </cell>
          <cell r="AV390" t="str">
            <v/>
          </cell>
          <cell r="AW390" t="str">
            <v/>
          </cell>
          <cell r="BA390" t="str">
            <v/>
          </cell>
        </row>
        <row r="391">
          <cell r="A391">
            <v>388</v>
          </cell>
          <cell r="C391" t="str">
            <v>December</v>
          </cell>
          <cell r="D391" t="str">
            <v/>
          </cell>
          <cell r="E391" t="str">
            <v/>
          </cell>
          <cell r="F391" t="str">
            <v/>
          </cell>
          <cell r="G391" t="str">
            <v/>
          </cell>
          <cell r="H391" t="str">
            <v/>
          </cell>
          <cell r="AR391" t="str">
            <v/>
          </cell>
          <cell r="AS391" t="str">
            <v/>
          </cell>
          <cell r="AU391" t="str">
            <v/>
          </cell>
          <cell r="AV391" t="str">
            <v/>
          </cell>
          <cell r="AW391" t="str">
            <v/>
          </cell>
          <cell r="BA391" t="str">
            <v/>
          </cell>
        </row>
        <row r="392">
          <cell r="A392">
            <v>389</v>
          </cell>
          <cell r="C392" t="str">
            <v>December</v>
          </cell>
          <cell r="D392" t="str">
            <v/>
          </cell>
          <cell r="E392" t="str">
            <v/>
          </cell>
          <cell r="F392" t="str">
            <v/>
          </cell>
          <cell r="G392" t="str">
            <v/>
          </cell>
          <cell r="H392" t="str">
            <v/>
          </cell>
          <cell r="AR392" t="str">
            <v/>
          </cell>
          <cell r="AS392" t="str">
            <v/>
          </cell>
          <cell r="AU392" t="str">
            <v/>
          </cell>
          <cell r="AV392" t="str">
            <v/>
          </cell>
          <cell r="AW392" t="str">
            <v/>
          </cell>
          <cell r="BA392" t="str">
            <v/>
          </cell>
        </row>
        <row r="393">
          <cell r="A393">
            <v>390</v>
          </cell>
          <cell r="C393" t="str">
            <v>December</v>
          </cell>
          <cell r="D393" t="str">
            <v/>
          </cell>
          <cell r="E393" t="str">
            <v/>
          </cell>
          <cell r="F393" t="str">
            <v/>
          </cell>
          <cell r="G393" t="str">
            <v/>
          </cell>
          <cell r="H393" t="str">
            <v/>
          </cell>
          <cell r="AR393" t="str">
            <v/>
          </cell>
          <cell r="AS393" t="str">
            <v/>
          </cell>
          <cell r="AU393" t="str">
            <v/>
          </cell>
          <cell r="AV393" t="str">
            <v/>
          </cell>
          <cell r="AW393" t="str">
            <v/>
          </cell>
          <cell r="BA393" t="str">
            <v/>
          </cell>
        </row>
        <row r="394">
          <cell r="A394">
            <v>391</v>
          </cell>
          <cell r="C394" t="str">
            <v>December</v>
          </cell>
          <cell r="D394" t="str">
            <v/>
          </cell>
          <cell r="E394" t="str">
            <v/>
          </cell>
          <cell r="F394" t="str">
            <v/>
          </cell>
          <cell r="G394" t="str">
            <v/>
          </cell>
          <cell r="H394" t="str">
            <v/>
          </cell>
          <cell r="AR394" t="str">
            <v/>
          </cell>
          <cell r="AS394" t="str">
            <v/>
          </cell>
          <cell r="AU394" t="str">
            <v/>
          </cell>
          <cell r="AV394" t="str">
            <v/>
          </cell>
          <cell r="AW394" t="str">
            <v/>
          </cell>
          <cell r="BA394" t="str">
            <v/>
          </cell>
        </row>
        <row r="395">
          <cell r="A395">
            <v>392</v>
          </cell>
          <cell r="C395" t="str">
            <v>December</v>
          </cell>
          <cell r="D395" t="str">
            <v/>
          </cell>
          <cell r="E395" t="str">
            <v/>
          </cell>
          <cell r="F395" t="str">
            <v/>
          </cell>
          <cell r="G395" t="str">
            <v/>
          </cell>
          <cell r="H395" t="str">
            <v/>
          </cell>
          <cell r="AR395" t="str">
            <v/>
          </cell>
          <cell r="AS395" t="str">
            <v/>
          </cell>
          <cell r="AU395" t="str">
            <v/>
          </cell>
          <cell r="AV395" t="str">
            <v/>
          </cell>
          <cell r="AW395" t="str">
            <v/>
          </cell>
          <cell r="BA395" t="str">
            <v/>
          </cell>
        </row>
        <row r="396">
          <cell r="A396">
            <v>393</v>
          </cell>
          <cell r="C396" t="str">
            <v>December</v>
          </cell>
          <cell r="D396" t="str">
            <v/>
          </cell>
          <cell r="E396" t="str">
            <v/>
          </cell>
          <cell r="F396" t="str">
            <v/>
          </cell>
          <cell r="G396" t="str">
            <v/>
          </cell>
          <cell r="H396" t="str">
            <v/>
          </cell>
          <cell r="AR396" t="str">
            <v/>
          </cell>
          <cell r="AS396" t="str">
            <v/>
          </cell>
          <cell r="AU396" t="str">
            <v/>
          </cell>
          <cell r="AV396" t="str">
            <v/>
          </cell>
          <cell r="AW396" t="str">
            <v/>
          </cell>
          <cell r="BA396" t="str">
            <v/>
          </cell>
        </row>
        <row r="397">
          <cell r="A397">
            <v>394</v>
          </cell>
          <cell r="C397" t="str">
            <v>December</v>
          </cell>
          <cell r="D397" t="str">
            <v/>
          </cell>
          <cell r="E397" t="str">
            <v/>
          </cell>
          <cell r="F397" t="str">
            <v/>
          </cell>
          <cell r="G397" t="str">
            <v/>
          </cell>
          <cell r="H397" t="str">
            <v/>
          </cell>
          <cell r="AR397" t="str">
            <v/>
          </cell>
          <cell r="AS397" t="str">
            <v/>
          </cell>
          <cell r="AU397" t="str">
            <v/>
          </cell>
          <cell r="AV397" t="str">
            <v/>
          </cell>
          <cell r="AW397" t="str">
            <v/>
          </cell>
          <cell r="BA397" t="str">
            <v/>
          </cell>
        </row>
        <row r="398">
          <cell r="A398">
            <v>395</v>
          </cell>
          <cell r="C398" t="str">
            <v>December</v>
          </cell>
          <cell r="D398" t="str">
            <v/>
          </cell>
          <cell r="E398" t="str">
            <v/>
          </cell>
          <cell r="F398" t="str">
            <v/>
          </cell>
          <cell r="G398" t="str">
            <v/>
          </cell>
          <cell r="H398" t="str">
            <v/>
          </cell>
          <cell r="AR398" t="str">
            <v/>
          </cell>
          <cell r="AS398" t="str">
            <v/>
          </cell>
          <cell r="AU398" t="str">
            <v/>
          </cell>
          <cell r="AV398" t="str">
            <v/>
          </cell>
          <cell r="AW398" t="str">
            <v/>
          </cell>
          <cell r="BA398" t="str">
            <v/>
          </cell>
        </row>
        <row r="399">
          <cell r="A399">
            <v>396</v>
          </cell>
          <cell r="C399" t="str">
            <v>December</v>
          </cell>
          <cell r="D399" t="str">
            <v/>
          </cell>
          <cell r="E399" t="str">
            <v/>
          </cell>
          <cell r="F399" t="str">
            <v/>
          </cell>
          <cell r="G399" t="str">
            <v/>
          </cell>
          <cell r="H399" t="str">
            <v/>
          </cell>
          <cell r="AR399" t="str">
            <v/>
          </cell>
          <cell r="AS399" t="str">
            <v/>
          </cell>
          <cell r="AU399" t="str">
            <v/>
          </cell>
          <cell r="AV399" t="str">
            <v/>
          </cell>
          <cell r="AW399" t="str">
            <v/>
          </cell>
          <cell r="BA399" t="str">
            <v/>
          </cell>
        </row>
        <row r="400">
          <cell r="A400">
            <v>397</v>
          </cell>
          <cell r="C400" t="str">
            <v>December</v>
          </cell>
          <cell r="D400" t="str">
            <v/>
          </cell>
          <cell r="E400" t="str">
            <v/>
          </cell>
          <cell r="F400" t="str">
            <v/>
          </cell>
          <cell r="G400" t="str">
            <v/>
          </cell>
          <cell r="H400" t="str">
            <v/>
          </cell>
          <cell r="AR400" t="str">
            <v/>
          </cell>
          <cell r="AS400" t="str">
            <v/>
          </cell>
          <cell r="AU400" t="str">
            <v/>
          </cell>
          <cell r="AV400" t="str">
            <v/>
          </cell>
          <cell r="AW400" t="str">
            <v/>
          </cell>
          <cell r="BA400" t="str">
            <v/>
          </cell>
        </row>
        <row r="401">
          <cell r="A401">
            <v>398</v>
          </cell>
          <cell r="C401" t="str">
            <v>December</v>
          </cell>
          <cell r="D401" t="str">
            <v/>
          </cell>
          <cell r="E401" t="str">
            <v/>
          </cell>
          <cell r="F401" t="str">
            <v/>
          </cell>
          <cell r="G401" t="str">
            <v/>
          </cell>
          <cell r="H401" t="str">
            <v/>
          </cell>
          <cell r="AR401" t="str">
            <v/>
          </cell>
          <cell r="AS401" t="str">
            <v/>
          </cell>
          <cell r="AU401" t="str">
            <v/>
          </cell>
          <cell r="AV401" t="str">
            <v/>
          </cell>
          <cell r="AW401" t="str">
            <v/>
          </cell>
          <cell r="BA401" t="str">
            <v/>
          </cell>
        </row>
        <row r="402">
          <cell r="A402">
            <v>399</v>
          </cell>
          <cell r="C402" t="str">
            <v>December</v>
          </cell>
          <cell r="D402" t="str">
            <v/>
          </cell>
          <cell r="E402" t="str">
            <v/>
          </cell>
          <cell r="F402" t="str">
            <v/>
          </cell>
          <cell r="G402" t="str">
            <v/>
          </cell>
          <cell r="H402" t="str">
            <v/>
          </cell>
          <cell r="AR402" t="str">
            <v/>
          </cell>
          <cell r="AS402" t="str">
            <v/>
          </cell>
          <cell r="AU402" t="str">
            <v/>
          </cell>
          <cell r="AV402" t="str">
            <v/>
          </cell>
          <cell r="AW402" t="str">
            <v/>
          </cell>
          <cell r="BA402" t="str">
            <v/>
          </cell>
        </row>
        <row r="403">
          <cell r="A403">
            <v>400</v>
          </cell>
          <cell r="C403" t="str">
            <v>December</v>
          </cell>
          <cell r="D403" t="str">
            <v/>
          </cell>
          <cell r="E403" t="str">
            <v/>
          </cell>
          <cell r="F403" t="str">
            <v/>
          </cell>
          <cell r="G403" t="str">
            <v/>
          </cell>
          <cell r="H403" t="str">
            <v/>
          </cell>
          <cell r="AR403" t="str">
            <v/>
          </cell>
          <cell r="AS403" t="str">
            <v/>
          </cell>
          <cell r="AU403" t="str">
            <v/>
          </cell>
          <cell r="AV403" t="str">
            <v/>
          </cell>
          <cell r="AW403" t="str">
            <v/>
          </cell>
          <cell r="BA403" t="str">
            <v/>
          </cell>
        </row>
        <row r="404">
          <cell r="A404">
            <v>401</v>
          </cell>
          <cell r="C404" t="str">
            <v>December</v>
          </cell>
          <cell r="D404" t="str">
            <v/>
          </cell>
          <cell r="E404" t="str">
            <v/>
          </cell>
          <cell r="F404" t="str">
            <v/>
          </cell>
          <cell r="G404" t="str">
            <v/>
          </cell>
          <cell r="H404" t="str">
            <v/>
          </cell>
          <cell r="AR404" t="str">
            <v/>
          </cell>
          <cell r="AS404" t="str">
            <v/>
          </cell>
          <cell r="AU404" t="str">
            <v/>
          </cell>
          <cell r="AV404" t="str">
            <v/>
          </cell>
          <cell r="AW404" t="str">
            <v/>
          </cell>
          <cell r="BA404" t="str">
            <v/>
          </cell>
        </row>
        <row r="405">
          <cell r="A405">
            <v>402</v>
          </cell>
          <cell r="C405" t="str">
            <v>December</v>
          </cell>
          <cell r="D405" t="str">
            <v/>
          </cell>
          <cell r="E405" t="str">
            <v/>
          </cell>
          <cell r="F405" t="str">
            <v/>
          </cell>
          <cell r="G405" t="str">
            <v/>
          </cell>
          <cell r="H405" t="str">
            <v/>
          </cell>
          <cell r="AR405" t="str">
            <v/>
          </cell>
          <cell r="AS405" t="str">
            <v/>
          </cell>
          <cell r="AU405" t="str">
            <v/>
          </cell>
          <cell r="AV405" t="str">
            <v/>
          </cell>
          <cell r="AW405" t="str">
            <v/>
          </cell>
          <cell r="BA405" t="str">
            <v/>
          </cell>
        </row>
        <row r="406">
          <cell r="A406">
            <v>403</v>
          </cell>
          <cell r="C406" t="str">
            <v>December</v>
          </cell>
          <cell r="D406" t="str">
            <v/>
          </cell>
          <cell r="E406" t="str">
            <v/>
          </cell>
          <cell r="F406" t="str">
            <v/>
          </cell>
          <cell r="G406" t="str">
            <v/>
          </cell>
          <cell r="H406" t="str">
            <v/>
          </cell>
          <cell r="AR406" t="str">
            <v/>
          </cell>
          <cell r="AS406" t="str">
            <v/>
          </cell>
          <cell r="AU406" t="str">
            <v/>
          </cell>
          <cell r="AV406" t="str">
            <v/>
          </cell>
          <cell r="AW406" t="str">
            <v/>
          </cell>
          <cell r="BA406" t="str">
            <v/>
          </cell>
        </row>
        <row r="407">
          <cell r="A407">
            <v>404</v>
          </cell>
          <cell r="C407" t="str">
            <v>December</v>
          </cell>
          <cell r="D407" t="str">
            <v/>
          </cell>
          <cell r="E407" t="str">
            <v/>
          </cell>
          <cell r="F407" t="str">
            <v/>
          </cell>
          <cell r="G407" t="str">
            <v/>
          </cell>
          <cell r="H407" t="str">
            <v/>
          </cell>
          <cell r="AR407" t="str">
            <v/>
          </cell>
          <cell r="AS407" t="str">
            <v/>
          </cell>
          <cell r="AU407" t="str">
            <v/>
          </cell>
          <cell r="AV407" t="str">
            <v/>
          </cell>
          <cell r="AW407" t="str">
            <v/>
          </cell>
          <cell r="BA407" t="str">
            <v/>
          </cell>
        </row>
        <row r="408">
          <cell r="A408">
            <v>405</v>
          </cell>
          <cell r="C408" t="str">
            <v>December</v>
          </cell>
          <cell r="D408" t="str">
            <v/>
          </cell>
          <cell r="E408" t="str">
            <v/>
          </cell>
          <cell r="F408" t="str">
            <v/>
          </cell>
          <cell r="G408" t="str">
            <v/>
          </cell>
          <cell r="H408" t="str">
            <v/>
          </cell>
          <cell r="AR408" t="str">
            <v/>
          </cell>
          <cell r="AS408" t="str">
            <v/>
          </cell>
          <cell r="AU408" t="str">
            <v/>
          </cell>
          <cell r="AV408" t="str">
            <v/>
          </cell>
          <cell r="AW408" t="str">
            <v/>
          </cell>
          <cell r="BA408" t="str">
            <v/>
          </cell>
        </row>
        <row r="409">
          <cell r="A409">
            <v>406</v>
          </cell>
          <cell r="C409" t="str">
            <v>December</v>
          </cell>
          <cell r="D409" t="str">
            <v/>
          </cell>
          <cell r="E409" t="str">
            <v/>
          </cell>
          <cell r="F409" t="str">
            <v/>
          </cell>
          <cell r="G409" t="str">
            <v/>
          </cell>
          <cell r="H409" t="str">
            <v/>
          </cell>
          <cell r="AR409" t="str">
            <v/>
          </cell>
          <cell r="AS409" t="str">
            <v/>
          </cell>
          <cell r="AU409" t="str">
            <v/>
          </cell>
          <cell r="AV409" t="str">
            <v/>
          </cell>
          <cell r="AW409" t="str">
            <v/>
          </cell>
          <cell r="BA409" t="str">
            <v/>
          </cell>
        </row>
        <row r="410">
          <cell r="A410">
            <v>407</v>
          </cell>
          <cell r="C410" t="str">
            <v>December</v>
          </cell>
          <cell r="D410" t="str">
            <v/>
          </cell>
          <cell r="E410" t="str">
            <v/>
          </cell>
          <cell r="F410" t="str">
            <v/>
          </cell>
          <cell r="G410" t="str">
            <v/>
          </cell>
          <cell r="H410" t="str">
            <v/>
          </cell>
          <cell r="AR410" t="str">
            <v/>
          </cell>
          <cell r="AS410" t="str">
            <v/>
          </cell>
          <cell r="AU410" t="str">
            <v/>
          </cell>
          <cell r="AV410" t="str">
            <v/>
          </cell>
          <cell r="AW410" t="str">
            <v/>
          </cell>
          <cell r="BA410" t="str">
            <v/>
          </cell>
        </row>
        <row r="411">
          <cell r="A411">
            <v>408</v>
          </cell>
          <cell r="C411" t="str">
            <v>December</v>
          </cell>
          <cell r="D411" t="str">
            <v/>
          </cell>
          <cell r="E411" t="str">
            <v/>
          </cell>
          <cell r="F411" t="str">
            <v/>
          </cell>
          <cell r="G411" t="str">
            <v/>
          </cell>
          <cell r="H411" t="str">
            <v/>
          </cell>
          <cell r="AR411" t="str">
            <v/>
          </cell>
          <cell r="AS411" t="str">
            <v/>
          </cell>
          <cell r="AU411" t="str">
            <v/>
          </cell>
          <cell r="AV411" t="str">
            <v/>
          </cell>
          <cell r="AW411" t="str">
            <v/>
          </cell>
          <cell r="BA411" t="str">
            <v/>
          </cell>
        </row>
        <row r="412">
          <cell r="A412">
            <v>409</v>
          </cell>
          <cell r="C412" t="str">
            <v>December</v>
          </cell>
          <cell r="D412" t="str">
            <v/>
          </cell>
          <cell r="E412" t="str">
            <v/>
          </cell>
          <cell r="F412" t="str">
            <v/>
          </cell>
          <cell r="G412" t="str">
            <v/>
          </cell>
          <cell r="H412" t="str">
            <v/>
          </cell>
          <cell r="AR412" t="str">
            <v/>
          </cell>
          <cell r="AS412" t="str">
            <v/>
          </cell>
          <cell r="AU412" t="str">
            <v/>
          </cell>
          <cell r="AV412" t="str">
            <v/>
          </cell>
          <cell r="AW412" t="str">
            <v/>
          </cell>
          <cell r="BA412" t="str">
            <v/>
          </cell>
        </row>
        <row r="413">
          <cell r="A413">
            <v>410</v>
          </cell>
          <cell r="C413" t="str">
            <v>December</v>
          </cell>
          <cell r="D413" t="str">
            <v/>
          </cell>
          <cell r="E413" t="str">
            <v/>
          </cell>
          <cell r="F413" t="str">
            <v/>
          </cell>
          <cell r="G413" t="str">
            <v/>
          </cell>
          <cell r="H413" t="str">
            <v/>
          </cell>
          <cell r="AR413" t="str">
            <v/>
          </cell>
          <cell r="AS413" t="str">
            <v/>
          </cell>
          <cell r="AU413" t="str">
            <v/>
          </cell>
          <cell r="AV413" t="str">
            <v/>
          </cell>
          <cell r="AW413" t="str">
            <v/>
          </cell>
          <cell r="BA413" t="str">
            <v/>
          </cell>
        </row>
        <row r="414">
          <cell r="A414">
            <v>411</v>
          </cell>
          <cell r="C414" t="str">
            <v>December</v>
          </cell>
          <cell r="D414" t="str">
            <v/>
          </cell>
          <cell r="E414" t="str">
            <v/>
          </cell>
          <cell r="F414" t="str">
            <v/>
          </cell>
          <cell r="G414" t="str">
            <v/>
          </cell>
          <cell r="H414" t="str">
            <v/>
          </cell>
          <cell r="AR414" t="str">
            <v/>
          </cell>
          <cell r="AS414" t="str">
            <v/>
          </cell>
          <cell r="AU414" t="str">
            <v/>
          </cell>
          <cell r="AV414" t="str">
            <v/>
          </cell>
          <cell r="AW414" t="str">
            <v/>
          </cell>
          <cell r="BA414" t="str">
            <v/>
          </cell>
        </row>
        <row r="415">
          <cell r="A415">
            <v>412</v>
          </cell>
          <cell r="C415" t="str">
            <v>December</v>
          </cell>
          <cell r="D415" t="str">
            <v/>
          </cell>
          <cell r="E415" t="str">
            <v/>
          </cell>
          <cell r="F415" t="str">
            <v/>
          </cell>
          <cell r="G415" t="str">
            <v/>
          </cell>
          <cell r="H415" t="str">
            <v/>
          </cell>
          <cell r="AR415" t="str">
            <v/>
          </cell>
          <cell r="AS415" t="str">
            <v/>
          </cell>
          <cell r="AU415" t="str">
            <v/>
          </cell>
          <cell r="AV415" t="str">
            <v/>
          </cell>
          <cell r="AW415" t="str">
            <v/>
          </cell>
          <cell r="BA415" t="str">
            <v/>
          </cell>
        </row>
        <row r="416">
          <cell r="A416">
            <v>413</v>
          </cell>
          <cell r="C416" t="str">
            <v>December</v>
          </cell>
          <cell r="D416" t="str">
            <v/>
          </cell>
          <cell r="E416" t="str">
            <v/>
          </cell>
          <cell r="F416" t="str">
            <v/>
          </cell>
          <cell r="G416" t="str">
            <v/>
          </cell>
          <cell r="H416" t="str">
            <v/>
          </cell>
          <cell r="AR416" t="str">
            <v/>
          </cell>
          <cell r="AS416" t="str">
            <v/>
          </cell>
          <cell r="AU416" t="str">
            <v/>
          </cell>
          <cell r="AV416" t="str">
            <v/>
          </cell>
          <cell r="AW416" t="str">
            <v/>
          </cell>
          <cell r="BA416" t="str">
            <v/>
          </cell>
        </row>
        <row r="417">
          <cell r="A417">
            <v>414</v>
          </cell>
          <cell r="C417" t="str">
            <v>December</v>
          </cell>
          <cell r="D417" t="str">
            <v/>
          </cell>
          <cell r="E417" t="str">
            <v/>
          </cell>
          <cell r="F417" t="str">
            <v/>
          </cell>
          <cell r="G417" t="str">
            <v/>
          </cell>
          <cell r="H417" t="str">
            <v/>
          </cell>
          <cell r="AR417" t="str">
            <v/>
          </cell>
          <cell r="AS417" t="str">
            <v/>
          </cell>
          <cell r="AU417" t="str">
            <v/>
          </cell>
          <cell r="AV417" t="str">
            <v/>
          </cell>
          <cell r="AW417" t="str">
            <v/>
          </cell>
          <cell r="BA417" t="str">
            <v/>
          </cell>
        </row>
        <row r="418">
          <cell r="A418">
            <v>415</v>
          </cell>
          <cell r="C418" t="str">
            <v>December</v>
          </cell>
          <cell r="D418" t="str">
            <v/>
          </cell>
          <cell r="E418" t="str">
            <v/>
          </cell>
          <cell r="F418" t="str">
            <v/>
          </cell>
          <cell r="G418" t="str">
            <v/>
          </cell>
          <cell r="H418" t="str">
            <v/>
          </cell>
          <cell r="AR418" t="str">
            <v/>
          </cell>
          <cell r="AS418" t="str">
            <v/>
          </cell>
          <cell r="AU418" t="str">
            <v/>
          </cell>
          <cell r="AV418" t="str">
            <v/>
          </cell>
          <cell r="AW418" t="str">
            <v/>
          </cell>
          <cell r="BA418" t="str">
            <v/>
          </cell>
        </row>
        <row r="419">
          <cell r="A419">
            <v>416</v>
          </cell>
          <cell r="C419" t="str">
            <v>December</v>
          </cell>
          <cell r="D419" t="str">
            <v/>
          </cell>
          <cell r="E419" t="str">
            <v/>
          </cell>
          <cell r="F419" t="str">
            <v/>
          </cell>
          <cell r="G419" t="str">
            <v/>
          </cell>
          <cell r="H419" t="str">
            <v/>
          </cell>
          <cell r="AR419" t="str">
            <v/>
          </cell>
          <cell r="AS419" t="str">
            <v/>
          </cell>
          <cell r="AU419" t="str">
            <v/>
          </cell>
          <cell r="AV419" t="str">
            <v/>
          </cell>
          <cell r="AW419" t="str">
            <v/>
          </cell>
          <cell r="BA419" t="str">
            <v/>
          </cell>
        </row>
        <row r="420">
          <cell r="A420">
            <v>417</v>
          </cell>
          <cell r="C420" t="str">
            <v>December</v>
          </cell>
          <cell r="D420" t="str">
            <v/>
          </cell>
          <cell r="E420" t="str">
            <v/>
          </cell>
          <cell r="F420" t="str">
            <v/>
          </cell>
          <cell r="G420" t="str">
            <v/>
          </cell>
          <cell r="H420" t="str">
            <v/>
          </cell>
          <cell r="AR420" t="str">
            <v/>
          </cell>
          <cell r="AS420" t="str">
            <v/>
          </cell>
          <cell r="AU420" t="str">
            <v/>
          </cell>
          <cell r="AV420" t="str">
            <v/>
          </cell>
          <cell r="AW420" t="str">
            <v/>
          </cell>
          <cell r="BA420" t="str">
            <v/>
          </cell>
        </row>
        <row r="421">
          <cell r="A421">
            <v>418</v>
          </cell>
          <cell r="C421" t="str">
            <v>December</v>
          </cell>
          <cell r="D421" t="str">
            <v/>
          </cell>
          <cell r="E421" t="str">
            <v/>
          </cell>
          <cell r="F421" t="str">
            <v/>
          </cell>
          <cell r="G421" t="str">
            <v/>
          </cell>
          <cell r="H421" t="str">
            <v/>
          </cell>
          <cell r="AR421" t="str">
            <v/>
          </cell>
          <cell r="AS421" t="str">
            <v/>
          </cell>
          <cell r="AU421" t="str">
            <v/>
          </cell>
          <cell r="AV421" t="str">
            <v/>
          </cell>
          <cell r="AW421" t="str">
            <v/>
          </cell>
          <cell r="BA421" t="str">
            <v/>
          </cell>
        </row>
        <row r="422">
          <cell r="A422">
            <v>419</v>
          </cell>
          <cell r="C422" t="str">
            <v>December</v>
          </cell>
          <cell r="D422" t="str">
            <v/>
          </cell>
          <cell r="E422" t="str">
            <v/>
          </cell>
          <cell r="F422" t="str">
            <v/>
          </cell>
          <cell r="G422" t="str">
            <v/>
          </cell>
          <cell r="H422" t="str">
            <v/>
          </cell>
          <cell r="AR422" t="str">
            <v/>
          </cell>
          <cell r="AS422" t="str">
            <v/>
          </cell>
          <cell r="AU422" t="str">
            <v/>
          </cell>
          <cell r="AV422" t="str">
            <v/>
          </cell>
          <cell r="AW422" t="str">
            <v/>
          </cell>
          <cell r="BA422" t="str">
            <v/>
          </cell>
        </row>
        <row r="423">
          <cell r="A423">
            <v>420</v>
          </cell>
          <cell r="C423" t="str">
            <v>December</v>
          </cell>
          <cell r="D423" t="str">
            <v/>
          </cell>
          <cell r="E423" t="str">
            <v/>
          </cell>
          <cell r="F423" t="str">
            <v/>
          </cell>
          <cell r="G423" t="str">
            <v/>
          </cell>
          <cell r="H423" t="str">
            <v/>
          </cell>
          <cell r="AR423" t="str">
            <v/>
          </cell>
          <cell r="AS423" t="str">
            <v/>
          </cell>
          <cell r="AU423" t="str">
            <v/>
          </cell>
          <cell r="AV423" t="str">
            <v/>
          </cell>
          <cell r="AW423" t="str">
            <v/>
          </cell>
          <cell r="BA423" t="str">
            <v/>
          </cell>
        </row>
        <row r="424">
          <cell r="A424">
            <v>421</v>
          </cell>
          <cell r="C424" t="str">
            <v>January</v>
          </cell>
          <cell r="D424" t="str">
            <v>122625140006</v>
          </cell>
          <cell r="E424" t="str">
            <v>ACAYAN, ELIJAH DITALO</v>
          </cell>
          <cell r="F424" t="str">
            <v>Male</v>
          </cell>
          <cell r="G424">
            <v>1</v>
          </cell>
          <cell r="H424">
            <v>1</v>
          </cell>
          <cell r="AR424">
            <v>0</v>
          </cell>
          <cell r="AS424">
            <v>20</v>
          </cell>
          <cell r="AU424">
            <v>0</v>
          </cell>
          <cell r="AV424">
            <v>46391</v>
          </cell>
          <cell r="AW424">
            <v>46416</v>
          </cell>
          <cell r="BA424">
            <v>1</v>
          </cell>
        </row>
        <row r="425">
          <cell r="A425">
            <v>422</v>
          </cell>
          <cell r="C425" t="str">
            <v>January</v>
          </cell>
          <cell r="D425" t="str">
            <v>419658160041</v>
          </cell>
          <cell r="E425" t="str">
            <v>ARCILLA, KYLE XANDRE MATUS</v>
          </cell>
          <cell r="F425" t="str">
            <v>Male</v>
          </cell>
          <cell r="G425">
            <v>1</v>
          </cell>
          <cell r="H425">
            <v>1</v>
          </cell>
          <cell r="AR425">
            <v>0</v>
          </cell>
          <cell r="AS425">
            <v>20</v>
          </cell>
          <cell r="AU425">
            <v>0</v>
          </cell>
          <cell r="AV425">
            <v>46391</v>
          </cell>
          <cell r="AW425">
            <v>46416</v>
          </cell>
          <cell r="BA425">
            <v>2</v>
          </cell>
        </row>
        <row r="426">
          <cell r="A426">
            <v>423</v>
          </cell>
          <cell r="C426" t="str">
            <v>January</v>
          </cell>
          <cell r="D426" t="str">
            <v>104015140057</v>
          </cell>
          <cell r="E426" t="str">
            <v>CAPAYAN, DENVER CORPUZ</v>
          </cell>
          <cell r="F426" t="str">
            <v>Male</v>
          </cell>
          <cell r="G426">
            <v>1</v>
          </cell>
          <cell r="H426">
            <v>1</v>
          </cell>
          <cell r="AR426">
            <v>0</v>
          </cell>
          <cell r="AS426">
            <v>20</v>
          </cell>
          <cell r="AU426">
            <v>0</v>
          </cell>
          <cell r="AV426">
            <v>46391</v>
          </cell>
          <cell r="AW426">
            <v>46416</v>
          </cell>
          <cell r="BA426">
            <v>3</v>
          </cell>
        </row>
        <row r="427">
          <cell r="A427">
            <v>424</v>
          </cell>
          <cell r="C427" t="str">
            <v>January</v>
          </cell>
          <cell r="D427" t="str">
            <v>107023140026</v>
          </cell>
          <cell r="E427" t="str">
            <v>DOMINGO, FRYNNS LIAM ATIENZA</v>
          </cell>
          <cell r="F427" t="str">
            <v>Male</v>
          </cell>
          <cell r="G427">
            <v>1</v>
          </cell>
          <cell r="H427">
            <v>1</v>
          </cell>
          <cell r="AR427">
            <v>0</v>
          </cell>
          <cell r="AS427">
            <v>20</v>
          </cell>
          <cell r="AU427">
            <v>0</v>
          </cell>
          <cell r="AV427">
            <v>46391</v>
          </cell>
          <cell r="AW427">
            <v>46416</v>
          </cell>
          <cell r="BA427">
            <v>4</v>
          </cell>
        </row>
        <row r="428">
          <cell r="A428">
            <v>425</v>
          </cell>
          <cell r="C428" t="str">
            <v>January</v>
          </cell>
          <cell r="D428" t="str">
            <v>110347140023</v>
          </cell>
          <cell r="E428" t="str">
            <v>DUMADALUG, JAMES DIZON</v>
          </cell>
          <cell r="F428" t="str">
            <v>Male</v>
          </cell>
          <cell r="G428">
            <v>1</v>
          </cell>
          <cell r="H428">
            <v>1</v>
          </cell>
          <cell r="AR428">
            <v>0</v>
          </cell>
          <cell r="AS428">
            <v>20</v>
          </cell>
          <cell r="AU428">
            <v>0</v>
          </cell>
          <cell r="AV428">
            <v>46391</v>
          </cell>
          <cell r="AW428">
            <v>46416</v>
          </cell>
          <cell r="BA428">
            <v>5</v>
          </cell>
        </row>
        <row r="429">
          <cell r="A429">
            <v>426</v>
          </cell>
          <cell r="C429" t="str">
            <v>January</v>
          </cell>
          <cell r="D429" t="str">
            <v>107031140010</v>
          </cell>
          <cell r="E429" t="str">
            <v>GARCIA, KIRK NATHAN BOLSICO</v>
          </cell>
          <cell r="F429" t="str">
            <v>Male</v>
          </cell>
          <cell r="G429">
            <v>1</v>
          </cell>
          <cell r="H429">
            <v>1</v>
          </cell>
          <cell r="AR429">
            <v>0</v>
          </cell>
          <cell r="AS429">
            <v>20</v>
          </cell>
          <cell r="AU429">
            <v>0</v>
          </cell>
          <cell r="AV429">
            <v>46391</v>
          </cell>
          <cell r="AW429">
            <v>46416</v>
          </cell>
          <cell r="BA429">
            <v>6</v>
          </cell>
        </row>
        <row r="430">
          <cell r="A430">
            <v>427</v>
          </cell>
          <cell r="C430" t="str">
            <v>January</v>
          </cell>
          <cell r="D430" t="str">
            <v>107061140477</v>
          </cell>
          <cell r="E430" t="str">
            <v>GUEVARRA, SEAD SYRON CORPUZ</v>
          </cell>
          <cell r="F430" t="str">
            <v>Male</v>
          </cell>
          <cell r="G430">
            <v>1</v>
          </cell>
          <cell r="H430">
            <v>1</v>
          </cell>
          <cell r="AR430">
            <v>0</v>
          </cell>
          <cell r="AS430">
            <v>20</v>
          </cell>
          <cell r="AU430">
            <v>0</v>
          </cell>
          <cell r="AV430">
            <v>46391</v>
          </cell>
          <cell r="AW430">
            <v>46416</v>
          </cell>
          <cell r="BA430">
            <v>7</v>
          </cell>
        </row>
        <row r="431">
          <cell r="A431">
            <v>428</v>
          </cell>
          <cell r="C431" t="str">
            <v>January</v>
          </cell>
          <cell r="D431" t="str">
            <v>133624150052</v>
          </cell>
          <cell r="E431" t="str">
            <v>MACAPANTON, ALIMAN SULTAN</v>
          </cell>
          <cell r="F431" t="str">
            <v>Male</v>
          </cell>
          <cell r="G431">
            <v>1</v>
          </cell>
          <cell r="H431">
            <v>1</v>
          </cell>
          <cell r="AR431">
            <v>0</v>
          </cell>
          <cell r="AS431">
            <v>20</v>
          </cell>
          <cell r="AU431">
            <v>0</v>
          </cell>
          <cell r="AV431">
            <v>46391</v>
          </cell>
          <cell r="AW431">
            <v>46416</v>
          </cell>
          <cell r="BA431">
            <v>8</v>
          </cell>
        </row>
        <row r="432">
          <cell r="A432">
            <v>429</v>
          </cell>
          <cell r="C432" t="str">
            <v>January</v>
          </cell>
          <cell r="D432" t="str">
            <v>107027140164</v>
          </cell>
          <cell r="E432" t="str">
            <v>MEJIA, FRANCIS KHIAN LLARENA</v>
          </cell>
          <cell r="F432" t="str">
            <v>Male</v>
          </cell>
          <cell r="G432">
            <v>1</v>
          </cell>
          <cell r="H432">
            <v>1</v>
          </cell>
          <cell r="AR432">
            <v>0</v>
          </cell>
          <cell r="AS432">
            <v>20</v>
          </cell>
          <cell r="AU432">
            <v>0</v>
          </cell>
          <cell r="AV432">
            <v>46391</v>
          </cell>
          <cell r="AW432">
            <v>46416</v>
          </cell>
          <cell r="BA432">
            <v>9</v>
          </cell>
        </row>
        <row r="433">
          <cell r="A433">
            <v>430</v>
          </cell>
          <cell r="C433" t="str">
            <v>January</v>
          </cell>
          <cell r="D433" t="str">
            <v>107185140032</v>
          </cell>
          <cell r="E433" t="str">
            <v>NERI, GABRIEL BRIONES</v>
          </cell>
          <cell r="F433" t="str">
            <v>Male</v>
          </cell>
          <cell r="G433">
            <v>1</v>
          </cell>
          <cell r="H433">
            <v>1</v>
          </cell>
          <cell r="AR433">
            <v>0</v>
          </cell>
          <cell r="AS433">
            <v>20</v>
          </cell>
          <cell r="AU433">
            <v>0</v>
          </cell>
          <cell r="AV433">
            <v>46391</v>
          </cell>
          <cell r="AW433">
            <v>46416</v>
          </cell>
          <cell r="BA433">
            <v>10</v>
          </cell>
        </row>
        <row r="434">
          <cell r="A434">
            <v>431</v>
          </cell>
          <cell r="C434" t="str">
            <v>January</v>
          </cell>
          <cell r="D434" t="str">
            <v>107057130479</v>
          </cell>
          <cell r="E434" t="str">
            <v>PAYABYAB, SHELTER RAIN ALEJANDRO</v>
          </cell>
          <cell r="F434" t="str">
            <v>Male</v>
          </cell>
          <cell r="G434">
            <v>1</v>
          </cell>
          <cell r="H434">
            <v>1</v>
          </cell>
          <cell r="AR434">
            <v>0</v>
          </cell>
          <cell r="AS434">
            <v>20</v>
          </cell>
          <cell r="AU434">
            <v>0</v>
          </cell>
          <cell r="AV434">
            <v>46391</v>
          </cell>
          <cell r="AW434">
            <v>46416</v>
          </cell>
          <cell r="BA434">
            <v>11</v>
          </cell>
        </row>
        <row r="435">
          <cell r="A435">
            <v>432</v>
          </cell>
          <cell r="C435" t="str">
            <v>January</v>
          </cell>
          <cell r="D435" t="str">
            <v>113420140126</v>
          </cell>
          <cell r="E435" t="str">
            <v>RAMIREZ, RENCES DWANE RAMONES</v>
          </cell>
          <cell r="F435" t="str">
            <v>Male</v>
          </cell>
          <cell r="G435">
            <v>1</v>
          </cell>
          <cell r="H435">
            <v>1</v>
          </cell>
          <cell r="AR435">
            <v>0</v>
          </cell>
          <cell r="AS435">
            <v>20</v>
          </cell>
          <cell r="AU435">
            <v>0</v>
          </cell>
          <cell r="AV435">
            <v>46391</v>
          </cell>
          <cell r="AW435">
            <v>46416</v>
          </cell>
          <cell r="BA435">
            <v>12</v>
          </cell>
        </row>
        <row r="436">
          <cell r="A436">
            <v>433</v>
          </cell>
          <cell r="C436" t="str">
            <v>January</v>
          </cell>
          <cell r="D436" t="str">
            <v>107048150273</v>
          </cell>
          <cell r="E436" t="str">
            <v>SUGAY, ASHTON GUTIERREZ</v>
          </cell>
          <cell r="F436" t="str">
            <v>Male</v>
          </cell>
          <cell r="G436">
            <v>1</v>
          </cell>
          <cell r="H436">
            <v>1</v>
          </cell>
          <cell r="AR436">
            <v>0</v>
          </cell>
          <cell r="AS436">
            <v>20</v>
          </cell>
          <cell r="AU436">
            <v>0</v>
          </cell>
          <cell r="AV436">
            <v>46391</v>
          </cell>
          <cell r="AW436">
            <v>46416</v>
          </cell>
          <cell r="BA436">
            <v>13</v>
          </cell>
        </row>
        <row r="437">
          <cell r="A437">
            <v>434</v>
          </cell>
          <cell r="C437" t="str">
            <v>January</v>
          </cell>
          <cell r="D437">
            <v>107032140054</v>
          </cell>
          <cell r="E437" t="str">
            <v>SANTIAGO, JARED ALBERTH BARREDA</v>
          </cell>
          <cell r="F437" t="str">
            <v>Male</v>
          </cell>
          <cell r="G437">
            <v>1</v>
          </cell>
          <cell r="H437">
            <v>1</v>
          </cell>
          <cell r="AR437">
            <v>0</v>
          </cell>
          <cell r="AS437">
            <v>20</v>
          </cell>
          <cell r="AU437">
            <v>0</v>
          </cell>
          <cell r="AV437">
            <v>46391</v>
          </cell>
          <cell r="AW437">
            <v>46416</v>
          </cell>
          <cell r="BA437">
            <v>14</v>
          </cell>
        </row>
        <row r="438">
          <cell r="A438">
            <v>435</v>
          </cell>
          <cell r="C438" t="str">
            <v>January</v>
          </cell>
          <cell r="D438" t="str">
            <v>122379140033</v>
          </cell>
          <cell r="E438" t="str">
            <v>ACAYAN, HANNAH NICOLE COSTUNA</v>
          </cell>
          <cell r="F438" t="str">
            <v>Female</v>
          </cell>
          <cell r="G438">
            <v>1</v>
          </cell>
          <cell r="H438">
            <v>1</v>
          </cell>
          <cell r="AR438">
            <v>0</v>
          </cell>
          <cell r="AS438">
            <v>20</v>
          </cell>
          <cell r="AU438">
            <v>0</v>
          </cell>
          <cell r="AV438">
            <v>46391</v>
          </cell>
          <cell r="AW438">
            <v>46416</v>
          </cell>
          <cell r="BA438">
            <v>1</v>
          </cell>
        </row>
        <row r="439">
          <cell r="A439">
            <v>436</v>
          </cell>
          <cell r="C439" t="str">
            <v>January</v>
          </cell>
          <cell r="D439" t="str">
            <v>107041140509</v>
          </cell>
          <cell r="E439" t="str">
            <v>AREÑEZ, FRANCHESKA OCAMPO</v>
          </cell>
          <cell r="F439" t="str">
            <v>Female</v>
          </cell>
          <cell r="G439">
            <v>1</v>
          </cell>
          <cell r="H439">
            <v>1</v>
          </cell>
          <cell r="AR439">
            <v>0</v>
          </cell>
          <cell r="AS439">
            <v>20</v>
          </cell>
          <cell r="AU439">
            <v>0</v>
          </cell>
          <cell r="AV439">
            <v>46391</v>
          </cell>
          <cell r="AW439">
            <v>46416</v>
          </cell>
          <cell r="BA439">
            <v>2</v>
          </cell>
        </row>
        <row r="440">
          <cell r="A440">
            <v>437</v>
          </cell>
          <cell r="C440" t="str">
            <v>January</v>
          </cell>
          <cell r="D440" t="str">
            <v>159547140065</v>
          </cell>
          <cell r="E440" t="str">
            <v>BALUCANAG, CHLOE LIAN GALINO</v>
          </cell>
          <cell r="F440" t="str">
            <v>Female</v>
          </cell>
          <cell r="G440">
            <v>1</v>
          </cell>
          <cell r="H440">
            <v>1</v>
          </cell>
          <cell r="AR440">
            <v>0</v>
          </cell>
          <cell r="AS440">
            <v>20</v>
          </cell>
          <cell r="AU440">
            <v>0</v>
          </cell>
          <cell r="AV440">
            <v>46391</v>
          </cell>
          <cell r="AW440">
            <v>46416</v>
          </cell>
          <cell r="BA440">
            <v>3</v>
          </cell>
        </row>
        <row r="441">
          <cell r="A441">
            <v>438</v>
          </cell>
          <cell r="C441" t="str">
            <v>January</v>
          </cell>
          <cell r="D441" t="str">
            <v>107022140163</v>
          </cell>
          <cell r="E441" t="str">
            <v>BIE, JOHN RAIN MAGTOTO</v>
          </cell>
          <cell r="F441" t="str">
            <v>Female</v>
          </cell>
          <cell r="G441">
            <v>1</v>
          </cell>
          <cell r="H441">
            <v>1</v>
          </cell>
          <cell r="AR441">
            <v>0</v>
          </cell>
          <cell r="AS441">
            <v>20</v>
          </cell>
          <cell r="AU441">
            <v>0</v>
          </cell>
          <cell r="AV441">
            <v>46391</v>
          </cell>
          <cell r="AW441">
            <v>46416</v>
          </cell>
          <cell r="BA441">
            <v>4</v>
          </cell>
        </row>
        <row r="442">
          <cell r="A442">
            <v>439</v>
          </cell>
          <cell r="C442" t="str">
            <v>January</v>
          </cell>
          <cell r="D442" t="str">
            <v>105935140024</v>
          </cell>
          <cell r="E442" t="str">
            <v>DAVID, ASHLEY LAPUZ</v>
          </cell>
          <cell r="F442" t="str">
            <v>Female</v>
          </cell>
          <cell r="G442">
            <v>1</v>
          </cell>
          <cell r="H442">
            <v>1</v>
          </cell>
          <cell r="AR442">
            <v>0</v>
          </cell>
          <cell r="AS442">
            <v>20</v>
          </cell>
          <cell r="AU442">
            <v>0</v>
          </cell>
          <cell r="AV442">
            <v>46391</v>
          </cell>
          <cell r="AW442">
            <v>46416</v>
          </cell>
          <cell r="BA442">
            <v>5</v>
          </cell>
        </row>
        <row r="443">
          <cell r="A443">
            <v>440</v>
          </cell>
          <cell r="C443" t="str">
            <v>January</v>
          </cell>
          <cell r="D443" t="str">
            <v>106066150025</v>
          </cell>
          <cell r="E443" t="str">
            <v>FLORES, THEA MARIE LUMUYA</v>
          </cell>
          <cell r="F443" t="str">
            <v>Female</v>
          </cell>
          <cell r="G443">
            <v>1</v>
          </cell>
          <cell r="H443">
            <v>1</v>
          </cell>
          <cell r="AR443">
            <v>0</v>
          </cell>
          <cell r="AS443">
            <v>20</v>
          </cell>
          <cell r="AU443">
            <v>0</v>
          </cell>
          <cell r="AV443">
            <v>46391</v>
          </cell>
          <cell r="AW443">
            <v>46416</v>
          </cell>
          <cell r="BA443">
            <v>6</v>
          </cell>
        </row>
        <row r="444">
          <cell r="A444">
            <v>441</v>
          </cell>
          <cell r="C444" t="str">
            <v>January</v>
          </cell>
          <cell r="D444" t="str">
            <v>107032140061</v>
          </cell>
          <cell r="E444" t="str">
            <v>INGAL, SHAINA KYLE PINEDA</v>
          </cell>
          <cell r="F444" t="str">
            <v>Female</v>
          </cell>
          <cell r="G444">
            <v>1</v>
          </cell>
          <cell r="H444">
            <v>1</v>
          </cell>
          <cell r="AR444">
            <v>0</v>
          </cell>
          <cell r="AS444">
            <v>20</v>
          </cell>
          <cell r="AU444">
            <v>0</v>
          </cell>
          <cell r="AV444">
            <v>46391</v>
          </cell>
          <cell r="AW444">
            <v>46416</v>
          </cell>
          <cell r="BA444">
            <v>7</v>
          </cell>
        </row>
        <row r="445">
          <cell r="A445">
            <v>442</v>
          </cell>
          <cell r="C445" t="str">
            <v>January</v>
          </cell>
          <cell r="D445">
            <v>106072140070</v>
          </cell>
          <cell r="E445" t="str">
            <v>MACAPODI, AINA MANGUNTAWAR</v>
          </cell>
          <cell r="F445" t="str">
            <v>Female</v>
          </cell>
          <cell r="G445">
            <v>1</v>
          </cell>
          <cell r="H445">
            <v>1</v>
          </cell>
          <cell r="AR445">
            <v>0</v>
          </cell>
          <cell r="AS445">
            <v>20</v>
          </cell>
          <cell r="AU445">
            <v>0</v>
          </cell>
          <cell r="AV445">
            <v>46391</v>
          </cell>
          <cell r="AW445">
            <v>46416</v>
          </cell>
          <cell r="BA445">
            <v>8</v>
          </cell>
        </row>
        <row r="446">
          <cell r="A446">
            <v>443</v>
          </cell>
          <cell r="C446" t="str">
            <v>January</v>
          </cell>
          <cell r="D446" t="str">
            <v>136634150917</v>
          </cell>
          <cell r="E446" t="str">
            <v>MIPAMPANG, RASHEDA BASCARA</v>
          </cell>
          <cell r="F446" t="str">
            <v>Female</v>
          </cell>
          <cell r="G446">
            <v>1</v>
          </cell>
          <cell r="H446">
            <v>1</v>
          </cell>
          <cell r="AR446">
            <v>0</v>
          </cell>
          <cell r="AS446">
            <v>20</v>
          </cell>
          <cell r="AU446">
            <v>0</v>
          </cell>
          <cell r="AV446">
            <v>46391</v>
          </cell>
          <cell r="AW446">
            <v>46416</v>
          </cell>
          <cell r="BA446">
            <v>9</v>
          </cell>
        </row>
        <row r="447">
          <cell r="A447">
            <v>444</v>
          </cell>
          <cell r="C447" t="str">
            <v>January</v>
          </cell>
          <cell r="D447" t="str">
            <v>107028140103</v>
          </cell>
          <cell r="E447" t="str">
            <v>TAYSON, DANIELLE MAE PANES</v>
          </cell>
          <cell r="F447" t="str">
            <v>Female</v>
          </cell>
          <cell r="G447">
            <v>1</v>
          </cell>
          <cell r="H447">
            <v>1</v>
          </cell>
          <cell r="AR447">
            <v>0</v>
          </cell>
          <cell r="AS447">
            <v>20</v>
          </cell>
          <cell r="AU447">
            <v>0</v>
          </cell>
          <cell r="AV447">
            <v>46391</v>
          </cell>
          <cell r="AW447">
            <v>46416</v>
          </cell>
          <cell r="BA447">
            <v>10</v>
          </cell>
        </row>
        <row r="448">
          <cell r="A448">
            <v>445</v>
          </cell>
          <cell r="C448" t="str">
            <v>January</v>
          </cell>
          <cell r="D448">
            <v>105205140016</v>
          </cell>
          <cell r="E448" t="str">
            <v>FAJARDO, PRINCE DANIEL RODAJE</v>
          </cell>
          <cell r="F448" t="str">
            <v>Female</v>
          </cell>
          <cell r="G448">
            <v>1</v>
          </cell>
          <cell r="H448">
            <v>1</v>
          </cell>
          <cell r="AR448">
            <v>0</v>
          </cell>
          <cell r="AS448">
            <v>20</v>
          </cell>
          <cell r="AU448">
            <v>0</v>
          </cell>
          <cell r="AV448">
            <v>46391</v>
          </cell>
          <cell r="AW448">
            <v>46416</v>
          </cell>
          <cell r="BA448">
            <v>11</v>
          </cell>
        </row>
        <row r="449">
          <cell r="A449">
            <v>446</v>
          </cell>
          <cell r="C449" t="str">
            <v>January</v>
          </cell>
          <cell r="D449" t="str">
            <v/>
          </cell>
          <cell r="E449" t="str">
            <v/>
          </cell>
          <cell r="F449" t="str">
            <v/>
          </cell>
          <cell r="G449" t="str">
            <v/>
          </cell>
          <cell r="H449" t="str">
            <v/>
          </cell>
          <cell r="AR449" t="str">
            <v/>
          </cell>
          <cell r="AS449" t="str">
            <v/>
          </cell>
          <cell r="AU449" t="str">
            <v/>
          </cell>
          <cell r="AV449" t="str">
            <v/>
          </cell>
          <cell r="AW449" t="str">
            <v/>
          </cell>
          <cell r="BA449" t="str">
            <v/>
          </cell>
        </row>
        <row r="450">
          <cell r="A450">
            <v>447</v>
          </cell>
          <cell r="C450" t="str">
            <v>January</v>
          </cell>
          <cell r="D450" t="str">
            <v/>
          </cell>
          <cell r="E450" t="str">
            <v/>
          </cell>
          <cell r="F450" t="str">
            <v/>
          </cell>
          <cell r="G450" t="str">
            <v/>
          </cell>
          <cell r="H450" t="str">
            <v/>
          </cell>
          <cell r="AR450" t="str">
            <v/>
          </cell>
          <cell r="AS450" t="str">
            <v/>
          </cell>
          <cell r="AU450" t="str">
            <v/>
          </cell>
          <cell r="AV450" t="str">
            <v/>
          </cell>
          <cell r="AW450" t="str">
            <v/>
          </cell>
          <cell r="BA450" t="str">
            <v/>
          </cell>
        </row>
        <row r="451">
          <cell r="A451">
            <v>448</v>
          </cell>
          <cell r="C451" t="str">
            <v>January</v>
          </cell>
          <cell r="D451" t="str">
            <v/>
          </cell>
          <cell r="E451" t="str">
            <v/>
          </cell>
          <cell r="F451" t="str">
            <v/>
          </cell>
          <cell r="G451" t="str">
            <v/>
          </cell>
          <cell r="H451" t="str">
            <v/>
          </cell>
          <cell r="AR451" t="str">
            <v/>
          </cell>
          <cell r="AS451" t="str">
            <v/>
          </cell>
          <cell r="AU451" t="str">
            <v/>
          </cell>
          <cell r="AV451" t="str">
            <v/>
          </cell>
          <cell r="AW451" t="str">
            <v/>
          </cell>
          <cell r="BA451" t="str">
            <v/>
          </cell>
        </row>
        <row r="452">
          <cell r="A452">
            <v>449</v>
          </cell>
          <cell r="C452" t="str">
            <v>January</v>
          </cell>
          <cell r="D452" t="str">
            <v/>
          </cell>
          <cell r="E452" t="str">
            <v/>
          </cell>
          <cell r="F452" t="str">
            <v/>
          </cell>
          <cell r="G452" t="str">
            <v/>
          </cell>
          <cell r="H452" t="str">
            <v/>
          </cell>
          <cell r="AR452" t="str">
            <v/>
          </cell>
          <cell r="AS452" t="str">
            <v/>
          </cell>
          <cell r="AU452" t="str">
            <v/>
          </cell>
          <cell r="AV452" t="str">
            <v/>
          </cell>
          <cell r="AW452" t="str">
            <v/>
          </cell>
          <cell r="BA452" t="str">
            <v/>
          </cell>
        </row>
        <row r="453">
          <cell r="A453">
            <v>450</v>
          </cell>
          <cell r="C453" t="str">
            <v>January</v>
          </cell>
          <cell r="D453" t="str">
            <v/>
          </cell>
          <cell r="E453" t="str">
            <v/>
          </cell>
          <cell r="F453" t="str">
            <v/>
          </cell>
          <cell r="G453" t="str">
            <v/>
          </cell>
          <cell r="H453" t="str">
            <v/>
          </cell>
          <cell r="AR453" t="str">
            <v/>
          </cell>
          <cell r="AS453" t="str">
            <v/>
          </cell>
          <cell r="AU453" t="str">
            <v/>
          </cell>
          <cell r="AV453" t="str">
            <v/>
          </cell>
          <cell r="AW453" t="str">
            <v/>
          </cell>
          <cell r="BA453" t="str">
            <v/>
          </cell>
        </row>
        <row r="454">
          <cell r="A454">
            <v>451</v>
          </cell>
          <cell r="C454" t="str">
            <v>January</v>
          </cell>
          <cell r="D454" t="str">
            <v/>
          </cell>
          <cell r="E454" t="str">
            <v/>
          </cell>
          <cell r="F454" t="str">
            <v/>
          </cell>
          <cell r="G454" t="str">
            <v/>
          </cell>
          <cell r="H454" t="str">
            <v/>
          </cell>
          <cell r="AR454" t="str">
            <v/>
          </cell>
          <cell r="AS454" t="str">
            <v/>
          </cell>
          <cell r="AU454" t="str">
            <v/>
          </cell>
          <cell r="AV454" t="str">
            <v/>
          </cell>
          <cell r="AW454" t="str">
            <v/>
          </cell>
          <cell r="BA454" t="str">
            <v/>
          </cell>
        </row>
        <row r="455">
          <cell r="A455">
            <v>452</v>
          </cell>
          <cell r="C455" t="str">
            <v>January</v>
          </cell>
          <cell r="D455" t="str">
            <v/>
          </cell>
          <cell r="E455" t="str">
            <v/>
          </cell>
          <cell r="F455" t="str">
            <v/>
          </cell>
          <cell r="G455" t="str">
            <v/>
          </cell>
          <cell r="H455" t="str">
            <v/>
          </cell>
          <cell r="AR455" t="str">
            <v/>
          </cell>
          <cell r="AS455" t="str">
            <v/>
          </cell>
          <cell r="AU455" t="str">
            <v/>
          </cell>
          <cell r="AV455" t="str">
            <v/>
          </cell>
          <cell r="AW455" t="str">
            <v/>
          </cell>
          <cell r="BA455" t="str">
            <v/>
          </cell>
        </row>
        <row r="456">
          <cell r="A456">
            <v>453</v>
          </cell>
          <cell r="C456" t="str">
            <v>January</v>
          </cell>
          <cell r="D456" t="str">
            <v/>
          </cell>
          <cell r="E456" t="str">
            <v/>
          </cell>
          <cell r="F456" t="str">
            <v/>
          </cell>
          <cell r="G456" t="str">
            <v/>
          </cell>
          <cell r="H456" t="str">
            <v/>
          </cell>
          <cell r="AR456" t="str">
            <v/>
          </cell>
          <cell r="AS456" t="str">
            <v/>
          </cell>
          <cell r="AU456" t="str">
            <v/>
          </cell>
          <cell r="AV456" t="str">
            <v/>
          </cell>
          <cell r="AW456" t="str">
            <v/>
          </cell>
          <cell r="BA456" t="str">
            <v/>
          </cell>
        </row>
        <row r="457">
          <cell r="A457">
            <v>454</v>
          </cell>
          <cell r="C457" t="str">
            <v>January</v>
          </cell>
          <cell r="D457" t="str">
            <v/>
          </cell>
          <cell r="E457" t="str">
            <v/>
          </cell>
          <cell r="F457" t="str">
            <v/>
          </cell>
          <cell r="G457" t="str">
            <v/>
          </cell>
          <cell r="H457" t="str">
            <v/>
          </cell>
          <cell r="AR457" t="str">
            <v/>
          </cell>
          <cell r="AS457" t="str">
            <v/>
          </cell>
          <cell r="AU457" t="str">
            <v/>
          </cell>
          <cell r="AV457" t="str">
            <v/>
          </cell>
          <cell r="AW457" t="str">
            <v/>
          </cell>
          <cell r="BA457" t="str">
            <v/>
          </cell>
        </row>
        <row r="458">
          <cell r="A458">
            <v>455</v>
          </cell>
          <cell r="C458" t="str">
            <v>January</v>
          </cell>
          <cell r="D458" t="str">
            <v/>
          </cell>
          <cell r="E458" t="str">
            <v/>
          </cell>
          <cell r="F458" t="str">
            <v/>
          </cell>
          <cell r="G458" t="str">
            <v/>
          </cell>
          <cell r="H458" t="str">
            <v/>
          </cell>
          <cell r="AR458" t="str">
            <v/>
          </cell>
          <cell r="AS458" t="str">
            <v/>
          </cell>
          <cell r="AU458" t="str">
            <v/>
          </cell>
          <cell r="AV458" t="str">
            <v/>
          </cell>
          <cell r="AW458" t="str">
            <v/>
          </cell>
          <cell r="BA458" t="str">
            <v/>
          </cell>
        </row>
        <row r="459">
          <cell r="A459">
            <v>456</v>
          </cell>
          <cell r="C459" t="str">
            <v>January</v>
          </cell>
          <cell r="D459" t="str">
            <v/>
          </cell>
          <cell r="E459" t="str">
            <v/>
          </cell>
          <cell r="F459" t="str">
            <v/>
          </cell>
          <cell r="G459" t="str">
            <v/>
          </cell>
          <cell r="H459" t="str">
            <v/>
          </cell>
          <cell r="AR459" t="str">
            <v/>
          </cell>
          <cell r="AS459" t="str">
            <v/>
          </cell>
          <cell r="AU459" t="str">
            <v/>
          </cell>
          <cell r="AV459" t="str">
            <v/>
          </cell>
          <cell r="AW459" t="str">
            <v/>
          </cell>
          <cell r="BA459" t="str">
            <v/>
          </cell>
        </row>
        <row r="460">
          <cell r="A460">
            <v>457</v>
          </cell>
          <cell r="C460" t="str">
            <v>January</v>
          </cell>
          <cell r="D460" t="str">
            <v/>
          </cell>
          <cell r="E460" t="str">
            <v/>
          </cell>
          <cell r="F460" t="str">
            <v/>
          </cell>
          <cell r="G460" t="str">
            <v/>
          </cell>
          <cell r="H460" t="str">
            <v/>
          </cell>
          <cell r="AR460" t="str">
            <v/>
          </cell>
          <cell r="AS460" t="str">
            <v/>
          </cell>
          <cell r="AU460" t="str">
            <v/>
          </cell>
          <cell r="AV460" t="str">
            <v/>
          </cell>
          <cell r="AW460" t="str">
            <v/>
          </cell>
          <cell r="BA460" t="str">
            <v/>
          </cell>
        </row>
        <row r="461">
          <cell r="A461">
            <v>458</v>
          </cell>
          <cell r="C461" t="str">
            <v>January</v>
          </cell>
          <cell r="D461" t="str">
            <v/>
          </cell>
          <cell r="E461" t="str">
            <v/>
          </cell>
          <cell r="F461" t="str">
            <v/>
          </cell>
          <cell r="G461" t="str">
            <v/>
          </cell>
          <cell r="H461" t="str">
            <v/>
          </cell>
          <cell r="AR461" t="str">
            <v/>
          </cell>
          <cell r="AS461" t="str">
            <v/>
          </cell>
          <cell r="AU461" t="str">
            <v/>
          </cell>
          <cell r="AV461" t="str">
            <v/>
          </cell>
          <cell r="AW461" t="str">
            <v/>
          </cell>
          <cell r="BA461" t="str">
            <v/>
          </cell>
        </row>
        <row r="462">
          <cell r="A462">
            <v>459</v>
          </cell>
          <cell r="C462" t="str">
            <v>January</v>
          </cell>
          <cell r="D462" t="str">
            <v/>
          </cell>
          <cell r="E462" t="str">
            <v/>
          </cell>
          <cell r="F462" t="str">
            <v/>
          </cell>
          <cell r="G462" t="str">
            <v/>
          </cell>
          <cell r="H462" t="str">
            <v/>
          </cell>
          <cell r="AR462" t="str">
            <v/>
          </cell>
          <cell r="AS462" t="str">
            <v/>
          </cell>
          <cell r="AU462" t="str">
            <v/>
          </cell>
          <cell r="AV462" t="str">
            <v/>
          </cell>
          <cell r="AW462" t="str">
            <v/>
          </cell>
          <cell r="BA462" t="str">
            <v/>
          </cell>
        </row>
        <row r="463">
          <cell r="A463">
            <v>460</v>
          </cell>
          <cell r="C463" t="str">
            <v>January</v>
          </cell>
          <cell r="D463" t="str">
            <v/>
          </cell>
          <cell r="E463" t="str">
            <v/>
          </cell>
          <cell r="F463" t="str">
            <v/>
          </cell>
          <cell r="G463" t="str">
            <v/>
          </cell>
          <cell r="H463" t="str">
            <v/>
          </cell>
          <cell r="AR463" t="str">
            <v/>
          </cell>
          <cell r="AS463" t="str">
            <v/>
          </cell>
          <cell r="AU463" t="str">
            <v/>
          </cell>
          <cell r="AV463" t="str">
            <v/>
          </cell>
          <cell r="AW463" t="str">
            <v/>
          </cell>
          <cell r="BA463" t="str">
            <v/>
          </cell>
        </row>
        <row r="464">
          <cell r="A464">
            <v>461</v>
          </cell>
          <cell r="C464" t="str">
            <v>January</v>
          </cell>
          <cell r="D464" t="str">
            <v/>
          </cell>
          <cell r="E464" t="str">
            <v/>
          </cell>
          <cell r="F464" t="str">
            <v/>
          </cell>
          <cell r="G464" t="str">
            <v/>
          </cell>
          <cell r="H464" t="str">
            <v/>
          </cell>
          <cell r="AR464" t="str">
            <v/>
          </cell>
          <cell r="AS464" t="str">
            <v/>
          </cell>
          <cell r="AU464" t="str">
            <v/>
          </cell>
          <cell r="AV464" t="str">
            <v/>
          </cell>
          <cell r="AW464" t="str">
            <v/>
          </cell>
          <cell r="BA464" t="str">
            <v/>
          </cell>
        </row>
        <row r="465">
          <cell r="A465">
            <v>462</v>
          </cell>
          <cell r="C465" t="str">
            <v>January</v>
          </cell>
          <cell r="D465" t="str">
            <v/>
          </cell>
          <cell r="E465" t="str">
            <v/>
          </cell>
          <cell r="F465" t="str">
            <v/>
          </cell>
          <cell r="G465" t="str">
            <v/>
          </cell>
          <cell r="H465" t="str">
            <v/>
          </cell>
          <cell r="AR465" t="str">
            <v/>
          </cell>
          <cell r="AS465" t="str">
            <v/>
          </cell>
          <cell r="AU465" t="str">
            <v/>
          </cell>
          <cell r="AV465" t="str">
            <v/>
          </cell>
          <cell r="AW465" t="str">
            <v/>
          </cell>
          <cell r="BA465" t="str">
            <v/>
          </cell>
        </row>
        <row r="466">
          <cell r="A466">
            <v>463</v>
          </cell>
          <cell r="C466" t="str">
            <v>January</v>
          </cell>
          <cell r="D466" t="str">
            <v/>
          </cell>
          <cell r="E466" t="str">
            <v/>
          </cell>
          <cell r="F466" t="str">
            <v/>
          </cell>
          <cell r="G466" t="str">
            <v/>
          </cell>
          <cell r="H466" t="str">
            <v/>
          </cell>
          <cell r="AR466" t="str">
            <v/>
          </cell>
          <cell r="AS466" t="str">
            <v/>
          </cell>
          <cell r="AU466" t="str">
            <v/>
          </cell>
          <cell r="AV466" t="str">
            <v/>
          </cell>
          <cell r="AW466" t="str">
            <v/>
          </cell>
          <cell r="BA466" t="str">
            <v/>
          </cell>
        </row>
        <row r="467">
          <cell r="A467">
            <v>464</v>
          </cell>
          <cell r="C467" t="str">
            <v>January</v>
          </cell>
          <cell r="D467" t="str">
            <v/>
          </cell>
          <cell r="E467" t="str">
            <v/>
          </cell>
          <cell r="F467" t="str">
            <v/>
          </cell>
          <cell r="G467" t="str">
            <v/>
          </cell>
          <cell r="H467" t="str">
            <v/>
          </cell>
          <cell r="AR467" t="str">
            <v/>
          </cell>
          <cell r="AS467" t="str">
            <v/>
          </cell>
          <cell r="AU467" t="str">
            <v/>
          </cell>
          <cell r="AV467" t="str">
            <v/>
          </cell>
          <cell r="AW467" t="str">
            <v/>
          </cell>
          <cell r="BA467" t="str">
            <v/>
          </cell>
        </row>
        <row r="468">
          <cell r="A468">
            <v>465</v>
          </cell>
          <cell r="C468" t="str">
            <v>January</v>
          </cell>
          <cell r="D468" t="str">
            <v/>
          </cell>
          <cell r="E468" t="str">
            <v/>
          </cell>
          <cell r="F468" t="str">
            <v/>
          </cell>
          <cell r="G468" t="str">
            <v/>
          </cell>
          <cell r="H468" t="str">
            <v/>
          </cell>
          <cell r="AR468" t="str">
            <v/>
          </cell>
          <cell r="AS468" t="str">
            <v/>
          </cell>
          <cell r="AU468" t="str">
            <v/>
          </cell>
          <cell r="AV468" t="str">
            <v/>
          </cell>
          <cell r="AW468" t="str">
            <v/>
          </cell>
          <cell r="BA468" t="str">
            <v/>
          </cell>
        </row>
        <row r="469">
          <cell r="A469">
            <v>466</v>
          </cell>
          <cell r="C469" t="str">
            <v>January</v>
          </cell>
          <cell r="D469" t="str">
            <v/>
          </cell>
          <cell r="E469" t="str">
            <v/>
          </cell>
          <cell r="F469" t="str">
            <v/>
          </cell>
          <cell r="G469" t="str">
            <v/>
          </cell>
          <cell r="H469" t="str">
            <v/>
          </cell>
          <cell r="AR469" t="str">
            <v/>
          </cell>
          <cell r="AS469" t="str">
            <v/>
          </cell>
          <cell r="AU469" t="str">
            <v/>
          </cell>
          <cell r="AV469" t="str">
            <v/>
          </cell>
          <cell r="AW469" t="str">
            <v/>
          </cell>
          <cell r="BA469" t="str">
            <v/>
          </cell>
        </row>
        <row r="470">
          <cell r="A470">
            <v>467</v>
          </cell>
          <cell r="C470" t="str">
            <v>January</v>
          </cell>
          <cell r="D470" t="str">
            <v/>
          </cell>
          <cell r="E470" t="str">
            <v/>
          </cell>
          <cell r="F470" t="str">
            <v/>
          </cell>
          <cell r="G470" t="str">
            <v/>
          </cell>
          <cell r="H470" t="str">
            <v/>
          </cell>
          <cell r="AR470" t="str">
            <v/>
          </cell>
          <cell r="AS470" t="str">
            <v/>
          </cell>
          <cell r="AU470" t="str">
            <v/>
          </cell>
          <cell r="AV470" t="str">
            <v/>
          </cell>
          <cell r="AW470" t="str">
            <v/>
          </cell>
          <cell r="BA470" t="str">
            <v/>
          </cell>
        </row>
        <row r="471">
          <cell r="A471">
            <v>468</v>
          </cell>
          <cell r="C471" t="str">
            <v>January</v>
          </cell>
          <cell r="D471" t="str">
            <v/>
          </cell>
          <cell r="E471" t="str">
            <v/>
          </cell>
          <cell r="F471" t="str">
            <v/>
          </cell>
          <cell r="G471" t="str">
            <v/>
          </cell>
          <cell r="H471" t="str">
            <v/>
          </cell>
          <cell r="AR471" t="str">
            <v/>
          </cell>
          <cell r="AS471" t="str">
            <v/>
          </cell>
          <cell r="AU471" t="str">
            <v/>
          </cell>
          <cell r="AV471" t="str">
            <v/>
          </cell>
          <cell r="AW471" t="str">
            <v/>
          </cell>
          <cell r="BA471" t="str">
            <v/>
          </cell>
        </row>
        <row r="472">
          <cell r="A472">
            <v>469</v>
          </cell>
          <cell r="C472" t="str">
            <v>January</v>
          </cell>
          <cell r="D472" t="str">
            <v/>
          </cell>
          <cell r="E472" t="str">
            <v/>
          </cell>
          <cell r="F472" t="str">
            <v/>
          </cell>
          <cell r="G472" t="str">
            <v/>
          </cell>
          <cell r="H472" t="str">
            <v/>
          </cell>
          <cell r="AR472" t="str">
            <v/>
          </cell>
          <cell r="AS472" t="str">
            <v/>
          </cell>
          <cell r="AU472" t="str">
            <v/>
          </cell>
          <cell r="AV472" t="str">
            <v/>
          </cell>
          <cell r="AW472" t="str">
            <v/>
          </cell>
          <cell r="BA472" t="str">
            <v/>
          </cell>
        </row>
        <row r="473">
          <cell r="A473">
            <v>470</v>
          </cell>
          <cell r="C473" t="str">
            <v>January</v>
          </cell>
          <cell r="D473" t="str">
            <v/>
          </cell>
          <cell r="E473" t="str">
            <v/>
          </cell>
          <cell r="F473" t="str">
            <v/>
          </cell>
          <cell r="G473" t="str">
            <v/>
          </cell>
          <cell r="H473" t="str">
            <v/>
          </cell>
          <cell r="AR473" t="str">
            <v/>
          </cell>
          <cell r="AS473" t="str">
            <v/>
          </cell>
          <cell r="AU473" t="str">
            <v/>
          </cell>
          <cell r="AV473" t="str">
            <v/>
          </cell>
          <cell r="AW473" t="str">
            <v/>
          </cell>
          <cell r="BA473" t="str">
            <v/>
          </cell>
        </row>
        <row r="474">
          <cell r="A474">
            <v>471</v>
          </cell>
          <cell r="C474" t="str">
            <v>January</v>
          </cell>
          <cell r="D474" t="str">
            <v/>
          </cell>
          <cell r="E474" t="str">
            <v/>
          </cell>
          <cell r="F474" t="str">
            <v/>
          </cell>
          <cell r="G474" t="str">
            <v/>
          </cell>
          <cell r="H474" t="str">
            <v/>
          </cell>
          <cell r="AR474" t="str">
            <v/>
          </cell>
          <cell r="AS474" t="str">
            <v/>
          </cell>
          <cell r="AU474" t="str">
            <v/>
          </cell>
          <cell r="AV474" t="str">
            <v/>
          </cell>
          <cell r="AW474" t="str">
            <v/>
          </cell>
          <cell r="BA474" t="str">
            <v/>
          </cell>
        </row>
        <row r="475">
          <cell r="A475">
            <v>472</v>
          </cell>
          <cell r="C475" t="str">
            <v>January</v>
          </cell>
          <cell r="D475" t="str">
            <v/>
          </cell>
          <cell r="E475" t="str">
            <v/>
          </cell>
          <cell r="F475" t="str">
            <v/>
          </cell>
          <cell r="G475" t="str">
            <v/>
          </cell>
          <cell r="H475" t="str">
            <v/>
          </cell>
          <cell r="AR475" t="str">
            <v/>
          </cell>
          <cell r="AS475" t="str">
            <v/>
          </cell>
          <cell r="AU475" t="str">
            <v/>
          </cell>
          <cell r="AV475" t="str">
            <v/>
          </cell>
          <cell r="AW475" t="str">
            <v/>
          </cell>
          <cell r="BA475" t="str">
            <v/>
          </cell>
        </row>
        <row r="476">
          <cell r="A476">
            <v>473</v>
          </cell>
          <cell r="C476" t="str">
            <v>January</v>
          </cell>
          <cell r="D476" t="str">
            <v/>
          </cell>
          <cell r="E476" t="str">
            <v/>
          </cell>
          <cell r="F476" t="str">
            <v/>
          </cell>
          <cell r="G476" t="str">
            <v/>
          </cell>
          <cell r="H476" t="str">
            <v/>
          </cell>
          <cell r="AR476" t="str">
            <v/>
          </cell>
          <cell r="AS476" t="str">
            <v/>
          </cell>
          <cell r="AU476" t="str">
            <v/>
          </cell>
          <cell r="AV476" t="str">
            <v/>
          </cell>
          <cell r="AW476" t="str">
            <v/>
          </cell>
          <cell r="BA476" t="str">
            <v/>
          </cell>
        </row>
        <row r="477">
          <cell r="A477">
            <v>474</v>
          </cell>
          <cell r="C477" t="str">
            <v>January</v>
          </cell>
          <cell r="D477" t="str">
            <v/>
          </cell>
          <cell r="E477" t="str">
            <v/>
          </cell>
          <cell r="F477" t="str">
            <v/>
          </cell>
          <cell r="G477" t="str">
            <v/>
          </cell>
          <cell r="H477" t="str">
            <v/>
          </cell>
          <cell r="AR477" t="str">
            <v/>
          </cell>
          <cell r="AS477" t="str">
            <v/>
          </cell>
          <cell r="AU477" t="str">
            <v/>
          </cell>
          <cell r="AV477" t="str">
            <v/>
          </cell>
          <cell r="AW477" t="str">
            <v/>
          </cell>
          <cell r="BA477" t="str">
            <v/>
          </cell>
        </row>
        <row r="478">
          <cell r="A478">
            <v>475</v>
          </cell>
          <cell r="C478" t="str">
            <v>January</v>
          </cell>
          <cell r="D478" t="str">
            <v/>
          </cell>
          <cell r="E478" t="str">
            <v/>
          </cell>
          <cell r="F478" t="str">
            <v/>
          </cell>
          <cell r="G478" t="str">
            <v/>
          </cell>
          <cell r="H478" t="str">
            <v/>
          </cell>
          <cell r="AR478" t="str">
            <v/>
          </cell>
          <cell r="AS478" t="str">
            <v/>
          </cell>
          <cell r="AU478" t="str">
            <v/>
          </cell>
          <cell r="AV478" t="str">
            <v/>
          </cell>
          <cell r="AW478" t="str">
            <v/>
          </cell>
          <cell r="BA478" t="str">
            <v/>
          </cell>
        </row>
        <row r="479">
          <cell r="A479">
            <v>476</v>
          </cell>
          <cell r="C479" t="str">
            <v>January</v>
          </cell>
          <cell r="D479" t="str">
            <v/>
          </cell>
          <cell r="E479" t="str">
            <v/>
          </cell>
          <cell r="F479" t="str">
            <v/>
          </cell>
          <cell r="G479" t="str">
            <v/>
          </cell>
          <cell r="H479" t="str">
            <v/>
          </cell>
          <cell r="AR479" t="str">
            <v/>
          </cell>
          <cell r="AS479" t="str">
            <v/>
          </cell>
          <cell r="AU479" t="str">
            <v/>
          </cell>
          <cell r="AV479" t="str">
            <v/>
          </cell>
          <cell r="AW479" t="str">
            <v/>
          </cell>
          <cell r="BA479" t="str">
            <v/>
          </cell>
        </row>
        <row r="480">
          <cell r="A480">
            <v>477</v>
          </cell>
          <cell r="C480" t="str">
            <v>January</v>
          </cell>
          <cell r="D480" t="str">
            <v/>
          </cell>
          <cell r="E480" t="str">
            <v/>
          </cell>
          <cell r="F480" t="str">
            <v/>
          </cell>
          <cell r="G480" t="str">
            <v/>
          </cell>
          <cell r="H480" t="str">
            <v/>
          </cell>
          <cell r="AR480" t="str">
            <v/>
          </cell>
          <cell r="AS480" t="str">
            <v/>
          </cell>
          <cell r="AU480" t="str">
            <v/>
          </cell>
          <cell r="AV480" t="str">
            <v/>
          </cell>
          <cell r="AW480" t="str">
            <v/>
          </cell>
          <cell r="BA480" t="str">
            <v/>
          </cell>
        </row>
        <row r="481">
          <cell r="A481">
            <v>478</v>
          </cell>
          <cell r="C481" t="str">
            <v>January</v>
          </cell>
          <cell r="D481" t="str">
            <v/>
          </cell>
          <cell r="E481" t="str">
            <v/>
          </cell>
          <cell r="F481" t="str">
            <v/>
          </cell>
          <cell r="G481" t="str">
            <v/>
          </cell>
          <cell r="H481" t="str">
            <v/>
          </cell>
          <cell r="AR481" t="str">
            <v/>
          </cell>
          <cell r="AS481" t="str">
            <v/>
          </cell>
          <cell r="AU481" t="str">
            <v/>
          </cell>
          <cell r="AV481" t="str">
            <v/>
          </cell>
          <cell r="AW481" t="str">
            <v/>
          </cell>
          <cell r="BA481" t="str">
            <v/>
          </cell>
        </row>
        <row r="482">
          <cell r="A482">
            <v>479</v>
          </cell>
          <cell r="C482" t="str">
            <v>January</v>
          </cell>
          <cell r="D482" t="str">
            <v/>
          </cell>
          <cell r="E482" t="str">
            <v/>
          </cell>
          <cell r="F482" t="str">
            <v/>
          </cell>
          <cell r="G482" t="str">
            <v/>
          </cell>
          <cell r="H482" t="str">
            <v/>
          </cell>
          <cell r="AR482" t="str">
            <v/>
          </cell>
          <cell r="AS482" t="str">
            <v/>
          </cell>
          <cell r="AU482" t="str">
            <v/>
          </cell>
          <cell r="AV482" t="str">
            <v/>
          </cell>
          <cell r="AW482" t="str">
            <v/>
          </cell>
          <cell r="BA482" t="str">
            <v/>
          </cell>
        </row>
        <row r="483">
          <cell r="A483">
            <v>480</v>
          </cell>
          <cell r="C483" t="str">
            <v>January</v>
          </cell>
          <cell r="D483" t="str">
            <v/>
          </cell>
          <cell r="E483" t="str">
            <v/>
          </cell>
          <cell r="F483" t="str">
            <v/>
          </cell>
          <cell r="G483" t="str">
            <v/>
          </cell>
          <cell r="H483" t="str">
            <v/>
          </cell>
          <cell r="AR483" t="str">
            <v/>
          </cell>
          <cell r="AS483" t="str">
            <v/>
          </cell>
          <cell r="AU483" t="str">
            <v/>
          </cell>
          <cell r="AV483" t="str">
            <v/>
          </cell>
          <cell r="AW483" t="str">
            <v/>
          </cell>
          <cell r="BA483" t="str">
            <v/>
          </cell>
        </row>
        <row r="484">
          <cell r="A484">
            <v>481</v>
          </cell>
          <cell r="C484" t="str">
            <v>February</v>
          </cell>
          <cell r="D484" t="str">
            <v>122625140006</v>
          </cell>
          <cell r="E484" t="str">
            <v>ACAYAN, ELIJAH DITALO</v>
          </cell>
          <cell r="F484" t="str">
            <v>Male</v>
          </cell>
          <cell r="G484">
            <v>1</v>
          </cell>
          <cell r="H484">
            <v>1</v>
          </cell>
          <cell r="AR484">
            <v>0</v>
          </cell>
          <cell r="AS484">
            <v>20</v>
          </cell>
          <cell r="AU484">
            <v>0</v>
          </cell>
          <cell r="AV484">
            <v>46419</v>
          </cell>
          <cell r="AW484">
            <v>46444</v>
          </cell>
          <cell r="BA484">
            <v>1</v>
          </cell>
        </row>
        <row r="485">
          <cell r="A485">
            <v>482</v>
          </cell>
          <cell r="C485" t="str">
            <v>February</v>
          </cell>
          <cell r="D485" t="str">
            <v>419658160041</v>
          </cell>
          <cell r="E485" t="str">
            <v>ARCILLA, KYLE XANDRE MATUS</v>
          </cell>
          <cell r="F485" t="str">
            <v>Male</v>
          </cell>
          <cell r="G485">
            <v>1</v>
          </cell>
          <cell r="H485">
            <v>1</v>
          </cell>
          <cell r="AR485">
            <v>0</v>
          </cell>
          <cell r="AS485">
            <v>20</v>
          </cell>
          <cell r="AU485">
            <v>0</v>
          </cell>
          <cell r="AV485">
            <v>46419</v>
          </cell>
          <cell r="AW485">
            <v>46444</v>
          </cell>
          <cell r="BA485">
            <v>2</v>
          </cell>
        </row>
        <row r="486">
          <cell r="A486">
            <v>483</v>
          </cell>
          <cell r="C486" t="str">
            <v>February</v>
          </cell>
          <cell r="D486" t="str">
            <v>104015140057</v>
          </cell>
          <cell r="E486" t="str">
            <v>CAPAYAN, DENVER CORPUZ</v>
          </cell>
          <cell r="F486" t="str">
            <v>Male</v>
          </cell>
          <cell r="G486">
            <v>1</v>
          </cell>
          <cell r="H486">
            <v>1</v>
          </cell>
          <cell r="AR486">
            <v>0</v>
          </cell>
          <cell r="AS486">
            <v>20</v>
          </cell>
          <cell r="AU486">
            <v>0</v>
          </cell>
          <cell r="AV486">
            <v>46419</v>
          </cell>
          <cell r="AW486">
            <v>46444</v>
          </cell>
          <cell r="BA486">
            <v>3</v>
          </cell>
        </row>
        <row r="487">
          <cell r="A487">
            <v>484</v>
          </cell>
          <cell r="C487" t="str">
            <v>February</v>
          </cell>
          <cell r="D487" t="str">
            <v>107023140026</v>
          </cell>
          <cell r="E487" t="str">
            <v>DOMINGO, FRYNNS LIAM ATIENZA</v>
          </cell>
          <cell r="F487" t="str">
            <v>Male</v>
          </cell>
          <cell r="G487">
            <v>1</v>
          </cell>
          <cell r="H487">
            <v>1</v>
          </cell>
          <cell r="AR487">
            <v>0</v>
          </cell>
          <cell r="AS487">
            <v>20</v>
          </cell>
          <cell r="AU487">
            <v>0</v>
          </cell>
          <cell r="AV487">
            <v>46419</v>
          </cell>
          <cell r="AW487">
            <v>46444</v>
          </cell>
          <cell r="BA487">
            <v>4</v>
          </cell>
        </row>
        <row r="488">
          <cell r="A488">
            <v>485</v>
          </cell>
          <cell r="C488" t="str">
            <v>February</v>
          </cell>
          <cell r="D488" t="str">
            <v>110347140023</v>
          </cell>
          <cell r="E488" t="str">
            <v>DUMADALUG, JAMES DIZON</v>
          </cell>
          <cell r="F488" t="str">
            <v>Male</v>
          </cell>
          <cell r="G488">
            <v>1</v>
          </cell>
          <cell r="H488">
            <v>1</v>
          </cell>
          <cell r="AR488">
            <v>0</v>
          </cell>
          <cell r="AS488">
            <v>20</v>
          </cell>
          <cell r="AU488">
            <v>0</v>
          </cell>
          <cell r="AV488">
            <v>46419</v>
          </cell>
          <cell r="AW488">
            <v>46444</v>
          </cell>
          <cell r="BA488">
            <v>5</v>
          </cell>
        </row>
        <row r="489">
          <cell r="A489">
            <v>486</v>
          </cell>
          <cell r="C489" t="str">
            <v>February</v>
          </cell>
          <cell r="D489" t="str">
            <v>107031140010</v>
          </cell>
          <cell r="E489" t="str">
            <v>GARCIA, KIRK NATHAN BOLSICO</v>
          </cell>
          <cell r="F489" t="str">
            <v>Male</v>
          </cell>
          <cell r="G489">
            <v>1</v>
          </cell>
          <cell r="H489">
            <v>1</v>
          </cell>
          <cell r="AR489">
            <v>0</v>
          </cell>
          <cell r="AS489">
            <v>20</v>
          </cell>
          <cell r="AU489">
            <v>0</v>
          </cell>
          <cell r="AV489">
            <v>46419</v>
          </cell>
          <cell r="AW489">
            <v>46444</v>
          </cell>
          <cell r="BA489">
            <v>6</v>
          </cell>
        </row>
        <row r="490">
          <cell r="A490">
            <v>487</v>
          </cell>
          <cell r="C490" t="str">
            <v>February</v>
          </cell>
          <cell r="D490" t="str">
            <v>107061140477</v>
          </cell>
          <cell r="E490" t="str">
            <v>GUEVARRA, SEAD SYRON CORPUZ</v>
          </cell>
          <cell r="F490" t="str">
            <v>Male</v>
          </cell>
          <cell r="G490">
            <v>1</v>
          </cell>
          <cell r="H490">
            <v>1</v>
          </cell>
          <cell r="AR490">
            <v>0</v>
          </cell>
          <cell r="AS490">
            <v>20</v>
          </cell>
          <cell r="AU490">
            <v>0</v>
          </cell>
          <cell r="AV490">
            <v>46419</v>
          </cell>
          <cell r="AW490">
            <v>46444</v>
          </cell>
          <cell r="BA490">
            <v>7</v>
          </cell>
        </row>
        <row r="491">
          <cell r="A491">
            <v>488</v>
          </cell>
          <cell r="C491" t="str">
            <v>February</v>
          </cell>
          <cell r="D491" t="str">
            <v>133624150052</v>
          </cell>
          <cell r="E491" t="str">
            <v>MACAPANTON, ALIMAN SULTAN</v>
          </cell>
          <cell r="F491" t="str">
            <v>Male</v>
          </cell>
          <cell r="G491">
            <v>1</v>
          </cell>
          <cell r="H491">
            <v>1</v>
          </cell>
          <cell r="AR491">
            <v>0</v>
          </cell>
          <cell r="AS491">
            <v>20</v>
          </cell>
          <cell r="AU491">
            <v>0</v>
          </cell>
          <cell r="AV491">
            <v>46419</v>
          </cell>
          <cell r="AW491">
            <v>46444</v>
          </cell>
          <cell r="BA491">
            <v>8</v>
          </cell>
        </row>
        <row r="492">
          <cell r="A492">
            <v>489</v>
          </cell>
          <cell r="C492" t="str">
            <v>February</v>
          </cell>
          <cell r="D492" t="str">
            <v>107027140164</v>
          </cell>
          <cell r="E492" t="str">
            <v>MEJIA, FRANCIS KHIAN LLARENA</v>
          </cell>
          <cell r="F492" t="str">
            <v>Male</v>
          </cell>
          <cell r="G492">
            <v>1</v>
          </cell>
          <cell r="H492">
            <v>1</v>
          </cell>
          <cell r="AR492">
            <v>0</v>
          </cell>
          <cell r="AS492">
            <v>20</v>
          </cell>
          <cell r="AU492">
            <v>0</v>
          </cell>
          <cell r="AV492">
            <v>46419</v>
          </cell>
          <cell r="AW492">
            <v>46444</v>
          </cell>
          <cell r="BA492">
            <v>9</v>
          </cell>
        </row>
        <row r="493">
          <cell r="A493">
            <v>490</v>
          </cell>
          <cell r="C493" t="str">
            <v>February</v>
          </cell>
          <cell r="D493" t="str">
            <v>107185140032</v>
          </cell>
          <cell r="E493" t="str">
            <v>NERI, GABRIEL BRIONES</v>
          </cell>
          <cell r="F493" t="str">
            <v>Male</v>
          </cell>
          <cell r="G493">
            <v>1</v>
          </cell>
          <cell r="H493">
            <v>1</v>
          </cell>
          <cell r="AR493">
            <v>0</v>
          </cell>
          <cell r="AS493">
            <v>20</v>
          </cell>
          <cell r="AU493">
            <v>0</v>
          </cell>
          <cell r="AV493">
            <v>46419</v>
          </cell>
          <cell r="AW493">
            <v>46444</v>
          </cell>
          <cell r="BA493">
            <v>10</v>
          </cell>
        </row>
        <row r="494">
          <cell r="A494">
            <v>491</v>
          </cell>
          <cell r="C494" t="str">
            <v>February</v>
          </cell>
          <cell r="D494" t="str">
            <v>107057130479</v>
          </cell>
          <cell r="E494" t="str">
            <v>PAYABYAB, SHELTER RAIN ALEJANDRO</v>
          </cell>
          <cell r="F494" t="str">
            <v>Male</v>
          </cell>
          <cell r="G494">
            <v>1</v>
          </cell>
          <cell r="H494">
            <v>1</v>
          </cell>
          <cell r="AR494">
            <v>0</v>
          </cell>
          <cell r="AS494">
            <v>20</v>
          </cell>
          <cell r="AU494">
            <v>0</v>
          </cell>
          <cell r="AV494">
            <v>46419</v>
          </cell>
          <cell r="AW494">
            <v>46444</v>
          </cell>
          <cell r="BA494">
            <v>11</v>
          </cell>
        </row>
        <row r="495">
          <cell r="A495">
            <v>492</v>
          </cell>
          <cell r="C495" t="str">
            <v>February</v>
          </cell>
          <cell r="D495" t="str">
            <v>113420140126</v>
          </cell>
          <cell r="E495" t="str">
            <v>RAMIREZ, RENCES DWANE RAMONES</v>
          </cell>
          <cell r="F495" t="str">
            <v>Male</v>
          </cell>
          <cell r="G495">
            <v>1</v>
          </cell>
          <cell r="H495">
            <v>1</v>
          </cell>
          <cell r="AR495">
            <v>0</v>
          </cell>
          <cell r="AS495">
            <v>20</v>
          </cell>
          <cell r="AU495">
            <v>0</v>
          </cell>
          <cell r="AV495">
            <v>46419</v>
          </cell>
          <cell r="AW495">
            <v>46444</v>
          </cell>
          <cell r="BA495">
            <v>12</v>
          </cell>
        </row>
        <row r="496">
          <cell r="A496">
            <v>493</v>
          </cell>
          <cell r="C496" t="str">
            <v>February</v>
          </cell>
          <cell r="D496" t="str">
            <v>107048150273</v>
          </cell>
          <cell r="E496" t="str">
            <v>SUGAY, ASHTON GUTIERREZ</v>
          </cell>
          <cell r="F496" t="str">
            <v>Male</v>
          </cell>
          <cell r="G496">
            <v>1</v>
          </cell>
          <cell r="H496">
            <v>1</v>
          </cell>
          <cell r="AR496">
            <v>0</v>
          </cell>
          <cell r="AS496">
            <v>20</v>
          </cell>
          <cell r="AU496">
            <v>0</v>
          </cell>
          <cell r="AV496">
            <v>46419</v>
          </cell>
          <cell r="AW496">
            <v>46444</v>
          </cell>
          <cell r="BA496">
            <v>13</v>
          </cell>
        </row>
        <row r="497">
          <cell r="A497">
            <v>494</v>
          </cell>
          <cell r="C497" t="str">
            <v>February</v>
          </cell>
          <cell r="D497">
            <v>107032140054</v>
          </cell>
          <cell r="E497" t="str">
            <v>SANTIAGO, JARED ALBERTH BARREDA</v>
          </cell>
          <cell r="F497" t="str">
            <v>Male</v>
          </cell>
          <cell r="G497">
            <v>1</v>
          </cell>
          <cell r="H497">
            <v>1</v>
          </cell>
          <cell r="AR497">
            <v>0</v>
          </cell>
          <cell r="AS497">
            <v>20</v>
          </cell>
          <cell r="AU497">
            <v>0</v>
          </cell>
          <cell r="AV497">
            <v>46419</v>
          </cell>
          <cell r="AW497">
            <v>46444</v>
          </cell>
          <cell r="BA497">
            <v>14</v>
          </cell>
        </row>
        <row r="498">
          <cell r="A498">
            <v>495</v>
          </cell>
          <cell r="C498" t="str">
            <v>February</v>
          </cell>
          <cell r="D498" t="str">
            <v>122379140033</v>
          </cell>
          <cell r="E498" t="str">
            <v>ACAYAN, HANNAH NICOLE COSTUNA</v>
          </cell>
          <cell r="F498" t="str">
            <v>Female</v>
          </cell>
          <cell r="G498">
            <v>1</v>
          </cell>
          <cell r="H498">
            <v>1</v>
          </cell>
          <cell r="AR498">
            <v>0</v>
          </cell>
          <cell r="AS498">
            <v>20</v>
          </cell>
          <cell r="AU498">
            <v>0</v>
          </cell>
          <cell r="AV498">
            <v>46419</v>
          </cell>
          <cell r="AW498">
            <v>46444</v>
          </cell>
          <cell r="BA498">
            <v>1</v>
          </cell>
        </row>
        <row r="499">
          <cell r="A499">
            <v>496</v>
          </cell>
          <cell r="C499" t="str">
            <v>February</v>
          </cell>
          <cell r="D499" t="str">
            <v>107041140509</v>
          </cell>
          <cell r="E499" t="str">
            <v>AREÑEZ, FRANCHESKA OCAMPO</v>
          </cell>
          <cell r="F499" t="str">
            <v>Female</v>
          </cell>
          <cell r="G499">
            <v>1</v>
          </cell>
          <cell r="H499">
            <v>1</v>
          </cell>
          <cell r="AR499">
            <v>0</v>
          </cell>
          <cell r="AS499">
            <v>20</v>
          </cell>
          <cell r="AU499">
            <v>0</v>
          </cell>
          <cell r="AV499">
            <v>46419</v>
          </cell>
          <cell r="AW499">
            <v>46444</v>
          </cell>
          <cell r="BA499">
            <v>2</v>
          </cell>
        </row>
        <row r="500">
          <cell r="A500">
            <v>497</v>
          </cell>
          <cell r="C500" t="str">
            <v>February</v>
          </cell>
          <cell r="D500" t="str">
            <v>159547140065</v>
          </cell>
          <cell r="E500" t="str">
            <v>BALUCANAG, CHLOE LIAN GALINO</v>
          </cell>
          <cell r="F500" t="str">
            <v>Female</v>
          </cell>
          <cell r="G500">
            <v>1</v>
          </cell>
          <cell r="H500">
            <v>1</v>
          </cell>
          <cell r="AR500">
            <v>0</v>
          </cell>
          <cell r="AS500">
            <v>20</v>
          </cell>
          <cell r="AU500">
            <v>0</v>
          </cell>
          <cell r="AV500">
            <v>46419</v>
          </cell>
          <cell r="AW500">
            <v>46444</v>
          </cell>
          <cell r="BA500">
            <v>3</v>
          </cell>
        </row>
        <row r="501">
          <cell r="A501">
            <v>498</v>
          </cell>
          <cell r="C501" t="str">
            <v>February</v>
          </cell>
          <cell r="D501" t="str">
            <v>107022140163</v>
          </cell>
          <cell r="E501" t="str">
            <v>BIE, JOHN RAIN MAGTOTO</v>
          </cell>
          <cell r="F501" t="str">
            <v>Female</v>
          </cell>
          <cell r="G501">
            <v>1</v>
          </cell>
          <cell r="H501">
            <v>1</v>
          </cell>
          <cell r="AR501">
            <v>0</v>
          </cell>
          <cell r="AS501">
            <v>20</v>
          </cell>
          <cell r="AU501">
            <v>0</v>
          </cell>
          <cell r="AV501">
            <v>46419</v>
          </cell>
          <cell r="AW501">
            <v>46444</v>
          </cell>
          <cell r="BA501">
            <v>4</v>
          </cell>
        </row>
        <row r="502">
          <cell r="A502">
            <v>499</v>
          </cell>
          <cell r="C502" t="str">
            <v>February</v>
          </cell>
          <cell r="D502" t="str">
            <v>105935140024</v>
          </cell>
          <cell r="E502" t="str">
            <v>DAVID, ASHLEY LAPUZ</v>
          </cell>
          <cell r="F502" t="str">
            <v>Female</v>
          </cell>
          <cell r="G502">
            <v>1</v>
          </cell>
          <cell r="H502">
            <v>1</v>
          </cell>
          <cell r="AR502">
            <v>0</v>
          </cell>
          <cell r="AS502">
            <v>20</v>
          </cell>
          <cell r="AU502">
            <v>0</v>
          </cell>
          <cell r="AV502">
            <v>46419</v>
          </cell>
          <cell r="AW502">
            <v>46444</v>
          </cell>
          <cell r="BA502">
            <v>5</v>
          </cell>
        </row>
        <row r="503">
          <cell r="A503">
            <v>500</v>
          </cell>
          <cell r="C503" t="str">
            <v>February</v>
          </cell>
          <cell r="D503" t="str">
            <v>106066150025</v>
          </cell>
          <cell r="E503" t="str">
            <v>FLORES, THEA MARIE LUMUYA</v>
          </cell>
          <cell r="F503" t="str">
            <v>Female</v>
          </cell>
          <cell r="G503">
            <v>1</v>
          </cell>
          <cell r="H503">
            <v>1</v>
          </cell>
          <cell r="AR503">
            <v>0</v>
          </cell>
          <cell r="AS503">
            <v>20</v>
          </cell>
          <cell r="AU503">
            <v>0</v>
          </cell>
          <cell r="AV503">
            <v>46419</v>
          </cell>
          <cell r="AW503">
            <v>46444</v>
          </cell>
          <cell r="BA503">
            <v>6</v>
          </cell>
        </row>
        <row r="504">
          <cell r="A504">
            <v>501</v>
          </cell>
          <cell r="C504" t="str">
            <v>February</v>
          </cell>
          <cell r="D504" t="str">
            <v>107032140061</v>
          </cell>
          <cell r="E504" t="str">
            <v>INGAL, SHAINA KYLE PINEDA</v>
          </cell>
          <cell r="F504" t="str">
            <v>Female</v>
          </cell>
          <cell r="G504">
            <v>1</v>
          </cell>
          <cell r="H504">
            <v>1</v>
          </cell>
          <cell r="AR504">
            <v>0</v>
          </cell>
          <cell r="AS504">
            <v>20</v>
          </cell>
          <cell r="AU504">
            <v>0</v>
          </cell>
          <cell r="AV504">
            <v>46419</v>
          </cell>
          <cell r="AW504">
            <v>46444</v>
          </cell>
          <cell r="BA504">
            <v>7</v>
          </cell>
        </row>
        <row r="505">
          <cell r="A505">
            <v>502</v>
          </cell>
          <cell r="C505" t="str">
            <v>February</v>
          </cell>
          <cell r="D505">
            <v>106072140070</v>
          </cell>
          <cell r="E505" t="str">
            <v>MACAPODI, AINA MANGUNTAWAR</v>
          </cell>
          <cell r="F505" t="str">
            <v>Female</v>
          </cell>
          <cell r="G505">
            <v>1</v>
          </cell>
          <cell r="H505">
            <v>1</v>
          </cell>
          <cell r="AR505">
            <v>0</v>
          </cell>
          <cell r="AS505">
            <v>20</v>
          </cell>
          <cell r="AU505">
            <v>0</v>
          </cell>
          <cell r="AV505">
            <v>46419</v>
          </cell>
          <cell r="AW505">
            <v>46444</v>
          </cell>
          <cell r="BA505">
            <v>8</v>
          </cell>
        </row>
        <row r="506">
          <cell r="A506">
            <v>503</v>
          </cell>
          <cell r="C506" t="str">
            <v>February</v>
          </cell>
          <cell r="D506" t="str">
            <v>136634150917</v>
          </cell>
          <cell r="E506" t="str">
            <v>MIPAMPANG, RASHEDA BASCARA</v>
          </cell>
          <cell r="F506" t="str">
            <v>Female</v>
          </cell>
          <cell r="G506">
            <v>1</v>
          </cell>
          <cell r="H506">
            <v>1</v>
          </cell>
          <cell r="AR506">
            <v>0</v>
          </cell>
          <cell r="AS506">
            <v>20</v>
          </cell>
          <cell r="AU506">
            <v>0</v>
          </cell>
          <cell r="AV506">
            <v>46419</v>
          </cell>
          <cell r="AW506">
            <v>46444</v>
          </cell>
          <cell r="BA506">
            <v>9</v>
          </cell>
        </row>
        <row r="507">
          <cell r="A507">
            <v>504</v>
          </cell>
          <cell r="C507" t="str">
            <v>February</v>
          </cell>
          <cell r="D507" t="str">
            <v>107028140103</v>
          </cell>
          <cell r="E507" t="str">
            <v>TAYSON, DANIELLE MAE PANES</v>
          </cell>
          <cell r="F507" t="str">
            <v>Female</v>
          </cell>
          <cell r="G507">
            <v>1</v>
          </cell>
          <cell r="H507">
            <v>1</v>
          </cell>
          <cell r="AR507">
            <v>0</v>
          </cell>
          <cell r="AS507">
            <v>20</v>
          </cell>
          <cell r="AU507">
            <v>0</v>
          </cell>
          <cell r="AV507">
            <v>46419</v>
          </cell>
          <cell r="AW507">
            <v>46444</v>
          </cell>
          <cell r="BA507">
            <v>10</v>
          </cell>
        </row>
        <row r="508">
          <cell r="A508">
            <v>505</v>
          </cell>
          <cell r="C508" t="str">
            <v>February</v>
          </cell>
          <cell r="D508">
            <v>105205140016</v>
          </cell>
          <cell r="E508" t="str">
            <v>FAJARDO, PRINCE DANIEL RODAJE</v>
          </cell>
          <cell r="F508" t="str">
            <v>Female</v>
          </cell>
          <cell r="G508">
            <v>1</v>
          </cell>
          <cell r="H508">
            <v>1</v>
          </cell>
          <cell r="AR508">
            <v>0</v>
          </cell>
          <cell r="AS508">
            <v>20</v>
          </cell>
          <cell r="AU508">
            <v>0</v>
          </cell>
          <cell r="AV508">
            <v>46419</v>
          </cell>
          <cell r="AW508">
            <v>46444</v>
          </cell>
          <cell r="BA508">
            <v>11</v>
          </cell>
        </row>
        <row r="509">
          <cell r="A509">
            <v>506</v>
          </cell>
          <cell r="C509" t="str">
            <v>February</v>
          </cell>
          <cell r="D509" t="str">
            <v/>
          </cell>
          <cell r="E509" t="str">
            <v/>
          </cell>
          <cell r="F509" t="str">
            <v/>
          </cell>
          <cell r="G509" t="str">
            <v/>
          </cell>
          <cell r="H509" t="str">
            <v/>
          </cell>
          <cell r="AR509" t="str">
            <v/>
          </cell>
          <cell r="AS509" t="str">
            <v/>
          </cell>
          <cell r="AU509" t="str">
            <v/>
          </cell>
          <cell r="AV509" t="str">
            <v/>
          </cell>
          <cell r="AW509" t="str">
            <v/>
          </cell>
          <cell r="BA509" t="str">
            <v/>
          </cell>
        </row>
        <row r="510">
          <cell r="A510">
            <v>507</v>
          </cell>
          <cell r="C510" t="str">
            <v>February</v>
          </cell>
          <cell r="D510" t="str">
            <v/>
          </cell>
          <cell r="E510" t="str">
            <v/>
          </cell>
          <cell r="F510" t="str">
            <v/>
          </cell>
          <cell r="G510" t="str">
            <v/>
          </cell>
          <cell r="H510" t="str">
            <v/>
          </cell>
          <cell r="AR510" t="str">
            <v/>
          </cell>
          <cell r="AS510" t="str">
            <v/>
          </cell>
          <cell r="AU510" t="str">
            <v/>
          </cell>
          <cell r="AV510" t="str">
            <v/>
          </cell>
          <cell r="AW510" t="str">
            <v/>
          </cell>
          <cell r="BA510" t="str">
            <v/>
          </cell>
        </row>
        <row r="511">
          <cell r="A511">
            <v>508</v>
          </cell>
          <cell r="C511" t="str">
            <v>February</v>
          </cell>
          <cell r="D511" t="str">
            <v/>
          </cell>
          <cell r="E511" t="str">
            <v/>
          </cell>
          <cell r="F511" t="str">
            <v/>
          </cell>
          <cell r="G511" t="str">
            <v/>
          </cell>
          <cell r="H511" t="str">
            <v/>
          </cell>
          <cell r="AR511" t="str">
            <v/>
          </cell>
          <cell r="AS511" t="str">
            <v/>
          </cell>
          <cell r="AU511" t="str">
            <v/>
          </cell>
          <cell r="AV511" t="str">
            <v/>
          </cell>
          <cell r="AW511" t="str">
            <v/>
          </cell>
          <cell r="BA511" t="str">
            <v/>
          </cell>
        </row>
        <row r="512">
          <cell r="A512">
            <v>509</v>
          </cell>
          <cell r="C512" t="str">
            <v>February</v>
          </cell>
          <cell r="D512" t="str">
            <v/>
          </cell>
          <cell r="E512" t="str">
            <v/>
          </cell>
          <cell r="F512" t="str">
            <v/>
          </cell>
          <cell r="G512" t="str">
            <v/>
          </cell>
          <cell r="H512" t="str">
            <v/>
          </cell>
          <cell r="AR512" t="str">
            <v/>
          </cell>
          <cell r="AS512" t="str">
            <v/>
          </cell>
          <cell r="AU512" t="str">
            <v/>
          </cell>
          <cell r="AV512" t="str">
            <v/>
          </cell>
          <cell r="AW512" t="str">
            <v/>
          </cell>
          <cell r="BA512" t="str">
            <v/>
          </cell>
        </row>
        <row r="513">
          <cell r="A513">
            <v>510</v>
          </cell>
          <cell r="C513" t="str">
            <v>February</v>
          </cell>
          <cell r="D513" t="str">
            <v/>
          </cell>
          <cell r="E513" t="str">
            <v/>
          </cell>
          <cell r="F513" t="str">
            <v/>
          </cell>
          <cell r="G513" t="str">
            <v/>
          </cell>
          <cell r="H513" t="str">
            <v/>
          </cell>
          <cell r="AR513" t="str">
            <v/>
          </cell>
          <cell r="AS513" t="str">
            <v/>
          </cell>
          <cell r="AU513" t="str">
            <v/>
          </cell>
          <cell r="AV513" t="str">
            <v/>
          </cell>
          <cell r="AW513" t="str">
            <v/>
          </cell>
          <cell r="BA513" t="str">
            <v/>
          </cell>
        </row>
        <row r="514">
          <cell r="A514">
            <v>511</v>
          </cell>
          <cell r="C514" t="str">
            <v>February</v>
          </cell>
          <cell r="D514" t="str">
            <v/>
          </cell>
          <cell r="E514" t="str">
            <v/>
          </cell>
          <cell r="F514" t="str">
            <v/>
          </cell>
          <cell r="G514" t="str">
            <v/>
          </cell>
          <cell r="H514" t="str">
            <v/>
          </cell>
          <cell r="AR514" t="str">
            <v/>
          </cell>
          <cell r="AS514" t="str">
            <v/>
          </cell>
          <cell r="AU514" t="str">
            <v/>
          </cell>
          <cell r="AV514" t="str">
            <v/>
          </cell>
          <cell r="AW514" t="str">
            <v/>
          </cell>
          <cell r="BA514" t="str">
            <v/>
          </cell>
        </row>
        <row r="515">
          <cell r="A515">
            <v>512</v>
          </cell>
          <cell r="C515" t="str">
            <v>February</v>
          </cell>
          <cell r="D515" t="str">
            <v/>
          </cell>
          <cell r="E515" t="str">
            <v/>
          </cell>
          <cell r="F515" t="str">
            <v/>
          </cell>
          <cell r="G515" t="str">
            <v/>
          </cell>
          <cell r="H515" t="str">
            <v/>
          </cell>
          <cell r="AR515" t="str">
            <v/>
          </cell>
          <cell r="AS515" t="str">
            <v/>
          </cell>
          <cell r="AU515" t="str">
            <v/>
          </cell>
          <cell r="AV515" t="str">
            <v/>
          </cell>
          <cell r="AW515" t="str">
            <v/>
          </cell>
          <cell r="BA515" t="str">
            <v/>
          </cell>
        </row>
        <row r="516">
          <cell r="A516">
            <v>513</v>
          </cell>
          <cell r="C516" t="str">
            <v>February</v>
          </cell>
          <cell r="D516" t="str">
            <v/>
          </cell>
          <cell r="E516" t="str">
            <v/>
          </cell>
          <cell r="F516" t="str">
            <v/>
          </cell>
          <cell r="G516" t="str">
            <v/>
          </cell>
          <cell r="H516" t="str">
            <v/>
          </cell>
          <cell r="AR516" t="str">
            <v/>
          </cell>
          <cell r="AS516" t="str">
            <v/>
          </cell>
          <cell r="AU516" t="str">
            <v/>
          </cell>
          <cell r="AV516" t="str">
            <v/>
          </cell>
          <cell r="AW516" t="str">
            <v/>
          </cell>
          <cell r="BA516" t="str">
            <v/>
          </cell>
        </row>
        <row r="517">
          <cell r="A517">
            <v>514</v>
          </cell>
          <cell r="C517" t="str">
            <v>February</v>
          </cell>
          <cell r="D517" t="str">
            <v/>
          </cell>
          <cell r="E517" t="str">
            <v/>
          </cell>
          <cell r="F517" t="str">
            <v/>
          </cell>
          <cell r="G517" t="str">
            <v/>
          </cell>
          <cell r="H517" t="str">
            <v/>
          </cell>
          <cell r="AR517" t="str">
            <v/>
          </cell>
          <cell r="AS517" t="str">
            <v/>
          </cell>
          <cell r="AU517" t="str">
            <v/>
          </cell>
          <cell r="AV517" t="str">
            <v/>
          </cell>
          <cell r="AW517" t="str">
            <v/>
          </cell>
          <cell r="BA517" t="str">
            <v/>
          </cell>
        </row>
        <row r="518">
          <cell r="A518">
            <v>515</v>
          </cell>
          <cell r="C518" t="str">
            <v>February</v>
          </cell>
          <cell r="D518" t="str">
            <v/>
          </cell>
          <cell r="E518" t="str">
            <v/>
          </cell>
          <cell r="F518" t="str">
            <v/>
          </cell>
          <cell r="G518" t="str">
            <v/>
          </cell>
          <cell r="H518" t="str">
            <v/>
          </cell>
          <cell r="AR518" t="str">
            <v/>
          </cell>
          <cell r="AS518" t="str">
            <v/>
          </cell>
          <cell r="AU518" t="str">
            <v/>
          </cell>
          <cell r="AV518" t="str">
            <v/>
          </cell>
          <cell r="AW518" t="str">
            <v/>
          </cell>
          <cell r="BA518" t="str">
            <v/>
          </cell>
        </row>
        <row r="519">
          <cell r="A519">
            <v>516</v>
          </cell>
          <cell r="C519" t="str">
            <v>February</v>
          </cell>
          <cell r="D519" t="str">
            <v/>
          </cell>
          <cell r="E519" t="str">
            <v/>
          </cell>
          <cell r="F519" t="str">
            <v/>
          </cell>
          <cell r="G519" t="str">
            <v/>
          </cell>
          <cell r="H519" t="str">
            <v/>
          </cell>
          <cell r="AR519" t="str">
            <v/>
          </cell>
          <cell r="AS519" t="str">
            <v/>
          </cell>
          <cell r="AU519" t="str">
            <v/>
          </cell>
          <cell r="AV519" t="str">
            <v/>
          </cell>
          <cell r="AW519" t="str">
            <v/>
          </cell>
          <cell r="BA519" t="str">
            <v/>
          </cell>
        </row>
        <row r="520">
          <cell r="A520">
            <v>517</v>
          </cell>
          <cell r="C520" t="str">
            <v>February</v>
          </cell>
          <cell r="D520" t="str">
            <v/>
          </cell>
          <cell r="E520" t="str">
            <v/>
          </cell>
          <cell r="F520" t="str">
            <v/>
          </cell>
          <cell r="G520" t="str">
            <v/>
          </cell>
          <cell r="H520" t="str">
            <v/>
          </cell>
          <cell r="AR520" t="str">
            <v/>
          </cell>
          <cell r="AS520" t="str">
            <v/>
          </cell>
          <cell r="AU520" t="str">
            <v/>
          </cell>
          <cell r="AV520" t="str">
            <v/>
          </cell>
          <cell r="AW520" t="str">
            <v/>
          </cell>
          <cell r="BA520" t="str">
            <v/>
          </cell>
        </row>
        <row r="521">
          <cell r="A521">
            <v>518</v>
          </cell>
          <cell r="C521" t="str">
            <v>February</v>
          </cell>
          <cell r="D521" t="str">
            <v/>
          </cell>
          <cell r="E521" t="str">
            <v/>
          </cell>
          <cell r="F521" t="str">
            <v/>
          </cell>
          <cell r="G521" t="str">
            <v/>
          </cell>
          <cell r="H521" t="str">
            <v/>
          </cell>
          <cell r="AR521" t="str">
            <v/>
          </cell>
          <cell r="AS521" t="str">
            <v/>
          </cell>
          <cell r="AU521" t="str">
            <v/>
          </cell>
          <cell r="AV521" t="str">
            <v/>
          </cell>
          <cell r="AW521" t="str">
            <v/>
          </cell>
          <cell r="BA521" t="str">
            <v/>
          </cell>
        </row>
        <row r="522">
          <cell r="A522">
            <v>519</v>
          </cell>
          <cell r="C522" t="str">
            <v>February</v>
          </cell>
          <cell r="D522" t="str">
            <v/>
          </cell>
          <cell r="E522" t="str">
            <v/>
          </cell>
          <cell r="F522" t="str">
            <v/>
          </cell>
          <cell r="G522" t="str">
            <v/>
          </cell>
          <cell r="H522" t="str">
            <v/>
          </cell>
          <cell r="AR522" t="str">
            <v/>
          </cell>
          <cell r="AS522" t="str">
            <v/>
          </cell>
          <cell r="AU522" t="str">
            <v/>
          </cell>
          <cell r="AV522" t="str">
            <v/>
          </cell>
          <cell r="AW522" t="str">
            <v/>
          </cell>
          <cell r="BA522" t="str">
            <v/>
          </cell>
        </row>
        <row r="523">
          <cell r="A523">
            <v>520</v>
          </cell>
          <cell r="C523" t="str">
            <v>February</v>
          </cell>
          <cell r="D523" t="str">
            <v/>
          </cell>
          <cell r="E523" t="str">
            <v/>
          </cell>
          <cell r="F523" t="str">
            <v/>
          </cell>
          <cell r="G523" t="str">
            <v/>
          </cell>
          <cell r="H523" t="str">
            <v/>
          </cell>
          <cell r="AR523" t="str">
            <v/>
          </cell>
          <cell r="AS523" t="str">
            <v/>
          </cell>
          <cell r="AU523" t="str">
            <v/>
          </cell>
          <cell r="AV523" t="str">
            <v/>
          </cell>
          <cell r="AW523" t="str">
            <v/>
          </cell>
          <cell r="BA523" t="str">
            <v/>
          </cell>
        </row>
        <row r="524">
          <cell r="A524">
            <v>521</v>
          </cell>
          <cell r="C524" t="str">
            <v>February</v>
          </cell>
          <cell r="D524" t="str">
            <v/>
          </cell>
          <cell r="E524" t="str">
            <v/>
          </cell>
          <cell r="F524" t="str">
            <v/>
          </cell>
          <cell r="G524" t="str">
            <v/>
          </cell>
          <cell r="H524" t="str">
            <v/>
          </cell>
          <cell r="AR524" t="str">
            <v/>
          </cell>
          <cell r="AS524" t="str">
            <v/>
          </cell>
          <cell r="AU524" t="str">
            <v/>
          </cell>
          <cell r="AV524" t="str">
            <v/>
          </cell>
          <cell r="AW524" t="str">
            <v/>
          </cell>
          <cell r="BA524" t="str">
            <v/>
          </cell>
        </row>
        <row r="525">
          <cell r="A525">
            <v>522</v>
          </cell>
          <cell r="C525" t="str">
            <v>February</v>
          </cell>
          <cell r="D525" t="str">
            <v/>
          </cell>
          <cell r="E525" t="str">
            <v/>
          </cell>
          <cell r="F525" t="str">
            <v/>
          </cell>
          <cell r="G525" t="str">
            <v/>
          </cell>
          <cell r="H525" t="str">
            <v/>
          </cell>
          <cell r="AR525" t="str">
            <v/>
          </cell>
          <cell r="AS525" t="str">
            <v/>
          </cell>
          <cell r="AU525" t="str">
            <v/>
          </cell>
          <cell r="AV525" t="str">
            <v/>
          </cell>
          <cell r="AW525" t="str">
            <v/>
          </cell>
          <cell r="BA525" t="str">
            <v/>
          </cell>
        </row>
        <row r="526">
          <cell r="A526">
            <v>523</v>
          </cell>
          <cell r="C526" t="str">
            <v>February</v>
          </cell>
          <cell r="D526" t="str">
            <v/>
          </cell>
          <cell r="E526" t="str">
            <v/>
          </cell>
          <cell r="F526" t="str">
            <v/>
          </cell>
          <cell r="G526" t="str">
            <v/>
          </cell>
          <cell r="H526" t="str">
            <v/>
          </cell>
          <cell r="AR526" t="str">
            <v/>
          </cell>
          <cell r="AS526" t="str">
            <v/>
          </cell>
          <cell r="AU526" t="str">
            <v/>
          </cell>
          <cell r="AV526" t="str">
            <v/>
          </cell>
          <cell r="AW526" t="str">
            <v/>
          </cell>
          <cell r="BA526" t="str">
            <v/>
          </cell>
        </row>
        <row r="527">
          <cell r="A527">
            <v>524</v>
          </cell>
          <cell r="C527" t="str">
            <v>February</v>
          </cell>
          <cell r="D527" t="str">
            <v/>
          </cell>
          <cell r="E527" t="str">
            <v/>
          </cell>
          <cell r="F527" t="str">
            <v/>
          </cell>
          <cell r="G527" t="str">
            <v/>
          </cell>
          <cell r="H527" t="str">
            <v/>
          </cell>
          <cell r="AR527" t="str">
            <v/>
          </cell>
          <cell r="AS527" t="str">
            <v/>
          </cell>
          <cell r="AU527" t="str">
            <v/>
          </cell>
          <cell r="AV527" t="str">
            <v/>
          </cell>
          <cell r="AW527" t="str">
            <v/>
          </cell>
          <cell r="BA527" t="str">
            <v/>
          </cell>
        </row>
        <row r="528">
          <cell r="A528">
            <v>525</v>
          </cell>
          <cell r="C528" t="str">
            <v>February</v>
          </cell>
          <cell r="D528" t="str">
            <v/>
          </cell>
          <cell r="E528" t="str">
            <v/>
          </cell>
          <cell r="F528" t="str">
            <v/>
          </cell>
          <cell r="G528" t="str">
            <v/>
          </cell>
          <cell r="H528" t="str">
            <v/>
          </cell>
          <cell r="AR528" t="str">
            <v/>
          </cell>
          <cell r="AS528" t="str">
            <v/>
          </cell>
          <cell r="AU528" t="str">
            <v/>
          </cell>
          <cell r="AV528" t="str">
            <v/>
          </cell>
          <cell r="AW528" t="str">
            <v/>
          </cell>
          <cell r="BA528" t="str">
            <v/>
          </cell>
        </row>
        <row r="529">
          <cell r="A529">
            <v>526</v>
          </cell>
          <cell r="C529" t="str">
            <v>February</v>
          </cell>
          <cell r="D529" t="str">
            <v/>
          </cell>
          <cell r="E529" t="str">
            <v/>
          </cell>
          <cell r="F529" t="str">
            <v/>
          </cell>
          <cell r="G529" t="str">
            <v/>
          </cell>
          <cell r="H529" t="str">
            <v/>
          </cell>
          <cell r="AR529" t="str">
            <v/>
          </cell>
          <cell r="AS529" t="str">
            <v/>
          </cell>
          <cell r="AU529" t="str">
            <v/>
          </cell>
          <cell r="AV529" t="str">
            <v/>
          </cell>
          <cell r="AW529" t="str">
            <v/>
          </cell>
          <cell r="BA529" t="str">
            <v/>
          </cell>
        </row>
        <row r="530">
          <cell r="A530">
            <v>527</v>
          </cell>
          <cell r="C530" t="str">
            <v>February</v>
          </cell>
          <cell r="D530" t="str">
            <v/>
          </cell>
          <cell r="E530" t="str">
            <v/>
          </cell>
          <cell r="F530" t="str">
            <v/>
          </cell>
          <cell r="G530" t="str">
            <v/>
          </cell>
          <cell r="H530" t="str">
            <v/>
          </cell>
          <cell r="AR530" t="str">
            <v/>
          </cell>
          <cell r="AS530" t="str">
            <v/>
          </cell>
          <cell r="AU530" t="str">
            <v/>
          </cell>
          <cell r="AV530" t="str">
            <v/>
          </cell>
          <cell r="AW530" t="str">
            <v/>
          </cell>
          <cell r="BA530" t="str">
            <v/>
          </cell>
        </row>
        <row r="531">
          <cell r="A531">
            <v>528</v>
          </cell>
          <cell r="C531" t="str">
            <v>February</v>
          </cell>
          <cell r="D531" t="str">
            <v/>
          </cell>
          <cell r="E531" t="str">
            <v/>
          </cell>
          <cell r="F531" t="str">
            <v/>
          </cell>
          <cell r="G531" t="str">
            <v/>
          </cell>
          <cell r="H531" t="str">
            <v/>
          </cell>
          <cell r="AR531" t="str">
            <v/>
          </cell>
          <cell r="AS531" t="str">
            <v/>
          </cell>
          <cell r="AU531" t="str">
            <v/>
          </cell>
          <cell r="AV531" t="str">
            <v/>
          </cell>
          <cell r="AW531" t="str">
            <v/>
          </cell>
          <cell r="BA531" t="str">
            <v/>
          </cell>
        </row>
        <row r="532">
          <cell r="A532">
            <v>529</v>
          </cell>
          <cell r="C532" t="str">
            <v>February</v>
          </cell>
          <cell r="D532" t="str">
            <v/>
          </cell>
          <cell r="E532" t="str">
            <v/>
          </cell>
          <cell r="F532" t="str">
            <v/>
          </cell>
          <cell r="G532" t="str">
            <v/>
          </cell>
          <cell r="H532" t="str">
            <v/>
          </cell>
          <cell r="AR532" t="str">
            <v/>
          </cell>
          <cell r="AS532" t="str">
            <v/>
          </cell>
          <cell r="AU532" t="str">
            <v/>
          </cell>
          <cell r="AV532" t="str">
            <v/>
          </cell>
          <cell r="AW532" t="str">
            <v/>
          </cell>
          <cell r="BA532" t="str">
            <v/>
          </cell>
        </row>
        <row r="533">
          <cell r="A533">
            <v>530</v>
          </cell>
          <cell r="C533" t="str">
            <v>February</v>
          </cell>
          <cell r="D533" t="str">
            <v/>
          </cell>
          <cell r="E533" t="str">
            <v/>
          </cell>
          <cell r="F533" t="str">
            <v/>
          </cell>
          <cell r="G533" t="str">
            <v/>
          </cell>
          <cell r="H533" t="str">
            <v/>
          </cell>
          <cell r="AR533" t="str">
            <v/>
          </cell>
          <cell r="AS533" t="str">
            <v/>
          </cell>
          <cell r="AU533" t="str">
            <v/>
          </cell>
          <cell r="AV533" t="str">
            <v/>
          </cell>
          <cell r="AW533" t="str">
            <v/>
          </cell>
          <cell r="BA533" t="str">
            <v/>
          </cell>
        </row>
        <row r="534">
          <cell r="A534">
            <v>531</v>
          </cell>
          <cell r="C534" t="str">
            <v>February</v>
          </cell>
          <cell r="D534" t="str">
            <v/>
          </cell>
          <cell r="E534" t="str">
            <v/>
          </cell>
          <cell r="F534" t="str">
            <v/>
          </cell>
          <cell r="G534" t="str">
            <v/>
          </cell>
          <cell r="H534" t="str">
            <v/>
          </cell>
          <cell r="AR534" t="str">
            <v/>
          </cell>
          <cell r="AS534" t="str">
            <v/>
          </cell>
          <cell r="AU534" t="str">
            <v/>
          </cell>
          <cell r="AV534" t="str">
            <v/>
          </cell>
          <cell r="AW534" t="str">
            <v/>
          </cell>
          <cell r="BA534" t="str">
            <v/>
          </cell>
        </row>
        <row r="535">
          <cell r="A535">
            <v>532</v>
          </cell>
          <cell r="C535" t="str">
            <v>February</v>
          </cell>
          <cell r="D535" t="str">
            <v/>
          </cell>
          <cell r="E535" t="str">
            <v/>
          </cell>
          <cell r="F535" t="str">
            <v/>
          </cell>
          <cell r="G535" t="str">
            <v/>
          </cell>
          <cell r="H535" t="str">
            <v/>
          </cell>
          <cell r="AR535" t="str">
            <v/>
          </cell>
          <cell r="AS535" t="str">
            <v/>
          </cell>
          <cell r="AU535" t="str">
            <v/>
          </cell>
          <cell r="AV535" t="str">
            <v/>
          </cell>
          <cell r="AW535" t="str">
            <v/>
          </cell>
          <cell r="BA535" t="str">
            <v/>
          </cell>
        </row>
        <row r="536">
          <cell r="A536">
            <v>533</v>
          </cell>
          <cell r="C536" t="str">
            <v>February</v>
          </cell>
          <cell r="D536" t="str">
            <v/>
          </cell>
          <cell r="E536" t="str">
            <v/>
          </cell>
          <cell r="F536" t="str">
            <v/>
          </cell>
          <cell r="G536" t="str">
            <v/>
          </cell>
          <cell r="H536" t="str">
            <v/>
          </cell>
          <cell r="AR536" t="str">
            <v/>
          </cell>
          <cell r="AS536" t="str">
            <v/>
          </cell>
          <cell r="AU536" t="str">
            <v/>
          </cell>
          <cell r="AV536" t="str">
            <v/>
          </cell>
          <cell r="AW536" t="str">
            <v/>
          </cell>
          <cell r="BA536" t="str">
            <v/>
          </cell>
        </row>
        <row r="537">
          <cell r="A537">
            <v>534</v>
          </cell>
          <cell r="C537" t="str">
            <v>February</v>
          </cell>
          <cell r="D537" t="str">
            <v/>
          </cell>
          <cell r="E537" t="str">
            <v/>
          </cell>
          <cell r="F537" t="str">
            <v/>
          </cell>
          <cell r="G537" t="str">
            <v/>
          </cell>
          <cell r="H537" t="str">
            <v/>
          </cell>
          <cell r="AR537" t="str">
            <v/>
          </cell>
          <cell r="AS537" t="str">
            <v/>
          </cell>
          <cell r="AU537" t="str">
            <v/>
          </cell>
          <cell r="AV537" t="str">
            <v/>
          </cell>
          <cell r="AW537" t="str">
            <v/>
          </cell>
          <cell r="BA537" t="str">
            <v/>
          </cell>
        </row>
        <row r="538">
          <cell r="A538">
            <v>535</v>
          </cell>
          <cell r="C538" t="str">
            <v>February</v>
          </cell>
          <cell r="D538" t="str">
            <v/>
          </cell>
          <cell r="E538" t="str">
            <v/>
          </cell>
          <cell r="F538" t="str">
            <v/>
          </cell>
          <cell r="G538" t="str">
            <v/>
          </cell>
          <cell r="H538" t="str">
            <v/>
          </cell>
          <cell r="AR538" t="str">
            <v/>
          </cell>
          <cell r="AS538" t="str">
            <v/>
          </cell>
          <cell r="AU538" t="str">
            <v/>
          </cell>
          <cell r="AV538" t="str">
            <v/>
          </cell>
          <cell r="AW538" t="str">
            <v/>
          </cell>
          <cell r="BA538" t="str">
            <v/>
          </cell>
        </row>
        <row r="539">
          <cell r="A539">
            <v>536</v>
          </cell>
          <cell r="C539" t="str">
            <v>February</v>
          </cell>
          <cell r="D539" t="str">
            <v/>
          </cell>
          <cell r="E539" t="str">
            <v/>
          </cell>
          <cell r="F539" t="str">
            <v/>
          </cell>
          <cell r="G539" t="str">
            <v/>
          </cell>
          <cell r="H539" t="str">
            <v/>
          </cell>
          <cell r="AR539" t="str">
            <v/>
          </cell>
          <cell r="AS539" t="str">
            <v/>
          </cell>
          <cell r="AU539" t="str">
            <v/>
          </cell>
          <cell r="AV539" t="str">
            <v/>
          </cell>
          <cell r="AW539" t="str">
            <v/>
          </cell>
          <cell r="BA539" t="str">
            <v/>
          </cell>
        </row>
        <row r="540">
          <cell r="A540">
            <v>537</v>
          </cell>
          <cell r="C540" t="str">
            <v>February</v>
          </cell>
          <cell r="D540" t="str">
            <v/>
          </cell>
          <cell r="E540" t="str">
            <v/>
          </cell>
          <cell r="F540" t="str">
            <v/>
          </cell>
          <cell r="G540" t="str">
            <v/>
          </cell>
          <cell r="H540" t="str">
            <v/>
          </cell>
          <cell r="AR540" t="str">
            <v/>
          </cell>
          <cell r="AS540" t="str">
            <v/>
          </cell>
          <cell r="AU540" t="str">
            <v/>
          </cell>
          <cell r="AV540" t="str">
            <v/>
          </cell>
          <cell r="AW540" t="str">
            <v/>
          </cell>
          <cell r="BA540" t="str">
            <v/>
          </cell>
        </row>
        <row r="541">
          <cell r="A541">
            <v>538</v>
          </cell>
          <cell r="C541" t="str">
            <v>February</v>
          </cell>
          <cell r="D541" t="str">
            <v/>
          </cell>
          <cell r="E541" t="str">
            <v/>
          </cell>
          <cell r="F541" t="str">
            <v/>
          </cell>
          <cell r="G541" t="str">
            <v/>
          </cell>
          <cell r="H541" t="str">
            <v/>
          </cell>
          <cell r="AR541" t="str">
            <v/>
          </cell>
          <cell r="AS541" t="str">
            <v/>
          </cell>
          <cell r="AU541" t="str">
            <v/>
          </cell>
          <cell r="AV541" t="str">
            <v/>
          </cell>
          <cell r="AW541" t="str">
            <v/>
          </cell>
          <cell r="BA541" t="str">
            <v/>
          </cell>
        </row>
        <row r="542">
          <cell r="A542">
            <v>539</v>
          </cell>
          <cell r="C542" t="str">
            <v>February</v>
          </cell>
          <cell r="D542" t="str">
            <v/>
          </cell>
          <cell r="E542" t="str">
            <v/>
          </cell>
          <cell r="F542" t="str">
            <v/>
          </cell>
          <cell r="G542" t="str">
            <v/>
          </cell>
          <cell r="H542" t="str">
            <v/>
          </cell>
          <cell r="AR542" t="str">
            <v/>
          </cell>
          <cell r="AS542" t="str">
            <v/>
          </cell>
          <cell r="AU542" t="str">
            <v/>
          </cell>
          <cell r="AV542" t="str">
            <v/>
          </cell>
          <cell r="AW542" t="str">
            <v/>
          </cell>
          <cell r="BA542" t="str">
            <v/>
          </cell>
        </row>
        <row r="543">
          <cell r="A543">
            <v>540</v>
          </cell>
          <cell r="C543" t="str">
            <v>February</v>
          </cell>
          <cell r="D543" t="str">
            <v/>
          </cell>
          <cell r="E543" t="str">
            <v/>
          </cell>
          <cell r="F543" t="str">
            <v/>
          </cell>
          <cell r="G543" t="str">
            <v/>
          </cell>
          <cell r="H543" t="str">
            <v/>
          </cell>
          <cell r="AR543" t="str">
            <v/>
          </cell>
          <cell r="AS543" t="str">
            <v/>
          </cell>
          <cell r="AU543" t="str">
            <v/>
          </cell>
          <cell r="AV543" t="str">
            <v/>
          </cell>
          <cell r="AW543" t="str">
            <v/>
          </cell>
          <cell r="BA543" t="str">
            <v/>
          </cell>
        </row>
        <row r="544">
          <cell r="A544">
            <v>541</v>
          </cell>
          <cell r="C544" t="str">
            <v>March</v>
          </cell>
          <cell r="D544" t="str">
            <v>122625140006</v>
          </cell>
          <cell r="E544" t="str">
            <v>ACAYAN, ELIJAH DITALO</v>
          </cell>
          <cell r="F544" t="str">
            <v>Male</v>
          </cell>
          <cell r="G544">
            <v>1</v>
          </cell>
          <cell r="H544">
            <v>1</v>
          </cell>
          <cell r="AR544">
            <v>0</v>
          </cell>
          <cell r="AS544">
            <v>21</v>
          </cell>
          <cell r="AU544">
            <v>0</v>
          </cell>
          <cell r="AV544">
            <v>46447</v>
          </cell>
          <cell r="AW544">
            <v>46477</v>
          </cell>
          <cell r="BA544">
            <v>1</v>
          </cell>
        </row>
        <row r="545">
          <cell r="A545">
            <v>542</v>
          </cell>
          <cell r="C545" t="str">
            <v>March</v>
          </cell>
          <cell r="D545" t="str">
            <v>419658160041</v>
          </cell>
          <cell r="E545" t="str">
            <v>ARCILLA, KYLE XANDRE MATUS</v>
          </cell>
          <cell r="F545" t="str">
            <v>Male</v>
          </cell>
          <cell r="G545">
            <v>1</v>
          </cell>
          <cell r="H545">
            <v>1</v>
          </cell>
          <cell r="AR545">
            <v>0</v>
          </cell>
          <cell r="AS545">
            <v>21</v>
          </cell>
          <cell r="AU545">
            <v>0</v>
          </cell>
          <cell r="AV545">
            <v>46447</v>
          </cell>
          <cell r="AW545">
            <v>46477</v>
          </cell>
          <cell r="BA545">
            <v>2</v>
          </cell>
        </row>
        <row r="546">
          <cell r="A546">
            <v>543</v>
          </cell>
          <cell r="C546" t="str">
            <v>March</v>
          </cell>
          <cell r="D546" t="str">
            <v>104015140057</v>
          </cell>
          <cell r="E546" t="str">
            <v>CAPAYAN, DENVER CORPUZ</v>
          </cell>
          <cell r="F546" t="str">
            <v>Male</v>
          </cell>
          <cell r="G546">
            <v>1</v>
          </cell>
          <cell r="H546">
            <v>1</v>
          </cell>
          <cell r="AR546">
            <v>0</v>
          </cell>
          <cell r="AS546">
            <v>21</v>
          </cell>
          <cell r="AU546">
            <v>0</v>
          </cell>
          <cell r="AV546">
            <v>46447</v>
          </cell>
          <cell r="AW546">
            <v>46477</v>
          </cell>
          <cell r="BA546">
            <v>3</v>
          </cell>
        </row>
        <row r="547">
          <cell r="A547">
            <v>544</v>
          </cell>
          <cell r="C547" t="str">
            <v>March</v>
          </cell>
          <cell r="D547" t="str">
            <v>107023140026</v>
          </cell>
          <cell r="E547" t="str">
            <v>DOMINGO, FRYNNS LIAM ATIENZA</v>
          </cell>
          <cell r="F547" t="str">
            <v>Male</v>
          </cell>
          <cell r="G547">
            <v>1</v>
          </cell>
          <cell r="H547">
            <v>1</v>
          </cell>
          <cell r="AR547">
            <v>0</v>
          </cell>
          <cell r="AS547">
            <v>21</v>
          </cell>
          <cell r="AU547">
            <v>0</v>
          </cell>
          <cell r="AV547">
            <v>46447</v>
          </cell>
          <cell r="AW547">
            <v>46477</v>
          </cell>
          <cell r="BA547">
            <v>4</v>
          </cell>
        </row>
        <row r="548">
          <cell r="A548">
            <v>545</v>
          </cell>
          <cell r="C548" t="str">
            <v>March</v>
          </cell>
          <cell r="D548" t="str">
            <v>110347140023</v>
          </cell>
          <cell r="E548" t="str">
            <v>DUMADALUG, JAMES DIZON</v>
          </cell>
          <cell r="F548" t="str">
            <v>Male</v>
          </cell>
          <cell r="G548">
            <v>1</v>
          </cell>
          <cell r="H548">
            <v>1</v>
          </cell>
          <cell r="AR548">
            <v>0</v>
          </cell>
          <cell r="AS548">
            <v>21</v>
          </cell>
          <cell r="AU548">
            <v>0</v>
          </cell>
          <cell r="AV548">
            <v>46447</v>
          </cell>
          <cell r="AW548">
            <v>46477</v>
          </cell>
          <cell r="BA548">
            <v>5</v>
          </cell>
        </row>
        <row r="549">
          <cell r="A549">
            <v>546</v>
          </cell>
          <cell r="C549" t="str">
            <v>March</v>
          </cell>
          <cell r="D549" t="str">
            <v>107031140010</v>
          </cell>
          <cell r="E549" t="str">
            <v>GARCIA, KIRK NATHAN BOLSICO</v>
          </cell>
          <cell r="F549" t="str">
            <v>Male</v>
          </cell>
          <cell r="G549">
            <v>1</v>
          </cell>
          <cell r="H549">
            <v>1</v>
          </cell>
          <cell r="AR549">
            <v>0</v>
          </cell>
          <cell r="AS549">
            <v>21</v>
          </cell>
          <cell r="AU549">
            <v>0</v>
          </cell>
          <cell r="AV549">
            <v>46447</v>
          </cell>
          <cell r="AW549">
            <v>46477</v>
          </cell>
          <cell r="BA549">
            <v>6</v>
          </cell>
        </row>
        <row r="550">
          <cell r="A550">
            <v>547</v>
          </cell>
          <cell r="C550" t="str">
            <v>March</v>
          </cell>
          <cell r="D550" t="str">
            <v>107061140477</v>
          </cell>
          <cell r="E550" t="str">
            <v>GUEVARRA, SEAD SYRON CORPUZ</v>
          </cell>
          <cell r="F550" t="str">
            <v>Male</v>
          </cell>
          <cell r="G550">
            <v>1</v>
          </cell>
          <cell r="H550">
            <v>1</v>
          </cell>
          <cell r="AR550">
            <v>0</v>
          </cell>
          <cell r="AS550">
            <v>21</v>
          </cell>
          <cell r="AU550">
            <v>0</v>
          </cell>
          <cell r="AV550">
            <v>46447</v>
          </cell>
          <cell r="AW550">
            <v>46477</v>
          </cell>
          <cell r="BA550">
            <v>7</v>
          </cell>
        </row>
        <row r="551">
          <cell r="A551">
            <v>548</v>
          </cell>
          <cell r="C551" t="str">
            <v>March</v>
          </cell>
          <cell r="D551" t="str">
            <v>133624150052</v>
          </cell>
          <cell r="E551" t="str">
            <v>MACAPANTON, ALIMAN SULTAN</v>
          </cell>
          <cell r="F551" t="str">
            <v>Male</v>
          </cell>
          <cell r="G551">
            <v>1</v>
          </cell>
          <cell r="H551">
            <v>1</v>
          </cell>
          <cell r="AR551">
            <v>0</v>
          </cell>
          <cell r="AS551">
            <v>21</v>
          </cell>
          <cell r="AU551">
            <v>0</v>
          </cell>
          <cell r="AV551">
            <v>46447</v>
          </cell>
          <cell r="AW551">
            <v>46477</v>
          </cell>
          <cell r="BA551">
            <v>8</v>
          </cell>
        </row>
        <row r="552">
          <cell r="A552">
            <v>549</v>
          </cell>
          <cell r="C552" t="str">
            <v>March</v>
          </cell>
          <cell r="D552" t="str">
            <v>107027140164</v>
          </cell>
          <cell r="E552" t="str">
            <v>MEJIA, FRANCIS KHIAN LLARENA</v>
          </cell>
          <cell r="F552" t="str">
            <v>Male</v>
          </cell>
          <cell r="G552">
            <v>1</v>
          </cell>
          <cell r="H552">
            <v>1</v>
          </cell>
          <cell r="AR552">
            <v>0</v>
          </cell>
          <cell r="AS552">
            <v>21</v>
          </cell>
          <cell r="AU552">
            <v>0</v>
          </cell>
          <cell r="AV552">
            <v>46447</v>
          </cell>
          <cell r="AW552">
            <v>46477</v>
          </cell>
          <cell r="BA552">
            <v>9</v>
          </cell>
        </row>
        <row r="553">
          <cell r="A553">
            <v>550</v>
          </cell>
          <cell r="C553" t="str">
            <v>March</v>
          </cell>
          <cell r="D553" t="str">
            <v>107185140032</v>
          </cell>
          <cell r="E553" t="str">
            <v>NERI, GABRIEL BRIONES</v>
          </cell>
          <cell r="F553" t="str">
            <v>Male</v>
          </cell>
          <cell r="G553">
            <v>1</v>
          </cell>
          <cell r="H553">
            <v>1</v>
          </cell>
          <cell r="AR553">
            <v>0</v>
          </cell>
          <cell r="AS553">
            <v>21</v>
          </cell>
          <cell r="AU553">
            <v>0</v>
          </cell>
          <cell r="AV553">
            <v>46447</v>
          </cell>
          <cell r="AW553">
            <v>46477</v>
          </cell>
          <cell r="BA553">
            <v>10</v>
          </cell>
        </row>
        <row r="554">
          <cell r="A554">
            <v>551</v>
          </cell>
          <cell r="C554" t="str">
            <v>March</v>
          </cell>
          <cell r="D554" t="str">
            <v>107057130479</v>
          </cell>
          <cell r="E554" t="str">
            <v>PAYABYAB, SHELTER RAIN ALEJANDRO</v>
          </cell>
          <cell r="F554" t="str">
            <v>Male</v>
          </cell>
          <cell r="G554">
            <v>1</v>
          </cell>
          <cell r="H554">
            <v>1</v>
          </cell>
          <cell r="AR554">
            <v>0</v>
          </cell>
          <cell r="AS554">
            <v>21</v>
          </cell>
          <cell r="AU554">
            <v>0</v>
          </cell>
          <cell r="AV554">
            <v>46447</v>
          </cell>
          <cell r="AW554">
            <v>46477</v>
          </cell>
          <cell r="BA554">
            <v>11</v>
          </cell>
        </row>
        <row r="555">
          <cell r="A555">
            <v>552</v>
          </cell>
          <cell r="C555" t="str">
            <v>March</v>
          </cell>
          <cell r="D555" t="str">
            <v>113420140126</v>
          </cell>
          <cell r="E555" t="str">
            <v>RAMIREZ, RENCES DWANE RAMONES</v>
          </cell>
          <cell r="F555" t="str">
            <v>Male</v>
          </cell>
          <cell r="G555">
            <v>1</v>
          </cell>
          <cell r="H555">
            <v>1</v>
          </cell>
          <cell r="AR555">
            <v>0</v>
          </cell>
          <cell r="AS555">
            <v>21</v>
          </cell>
          <cell r="AU555">
            <v>0</v>
          </cell>
          <cell r="AV555">
            <v>46447</v>
          </cell>
          <cell r="AW555">
            <v>46477</v>
          </cell>
          <cell r="BA555">
            <v>12</v>
          </cell>
        </row>
        <row r="556">
          <cell r="A556">
            <v>553</v>
          </cell>
          <cell r="C556" t="str">
            <v>March</v>
          </cell>
          <cell r="D556" t="str">
            <v>107048150273</v>
          </cell>
          <cell r="E556" t="str">
            <v>SUGAY, ASHTON GUTIERREZ</v>
          </cell>
          <cell r="F556" t="str">
            <v>Male</v>
          </cell>
          <cell r="G556">
            <v>1</v>
          </cell>
          <cell r="H556">
            <v>1</v>
          </cell>
          <cell r="AR556">
            <v>0</v>
          </cell>
          <cell r="AS556">
            <v>21</v>
          </cell>
          <cell r="AU556">
            <v>0</v>
          </cell>
          <cell r="AV556">
            <v>46447</v>
          </cell>
          <cell r="AW556">
            <v>46477</v>
          </cell>
          <cell r="BA556">
            <v>13</v>
          </cell>
        </row>
        <row r="557">
          <cell r="A557">
            <v>554</v>
          </cell>
          <cell r="C557" t="str">
            <v>March</v>
          </cell>
          <cell r="D557">
            <v>107032140054</v>
          </cell>
          <cell r="E557" t="str">
            <v>SANTIAGO, JARED ALBERTH BARREDA</v>
          </cell>
          <cell r="F557" t="str">
            <v>Male</v>
          </cell>
          <cell r="G557">
            <v>1</v>
          </cell>
          <cell r="H557">
            <v>1</v>
          </cell>
          <cell r="AR557">
            <v>0</v>
          </cell>
          <cell r="AS557">
            <v>21</v>
          </cell>
          <cell r="AU557">
            <v>0</v>
          </cell>
          <cell r="AV557">
            <v>46447</v>
          </cell>
          <cell r="AW557">
            <v>46477</v>
          </cell>
          <cell r="BA557">
            <v>14</v>
          </cell>
        </row>
        <row r="558">
          <cell r="A558">
            <v>555</v>
          </cell>
          <cell r="C558" t="str">
            <v>March</v>
          </cell>
          <cell r="D558" t="str">
            <v>122379140033</v>
          </cell>
          <cell r="E558" t="str">
            <v>ACAYAN, HANNAH NICOLE COSTUNA</v>
          </cell>
          <cell r="F558" t="str">
            <v>Female</v>
          </cell>
          <cell r="G558">
            <v>1</v>
          </cell>
          <cell r="H558">
            <v>1</v>
          </cell>
          <cell r="AR558">
            <v>0</v>
          </cell>
          <cell r="AS558">
            <v>21</v>
          </cell>
          <cell r="AU558">
            <v>0</v>
          </cell>
          <cell r="AV558">
            <v>46447</v>
          </cell>
          <cell r="AW558">
            <v>46477</v>
          </cell>
          <cell r="BA558">
            <v>1</v>
          </cell>
        </row>
        <row r="559">
          <cell r="A559">
            <v>556</v>
          </cell>
          <cell r="C559" t="str">
            <v>March</v>
          </cell>
          <cell r="D559" t="str">
            <v>107041140509</v>
          </cell>
          <cell r="E559" t="str">
            <v>AREÑEZ, FRANCHESKA OCAMPO</v>
          </cell>
          <cell r="F559" t="str">
            <v>Female</v>
          </cell>
          <cell r="G559">
            <v>1</v>
          </cell>
          <cell r="H559">
            <v>1</v>
          </cell>
          <cell r="AR559">
            <v>0</v>
          </cell>
          <cell r="AS559">
            <v>21</v>
          </cell>
          <cell r="AU559">
            <v>0</v>
          </cell>
          <cell r="AV559">
            <v>46447</v>
          </cell>
          <cell r="AW559">
            <v>46477</v>
          </cell>
          <cell r="BA559">
            <v>2</v>
          </cell>
        </row>
        <row r="560">
          <cell r="A560">
            <v>557</v>
          </cell>
          <cell r="C560" t="str">
            <v>March</v>
          </cell>
          <cell r="D560" t="str">
            <v>159547140065</v>
          </cell>
          <cell r="E560" t="str">
            <v>BALUCANAG, CHLOE LIAN GALINO</v>
          </cell>
          <cell r="F560" t="str">
            <v>Female</v>
          </cell>
          <cell r="G560">
            <v>1</v>
          </cell>
          <cell r="H560">
            <v>1</v>
          </cell>
          <cell r="AR560">
            <v>0</v>
          </cell>
          <cell r="AS560">
            <v>21</v>
          </cell>
          <cell r="AU560">
            <v>0</v>
          </cell>
          <cell r="AV560">
            <v>46447</v>
          </cell>
          <cell r="AW560">
            <v>46477</v>
          </cell>
          <cell r="BA560">
            <v>3</v>
          </cell>
        </row>
        <row r="561">
          <cell r="A561">
            <v>558</v>
          </cell>
          <cell r="C561" t="str">
            <v>March</v>
          </cell>
          <cell r="D561" t="str">
            <v>107022140163</v>
          </cell>
          <cell r="E561" t="str">
            <v>BIE, JOHN RAIN MAGTOTO</v>
          </cell>
          <cell r="F561" t="str">
            <v>Female</v>
          </cell>
          <cell r="G561">
            <v>1</v>
          </cell>
          <cell r="H561">
            <v>1</v>
          </cell>
          <cell r="AR561">
            <v>0</v>
          </cell>
          <cell r="AS561">
            <v>21</v>
          </cell>
          <cell r="AU561">
            <v>0</v>
          </cell>
          <cell r="AV561">
            <v>46447</v>
          </cell>
          <cell r="AW561">
            <v>46477</v>
          </cell>
          <cell r="BA561">
            <v>4</v>
          </cell>
        </row>
        <row r="562">
          <cell r="A562">
            <v>559</v>
          </cell>
          <cell r="C562" t="str">
            <v>March</v>
          </cell>
          <cell r="D562" t="str">
            <v>105935140024</v>
          </cell>
          <cell r="E562" t="str">
            <v>DAVID, ASHLEY LAPUZ</v>
          </cell>
          <cell r="F562" t="str">
            <v>Female</v>
          </cell>
          <cell r="G562">
            <v>1</v>
          </cell>
          <cell r="H562">
            <v>1</v>
          </cell>
          <cell r="AR562">
            <v>0</v>
          </cell>
          <cell r="AS562">
            <v>21</v>
          </cell>
          <cell r="AU562">
            <v>0</v>
          </cell>
          <cell r="AV562">
            <v>46447</v>
          </cell>
          <cell r="AW562">
            <v>46477</v>
          </cell>
          <cell r="BA562">
            <v>5</v>
          </cell>
        </row>
        <row r="563">
          <cell r="A563">
            <v>560</v>
          </cell>
          <cell r="C563" t="str">
            <v>March</v>
          </cell>
          <cell r="D563" t="str">
            <v>106066150025</v>
          </cell>
          <cell r="E563" t="str">
            <v>FLORES, THEA MARIE LUMUYA</v>
          </cell>
          <cell r="F563" t="str">
            <v>Female</v>
          </cell>
          <cell r="G563">
            <v>1</v>
          </cell>
          <cell r="H563">
            <v>1</v>
          </cell>
          <cell r="AR563">
            <v>0</v>
          </cell>
          <cell r="AS563">
            <v>21</v>
          </cell>
          <cell r="AU563">
            <v>0</v>
          </cell>
          <cell r="AV563">
            <v>46447</v>
          </cell>
          <cell r="AW563">
            <v>46477</v>
          </cell>
          <cell r="BA563">
            <v>6</v>
          </cell>
        </row>
        <row r="564">
          <cell r="A564">
            <v>561</v>
          </cell>
          <cell r="C564" t="str">
            <v>March</v>
          </cell>
          <cell r="D564" t="str">
            <v>107032140061</v>
          </cell>
          <cell r="E564" t="str">
            <v>INGAL, SHAINA KYLE PINEDA</v>
          </cell>
          <cell r="F564" t="str">
            <v>Female</v>
          </cell>
          <cell r="G564">
            <v>1</v>
          </cell>
          <cell r="H564">
            <v>1</v>
          </cell>
          <cell r="AR564">
            <v>0</v>
          </cell>
          <cell r="AS564">
            <v>21</v>
          </cell>
          <cell r="AU564">
            <v>0</v>
          </cell>
          <cell r="AV564">
            <v>46447</v>
          </cell>
          <cell r="AW564">
            <v>46477</v>
          </cell>
          <cell r="BA564">
            <v>7</v>
          </cell>
        </row>
        <row r="565">
          <cell r="A565">
            <v>562</v>
          </cell>
          <cell r="C565" t="str">
            <v>March</v>
          </cell>
          <cell r="D565">
            <v>106072140070</v>
          </cell>
          <cell r="E565" t="str">
            <v>MACAPODI, AINA MANGUNTAWAR</v>
          </cell>
          <cell r="F565" t="str">
            <v>Female</v>
          </cell>
          <cell r="G565">
            <v>1</v>
          </cell>
          <cell r="H565">
            <v>1</v>
          </cell>
          <cell r="AR565">
            <v>0</v>
          </cell>
          <cell r="AS565">
            <v>21</v>
          </cell>
          <cell r="AU565">
            <v>0</v>
          </cell>
          <cell r="AV565">
            <v>46447</v>
          </cell>
          <cell r="AW565">
            <v>46477</v>
          </cell>
          <cell r="BA565">
            <v>8</v>
          </cell>
        </row>
        <row r="566">
          <cell r="A566">
            <v>563</v>
          </cell>
          <cell r="C566" t="str">
            <v>March</v>
          </cell>
          <cell r="D566" t="str">
            <v>136634150917</v>
          </cell>
          <cell r="E566" t="str">
            <v>MIPAMPANG, RASHEDA BASCARA</v>
          </cell>
          <cell r="F566" t="str">
            <v>Female</v>
          </cell>
          <cell r="G566">
            <v>1</v>
          </cell>
          <cell r="H566">
            <v>1</v>
          </cell>
          <cell r="AR566">
            <v>0</v>
          </cell>
          <cell r="AS566">
            <v>21</v>
          </cell>
          <cell r="AU566">
            <v>0</v>
          </cell>
          <cell r="AV566">
            <v>46447</v>
          </cell>
          <cell r="AW566">
            <v>46477</v>
          </cell>
          <cell r="BA566">
            <v>9</v>
          </cell>
        </row>
        <row r="567">
          <cell r="A567">
            <v>564</v>
          </cell>
          <cell r="C567" t="str">
            <v>March</v>
          </cell>
          <cell r="D567" t="str">
            <v>107028140103</v>
          </cell>
          <cell r="E567" t="str">
            <v>TAYSON, DANIELLE MAE PANES</v>
          </cell>
          <cell r="F567" t="str">
            <v>Female</v>
          </cell>
          <cell r="G567">
            <v>1</v>
          </cell>
          <cell r="H567">
            <v>1</v>
          </cell>
          <cell r="AR567">
            <v>0</v>
          </cell>
          <cell r="AS567">
            <v>21</v>
          </cell>
          <cell r="AU567">
            <v>0</v>
          </cell>
          <cell r="AV567">
            <v>46447</v>
          </cell>
          <cell r="AW567">
            <v>46477</v>
          </cell>
          <cell r="BA567">
            <v>10</v>
          </cell>
        </row>
        <row r="568">
          <cell r="A568">
            <v>565</v>
          </cell>
          <cell r="C568" t="str">
            <v>March</v>
          </cell>
          <cell r="D568">
            <v>105205140016</v>
          </cell>
          <cell r="E568" t="str">
            <v>FAJARDO, PRINCE DANIEL RODAJE</v>
          </cell>
          <cell r="F568" t="str">
            <v>Female</v>
          </cell>
          <cell r="G568">
            <v>1</v>
          </cell>
          <cell r="H568">
            <v>1</v>
          </cell>
          <cell r="AR568">
            <v>0</v>
          </cell>
          <cell r="AS568">
            <v>21</v>
          </cell>
          <cell r="AU568">
            <v>0</v>
          </cell>
          <cell r="AV568">
            <v>46447</v>
          </cell>
          <cell r="AW568">
            <v>46477</v>
          </cell>
          <cell r="BA568">
            <v>11</v>
          </cell>
        </row>
        <row r="569">
          <cell r="A569">
            <v>566</v>
          </cell>
          <cell r="C569" t="str">
            <v>March</v>
          </cell>
          <cell r="D569" t="str">
            <v/>
          </cell>
          <cell r="E569" t="str">
            <v/>
          </cell>
          <cell r="F569" t="str">
            <v/>
          </cell>
          <cell r="G569" t="str">
            <v/>
          </cell>
          <cell r="H569" t="str">
            <v/>
          </cell>
          <cell r="AR569" t="str">
            <v/>
          </cell>
          <cell r="AS569" t="str">
            <v/>
          </cell>
          <cell r="AU569" t="str">
            <v/>
          </cell>
          <cell r="AV569" t="str">
            <v/>
          </cell>
          <cell r="AW569" t="str">
            <v/>
          </cell>
          <cell r="BA569" t="str">
            <v/>
          </cell>
        </row>
        <row r="570">
          <cell r="A570">
            <v>567</v>
          </cell>
          <cell r="C570" t="str">
            <v>March</v>
          </cell>
          <cell r="D570" t="str">
            <v/>
          </cell>
          <cell r="E570" t="str">
            <v/>
          </cell>
          <cell r="F570" t="str">
            <v/>
          </cell>
          <cell r="G570" t="str">
            <v/>
          </cell>
          <cell r="H570" t="str">
            <v/>
          </cell>
          <cell r="AR570" t="str">
            <v/>
          </cell>
          <cell r="AS570" t="str">
            <v/>
          </cell>
          <cell r="AU570" t="str">
            <v/>
          </cell>
          <cell r="AV570" t="str">
            <v/>
          </cell>
          <cell r="AW570" t="str">
            <v/>
          </cell>
          <cell r="BA570" t="str">
            <v/>
          </cell>
        </row>
        <row r="571">
          <cell r="A571">
            <v>568</v>
          </cell>
          <cell r="C571" t="str">
            <v>March</v>
          </cell>
          <cell r="D571" t="str">
            <v/>
          </cell>
          <cell r="E571" t="str">
            <v/>
          </cell>
          <cell r="F571" t="str">
            <v/>
          </cell>
          <cell r="G571" t="str">
            <v/>
          </cell>
          <cell r="H571" t="str">
            <v/>
          </cell>
          <cell r="AR571" t="str">
            <v/>
          </cell>
          <cell r="AS571" t="str">
            <v/>
          </cell>
          <cell r="AU571" t="str">
            <v/>
          </cell>
          <cell r="AV571" t="str">
            <v/>
          </cell>
          <cell r="AW571" t="str">
            <v/>
          </cell>
          <cell r="BA571" t="str">
            <v/>
          </cell>
        </row>
        <row r="572">
          <cell r="A572">
            <v>569</v>
          </cell>
          <cell r="C572" t="str">
            <v>March</v>
          </cell>
          <cell r="D572" t="str">
            <v/>
          </cell>
          <cell r="E572" t="str">
            <v/>
          </cell>
          <cell r="F572" t="str">
            <v/>
          </cell>
          <cell r="G572" t="str">
            <v/>
          </cell>
          <cell r="H572" t="str">
            <v/>
          </cell>
          <cell r="AR572" t="str">
            <v/>
          </cell>
          <cell r="AS572" t="str">
            <v/>
          </cell>
          <cell r="AU572" t="str">
            <v/>
          </cell>
          <cell r="AV572" t="str">
            <v/>
          </cell>
          <cell r="AW572" t="str">
            <v/>
          </cell>
          <cell r="BA572" t="str">
            <v/>
          </cell>
        </row>
        <row r="573">
          <cell r="A573">
            <v>570</v>
          </cell>
          <cell r="C573" t="str">
            <v>March</v>
          </cell>
          <cell r="D573" t="str">
            <v/>
          </cell>
          <cell r="E573" t="str">
            <v/>
          </cell>
          <cell r="F573" t="str">
            <v/>
          </cell>
          <cell r="G573" t="str">
            <v/>
          </cell>
          <cell r="H573" t="str">
            <v/>
          </cell>
          <cell r="AR573" t="str">
            <v/>
          </cell>
          <cell r="AS573" t="str">
            <v/>
          </cell>
          <cell r="AU573" t="str">
            <v/>
          </cell>
          <cell r="AV573" t="str">
            <v/>
          </cell>
          <cell r="AW573" t="str">
            <v/>
          </cell>
          <cell r="BA573" t="str">
            <v/>
          </cell>
        </row>
        <row r="574">
          <cell r="A574">
            <v>571</v>
          </cell>
          <cell r="C574" t="str">
            <v>March</v>
          </cell>
          <cell r="D574" t="str">
            <v/>
          </cell>
          <cell r="E574" t="str">
            <v/>
          </cell>
          <cell r="F574" t="str">
            <v/>
          </cell>
          <cell r="G574" t="str">
            <v/>
          </cell>
          <cell r="H574" t="str">
            <v/>
          </cell>
          <cell r="AR574" t="str">
            <v/>
          </cell>
          <cell r="AS574" t="str">
            <v/>
          </cell>
          <cell r="AU574" t="str">
            <v/>
          </cell>
          <cell r="AV574" t="str">
            <v/>
          </cell>
          <cell r="AW574" t="str">
            <v/>
          </cell>
          <cell r="BA574" t="str">
            <v/>
          </cell>
        </row>
        <row r="575">
          <cell r="A575">
            <v>572</v>
          </cell>
          <cell r="C575" t="str">
            <v>March</v>
          </cell>
          <cell r="D575" t="str">
            <v/>
          </cell>
          <cell r="E575" t="str">
            <v/>
          </cell>
          <cell r="F575" t="str">
            <v/>
          </cell>
          <cell r="G575" t="str">
            <v/>
          </cell>
          <cell r="H575" t="str">
            <v/>
          </cell>
          <cell r="AR575" t="str">
            <v/>
          </cell>
          <cell r="AS575" t="str">
            <v/>
          </cell>
          <cell r="AU575" t="str">
            <v/>
          </cell>
          <cell r="AV575" t="str">
            <v/>
          </cell>
          <cell r="AW575" t="str">
            <v/>
          </cell>
          <cell r="BA575" t="str">
            <v/>
          </cell>
        </row>
        <row r="576">
          <cell r="A576">
            <v>573</v>
          </cell>
          <cell r="C576" t="str">
            <v>March</v>
          </cell>
          <cell r="D576" t="str">
            <v/>
          </cell>
          <cell r="E576" t="str">
            <v/>
          </cell>
          <cell r="F576" t="str">
            <v/>
          </cell>
          <cell r="G576" t="str">
            <v/>
          </cell>
          <cell r="H576" t="str">
            <v/>
          </cell>
          <cell r="AR576" t="str">
            <v/>
          </cell>
          <cell r="AS576" t="str">
            <v/>
          </cell>
          <cell r="AU576" t="str">
            <v/>
          </cell>
          <cell r="AV576" t="str">
            <v/>
          </cell>
          <cell r="AW576" t="str">
            <v/>
          </cell>
          <cell r="BA576" t="str">
            <v/>
          </cell>
        </row>
        <row r="577">
          <cell r="A577">
            <v>574</v>
          </cell>
          <cell r="C577" t="str">
            <v>March</v>
          </cell>
          <cell r="D577" t="str">
            <v/>
          </cell>
          <cell r="E577" t="str">
            <v/>
          </cell>
          <cell r="F577" t="str">
            <v/>
          </cell>
          <cell r="G577" t="str">
            <v/>
          </cell>
          <cell r="H577" t="str">
            <v/>
          </cell>
          <cell r="AR577" t="str">
            <v/>
          </cell>
          <cell r="AS577" t="str">
            <v/>
          </cell>
          <cell r="AU577" t="str">
            <v/>
          </cell>
          <cell r="AV577" t="str">
            <v/>
          </cell>
          <cell r="AW577" t="str">
            <v/>
          </cell>
          <cell r="BA577" t="str">
            <v/>
          </cell>
        </row>
        <row r="578">
          <cell r="A578">
            <v>575</v>
          </cell>
          <cell r="C578" t="str">
            <v>March</v>
          </cell>
          <cell r="D578" t="str">
            <v/>
          </cell>
          <cell r="E578" t="str">
            <v/>
          </cell>
          <cell r="F578" t="str">
            <v/>
          </cell>
          <cell r="G578" t="str">
            <v/>
          </cell>
          <cell r="H578" t="str">
            <v/>
          </cell>
          <cell r="AR578" t="str">
            <v/>
          </cell>
          <cell r="AS578" t="str">
            <v/>
          </cell>
          <cell r="AU578" t="str">
            <v/>
          </cell>
          <cell r="AV578" t="str">
            <v/>
          </cell>
          <cell r="AW578" t="str">
            <v/>
          </cell>
          <cell r="BA578" t="str">
            <v/>
          </cell>
        </row>
        <row r="579">
          <cell r="A579">
            <v>576</v>
          </cell>
          <cell r="C579" t="str">
            <v>March</v>
          </cell>
          <cell r="D579" t="str">
            <v/>
          </cell>
          <cell r="E579" t="str">
            <v/>
          </cell>
          <cell r="F579" t="str">
            <v/>
          </cell>
          <cell r="G579" t="str">
            <v/>
          </cell>
          <cell r="H579" t="str">
            <v/>
          </cell>
          <cell r="AR579" t="str">
            <v/>
          </cell>
          <cell r="AS579" t="str">
            <v/>
          </cell>
          <cell r="AU579" t="str">
            <v/>
          </cell>
          <cell r="AV579" t="str">
            <v/>
          </cell>
          <cell r="AW579" t="str">
            <v/>
          </cell>
          <cell r="BA579" t="str">
            <v/>
          </cell>
        </row>
        <row r="580">
          <cell r="A580">
            <v>577</v>
          </cell>
          <cell r="C580" t="str">
            <v>March</v>
          </cell>
          <cell r="D580" t="str">
            <v/>
          </cell>
          <cell r="E580" t="str">
            <v/>
          </cell>
          <cell r="F580" t="str">
            <v/>
          </cell>
          <cell r="G580" t="str">
            <v/>
          </cell>
          <cell r="H580" t="str">
            <v/>
          </cell>
          <cell r="AR580" t="str">
            <v/>
          </cell>
          <cell r="AS580" t="str">
            <v/>
          </cell>
          <cell r="AU580" t="str">
            <v/>
          </cell>
          <cell r="AV580" t="str">
            <v/>
          </cell>
          <cell r="AW580" t="str">
            <v/>
          </cell>
          <cell r="BA580" t="str">
            <v/>
          </cell>
        </row>
        <row r="581">
          <cell r="A581">
            <v>578</v>
          </cell>
          <cell r="C581" t="str">
            <v>March</v>
          </cell>
          <cell r="D581" t="str">
            <v/>
          </cell>
          <cell r="E581" t="str">
            <v/>
          </cell>
          <cell r="F581" t="str">
            <v/>
          </cell>
          <cell r="G581" t="str">
            <v/>
          </cell>
          <cell r="H581" t="str">
            <v/>
          </cell>
          <cell r="AR581" t="str">
            <v/>
          </cell>
          <cell r="AS581" t="str">
            <v/>
          </cell>
          <cell r="AU581" t="str">
            <v/>
          </cell>
          <cell r="AV581" t="str">
            <v/>
          </cell>
          <cell r="AW581" t="str">
            <v/>
          </cell>
          <cell r="BA581" t="str">
            <v/>
          </cell>
        </row>
        <row r="582">
          <cell r="A582">
            <v>579</v>
          </cell>
          <cell r="C582" t="str">
            <v>March</v>
          </cell>
          <cell r="D582" t="str">
            <v/>
          </cell>
          <cell r="E582" t="str">
            <v/>
          </cell>
          <cell r="F582" t="str">
            <v/>
          </cell>
          <cell r="G582" t="str">
            <v/>
          </cell>
          <cell r="H582" t="str">
            <v/>
          </cell>
          <cell r="AR582" t="str">
            <v/>
          </cell>
          <cell r="AS582" t="str">
            <v/>
          </cell>
          <cell r="AU582" t="str">
            <v/>
          </cell>
          <cell r="AV582" t="str">
            <v/>
          </cell>
          <cell r="AW582" t="str">
            <v/>
          </cell>
          <cell r="BA582" t="str">
            <v/>
          </cell>
        </row>
        <row r="583">
          <cell r="A583">
            <v>580</v>
          </cell>
          <cell r="C583" t="str">
            <v>March</v>
          </cell>
          <cell r="D583" t="str">
            <v/>
          </cell>
          <cell r="E583" t="str">
            <v/>
          </cell>
          <cell r="F583" t="str">
            <v/>
          </cell>
          <cell r="G583" t="str">
            <v/>
          </cell>
          <cell r="H583" t="str">
            <v/>
          </cell>
          <cell r="AR583" t="str">
            <v/>
          </cell>
          <cell r="AS583" t="str">
            <v/>
          </cell>
          <cell r="AU583" t="str">
            <v/>
          </cell>
          <cell r="AV583" t="str">
            <v/>
          </cell>
          <cell r="AW583" t="str">
            <v/>
          </cell>
          <cell r="BA583" t="str">
            <v/>
          </cell>
        </row>
        <row r="584">
          <cell r="A584">
            <v>581</v>
          </cell>
          <cell r="C584" t="str">
            <v>March</v>
          </cell>
          <cell r="D584" t="str">
            <v/>
          </cell>
          <cell r="E584" t="str">
            <v/>
          </cell>
          <cell r="F584" t="str">
            <v/>
          </cell>
          <cell r="G584" t="str">
            <v/>
          </cell>
          <cell r="H584" t="str">
            <v/>
          </cell>
          <cell r="AR584" t="str">
            <v/>
          </cell>
          <cell r="AS584" t="str">
            <v/>
          </cell>
          <cell r="AU584" t="str">
            <v/>
          </cell>
          <cell r="AV584" t="str">
            <v/>
          </cell>
          <cell r="AW584" t="str">
            <v/>
          </cell>
          <cell r="BA584" t="str">
            <v/>
          </cell>
        </row>
        <row r="585">
          <cell r="A585">
            <v>582</v>
          </cell>
          <cell r="C585" t="str">
            <v>March</v>
          </cell>
          <cell r="D585" t="str">
            <v/>
          </cell>
          <cell r="E585" t="str">
            <v/>
          </cell>
          <cell r="F585" t="str">
            <v/>
          </cell>
          <cell r="G585" t="str">
            <v/>
          </cell>
          <cell r="H585" t="str">
            <v/>
          </cell>
          <cell r="AR585" t="str">
            <v/>
          </cell>
          <cell r="AS585" t="str">
            <v/>
          </cell>
          <cell r="AU585" t="str">
            <v/>
          </cell>
          <cell r="AV585" t="str">
            <v/>
          </cell>
          <cell r="AW585" t="str">
            <v/>
          </cell>
          <cell r="BA585" t="str">
            <v/>
          </cell>
        </row>
        <row r="586">
          <cell r="A586">
            <v>583</v>
          </cell>
          <cell r="C586" t="str">
            <v>March</v>
          </cell>
          <cell r="D586" t="str">
            <v/>
          </cell>
          <cell r="E586" t="str">
            <v/>
          </cell>
          <cell r="F586" t="str">
            <v/>
          </cell>
          <cell r="G586" t="str">
            <v/>
          </cell>
          <cell r="H586" t="str">
            <v/>
          </cell>
          <cell r="AR586" t="str">
            <v/>
          </cell>
          <cell r="AS586" t="str">
            <v/>
          </cell>
          <cell r="AU586" t="str">
            <v/>
          </cell>
          <cell r="AV586" t="str">
            <v/>
          </cell>
          <cell r="AW586" t="str">
            <v/>
          </cell>
          <cell r="BA586" t="str">
            <v/>
          </cell>
        </row>
        <row r="587">
          <cell r="A587">
            <v>584</v>
          </cell>
          <cell r="C587" t="str">
            <v>March</v>
          </cell>
          <cell r="D587" t="str">
            <v/>
          </cell>
          <cell r="E587" t="str">
            <v/>
          </cell>
          <cell r="F587" t="str">
            <v/>
          </cell>
          <cell r="G587" t="str">
            <v/>
          </cell>
          <cell r="H587" t="str">
            <v/>
          </cell>
          <cell r="AR587" t="str">
            <v/>
          </cell>
          <cell r="AS587" t="str">
            <v/>
          </cell>
          <cell r="AU587" t="str">
            <v/>
          </cell>
          <cell r="AV587" t="str">
            <v/>
          </cell>
          <cell r="AW587" t="str">
            <v/>
          </cell>
          <cell r="BA587" t="str">
            <v/>
          </cell>
        </row>
        <row r="588">
          <cell r="A588">
            <v>585</v>
          </cell>
          <cell r="C588" t="str">
            <v>March</v>
          </cell>
          <cell r="D588" t="str">
            <v/>
          </cell>
          <cell r="E588" t="str">
            <v/>
          </cell>
          <cell r="F588" t="str">
            <v/>
          </cell>
          <cell r="G588" t="str">
            <v/>
          </cell>
          <cell r="H588" t="str">
            <v/>
          </cell>
          <cell r="AR588" t="str">
            <v/>
          </cell>
          <cell r="AS588" t="str">
            <v/>
          </cell>
          <cell r="AU588" t="str">
            <v/>
          </cell>
          <cell r="AV588" t="str">
            <v/>
          </cell>
          <cell r="AW588" t="str">
            <v/>
          </cell>
          <cell r="BA588" t="str">
            <v/>
          </cell>
        </row>
        <row r="589">
          <cell r="A589">
            <v>586</v>
          </cell>
          <cell r="C589" t="str">
            <v>March</v>
          </cell>
          <cell r="D589" t="str">
            <v/>
          </cell>
          <cell r="E589" t="str">
            <v/>
          </cell>
          <cell r="F589" t="str">
            <v/>
          </cell>
          <cell r="G589" t="str">
            <v/>
          </cell>
          <cell r="H589" t="str">
            <v/>
          </cell>
          <cell r="AR589" t="str">
            <v/>
          </cell>
          <cell r="AS589" t="str">
            <v/>
          </cell>
          <cell r="AU589" t="str">
            <v/>
          </cell>
          <cell r="AV589" t="str">
            <v/>
          </cell>
          <cell r="AW589" t="str">
            <v/>
          </cell>
          <cell r="BA589" t="str">
            <v/>
          </cell>
        </row>
        <row r="590">
          <cell r="A590">
            <v>587</v>
          </cell>
          <cell r="C590" t="str">
            <v>March</v>
          </cell>
          <cell r="D590" t="str">
            <v/>
          </cell>
          <cell r="E590" t="str">
            <v/>
          </cell>
          <cell r="F590" t="str">
            <v/>
          </cell>
          <cell r="G590" t="str">
            <v/>
          </cell>
          <cell r="H590" t="str">
            <v/>
          </cell>
          <cell r="AR590" t="str">
            <v/>
          </cell>
          <cell r="AS590" t="str">
            <v/>
          </cell>
          <cell r="AU590" t="str">
            <v/>
          </cell>
          <cell r="AV590" t="str">
            <v/>
          </cell>
          <cell r="AW590" t="str">
            <v/>
          </cell>
          <cell r="BA590" t="str">
            <v/>
          </cell>
        </row>
        <row r="591">
          <cell r="A591">
            <v>588</v>
          </cell>
          <cell r="C591" t="str">
            <v>March</v>
          </cell>
          <cell r="D591" t="str">
            <v/>
          </cell>
          <cell r="E591" t="str">
            <v/>
          </cell>
          <cell r="F591" t="str">
            <v/>
          </cell>
          <cell r="G591" t="str">
            <v/>
          </cell>
          <cell r="H591" t="str">
            <v/>
          </cell>
          <cell r="AR591" t="str">
            <v/>
          </cell>
          <cell r="AS591" t="str">
            <v/>
          </cell>
          <cell r="AU591" t="str">
            <v/>
          </cell>
          <cell r="AV591" t="str">
            <v/>
          </cell>
          <cell r="AW591" t="str">
            <v/>
          </cell>
          <cell r="BA591" t="str">
            <v/>
          </cell>
        </row>
        <row r="592">
          <cell r="A592">
            <v>589</v>
          </cell>
          <cell r="C592" t="str">
            <v>March</v>
          </cell>
          <cell r="D592" t="str">
            <v/>
          </cell>
          <cell r="E592" t="str">
            <v/>
          </cell>
          <cell r="F592" t="str">
            <v/>
          </cell>
          <cell r="G592" t="str">
            <v/>
          </cell>
          <cell r="H592" t="str">
            <v/>
          </cell>
          <cell r="AR592" t="str">
            <v/>
          </cell>
          <cell r="AS592" t="str">
            <v/>
          </cell>
          <cell r="AU592" t="str">
            <v/>
          </cell>
          <cell r="AV592" t="str">
            <v/>
          </cell>
          <cell r="AW592" t="str">
            <v/>
          </cell>
          <cell r="BA592" t="str">
            <v/>
          </cell>
        </row>
        <row r="593">
          <cell r="A593">
            <v>590</v>
          </cell>
          <cell r="C593" t="str">
            <v>March</v>
          </cell>
          <cell r="D593" t="str">
            <v/>
          </cell>
          <cell r="E593" t="str">
            <v/>
          </cell>
          <cell r="F593" t="str">
            <v/>
          </cell>
          <cell r="G593" t="str">
            <v/>
          </cell>
          <cell r="H593" t="str">
            <v/>
          </cell>
          <cell r="AR593" t="str">
            <v/>
          </cell>
          <cell r="AS593" t="str">
            <v/>
          </cell>
          <cell r="AU593" t="str">
            <v/>
          </cell>
          <cell r="AV593" t="str">
            <v/>
          </cell>
          <cell r="AW593" t="str">
            <v/>
          </cell>
          <cell r="BA593" t="str">
            <v/>
          </cell>
        </row>
        <row r="594">
          <cell r="A594">
            <v>591</v>
          </cell>
          <cell r="C594" t="str">
            <v>March</v>
          </cell>
          <cell r="D594" t="str">
            <v/>
          </cell>
          <cell r="E594" t="str">
            <v/>
          </cell>
          <cell r="F594" t="str">
            <v/>
          </cell>
          <cell r="G594" t="str">
            <v/>
          </cell>
          <cell r="H594" t="str">
            <v/>
          </cell>
          <cell r="AR594" t="str">
            <v/>
          </cell>
          <cell r="AS594" t="str">
            <v/>
          </cell>
          <cell r="AU594" t="str">
            <v/>
          </cell>
          <cell r="AV594" t="str">
            <v/>
          </cell>
          <cell r="AW594" t="str">
            <v/>
          </cell>
          <cell r="BA594" t="str">
            <v/>
          </cell>
        </row>
        <row r="595">
          <cell r="A595">
            <v>592</v>
          </cell>
          <cell r="C595" t="str">
            <v>March</v>
          </cell>
          <cell r="D595" t="str">
            <v/>
          </cell>
          <cell r="E595" t="str">
            <v/>
          </cell>
          <cell r="F595" t="str">
            <v/>
          </cell>
          <cell r="G595" t="str">
            <v/>
          </cell>
          <cell r="H595" t="str">
            <v/>
          </cell>
          <cell r="AR595" t="str">
            <v/>
          </cell>
          <cell r="AS595" t="str">
            <v/>
          </cell>
          <cell r="AU595" t="str">
            <v/>
          </cell>
          <cell r="AV595" t="str">
            <v/>
          </cell>
          <cell r="AW595" t="str">
            <v/>
          </cell>
          <cell r="BA595" t="str">
            <v/>
          </cell>
        </row>
        <row r="596">
          <cell r="A596">
            <v>593</v>
          </cell>
          <cell r="C596" t="str">
            <v>March</v>
          </cell>
          <cell r="D596" t="str">
            <v/>
          </cell>
          <cell r="E596" t="str">
            <v/>
          </cell>
          <cell r="F596" t="str">
            <v/>
          </cell>
          <cell r="G596" t="str">
            <v/>
          </cell>
          <cell r="H596" t="str">
            <v/>
          </cell>
          <cell r="AR596" t="str">
            <v/>
          </cell>
          <cell r="AS596" t="str">
            <v/>
          </cell>
          <cell r="AU596" t="str">
            <v/>
          </cell>
          <cell r="AV596" t="str">
            <v/>
          </cell>
          <cell r="AW596" t="str">
            <v/>
          </cell>
          <cell r="BA596" t="str">
            <v/>
          </cell>
        </row>
        <row r="597">
          <cell r="A597">
            <v>594</v>
          </cell>
          <cell r="C597" t="str">
            <v>March</v>
          </cell>
          <cell r="D597" t="str">
            <v/>
          </cell>
          <cell r="E597" t="str">
            <v/>
          </cell>
          <cell r="F597" t="str">
            <v/>
          </cell>
          <cell r="G597" t="str">
            <v/>
          </cell>
          <cell r="H597" t="str">
            <v/>
          </cell>
          <cell r="AR597" t="str">
            <v/>
          </cell>
          <cell r="AS597" t="str">
            <v/>
          </cell>
          <cell r="AU597" t="str">
            <v/>
          </cell>
          <cell r="AV597" t="str">
            <v/>
          </cell>
          <cell r="AW597" t="str">
            <v/>
          </cell>
          <cell r="BA597" t="str">
            <v/>
          </cell>
        </row>
        <row r="598">
          <cell r="A598">
            <v>595</v>
          </cell>
          <cell r="C598" t="str">
            <v>March</v>
          </cell>
          <cell r="D598" t="str">
            <v/>
          </cell>
          <cell r="E598" t="str">
            <v/>
          </cell>
          <cell r="F598" t="str">
            <v/>
          </cell>
          <cell r="G598" t="str">
            <v/>
          </cell>
          <cell r="H598" t="str">
            <v/>
          </cell>
          <cell r="AR598" t="str">
            <v/>
          </cell>
          <cell r="AS598" t="str">
            <v/>
          </cell>
          <cell r="AU598" t="str">
            <v/>
          </cell>
          <cell r="AV598" t="str">
            <v/>
          </cell>
          <cell r="AW598" t="str">
            <v/>
          </cell>
          <cell r="BA598" t="str">
            <v/>
          </cell>
        </row>
        <row r="599">
          <cell r="A599">
            <v>596</v>
          </cell>
          <cell r="C599" t="str">
            <v>March</v>
          </cell>
          <cell r="D599" t="str">
            <v/>
          </cell>
          <cell r="E599" t="str">
            <v/>
          </cell>
          <cell r="F599" t="str">
            <v/>
          </cell>
          <cell r="G599" t="str">
            <v/>
          </cell>
          <cell r="H599" t="str">
            <v/>
          </cell>
          <cell r="AR599" t="str">
            <v/>
          </cell>
          <cell r="AS599" t="str">
            <v/>
          </cell>
          <cell r="AU599" t="str">
            <v/>
          </cell>
          <cell r="AV599" t="str">
            <v/>
          </cell>
          <cell r="AW599" t="str">
            <v/>
          </cell>
          <cell r="BA599" t="str">
            <v/>
          </cell>
        </row>
        <row r="600">
          <cell r="A600">
            <v>597</v>
          </cell>
          <cell r="C600" t="str">
            <v>March</v>
          </cell>
          <cell r="D600" t="str">
            <v/>
          </cell>
          <cell r="E600" t="str">
            <v/>
          </cell>
          <cell r="F600" t="str">
            <v/>
          </cell>
          <cell r="G600" t="str">
            <v/>
          </cell>
          <cell r="H600" t="str">
            <v/>
          </cell>
          <cell r="AR600" t="str">
            <v/>
          </cell>
          <cell r="AS600" t="str">
            <v/>
          </cell>
          <cell r="AU600" t="str">
            <v/>
          </cell>
          <cell r="AV600" t="str">
            <v/>
          </cell>
          <cell r="AW600" t="str">
            <v/>
          </cell>
          <cell r="BA600" t="str">
            <v/>
          </cell>
        </row>
        <row r="601">
          <cell r="A601">
            <v>598</v>
          </cell>
          <cell r="C601" t="str">
            <v>March</v>
          </cell>
          <cell r="D601" t="str">
            <v/>
          </cell>
          <cell r="E601" t="str">
            <v/>
          </cell>
          <cell r="F601" t="str">
            <v/>
          </cell>
          <cell r="G601" t="str">
            <v/>
          </cell>
          <cell r="H601" t="str">
            <v/>
          </cell>
          <cell r="AR601" t="str">
            <v/>
          </cell>
          <cell r="AS601" t="str">
            <v/>
          </cell>
          <cell r="AU601" t="str">
            <v/>
          </cell>
          <cell r="AV601" t="str">
            <v/>
          </cell>
          <cell r="AW601" t="str">
            <v/>
          </cell>
          <cell r="BA601" t="str">
            <v/>
          </cell>
        </row>
        <row r="602">
          <cell r="A602">
            <v>599</v>
          </cell>
          <cell r="C602" t="str">
            <v>March</v>
          </cell>
          <cell r="D602" t="str">
            <v/>
          </cell>
          <cell r="E602" t="str">
            <v/>
          </cell>
          <cell r="F602" t="str">
            <v/>
          </cell>
          <cell r="G602" t="str">
            <v/>
          </cell>
          <cell r="H602" t="str">
            <v/>
          </cell>
          <cell r="AR602" t="str">
            <v/>
          </cell>
          <cell r="AS602" t="str">
            <v/>
          </cell>
          <cell r="AU602" t="str">
            <v/>
          </cell>
          <cell r="AV602" t="str">
            <v/>
          </cell>
          <cell r="AW602" t="str">
            <v/>
          </cell>
          <cell r="BA602" t="str">
            <v/>
          </cell>
        </row>
        <row r="603">
          <cell r="A603">
            <v>600</v>
          </cell>
          <cell r="C603" t="str">
            <v>March</v>
          </cell>
          <cell r="D603" t="str">
            <v/>
          </cell>
          <cell r="E603" t="str">
            <v/>
          </cell>
          <cell r="F603" t="str">
            <v/>
          </cell>
          <cell r="G603" t="str">
            <v/>
          </cell>
          <cell r="H603" t="str">
            <v/>
          </cell>
          <cell r="AR603" t="str">
            <v/>
          </cell>
          <cell r="AS603" t="str">
            <v/>
          </cell>
          <cell r="AU603" t="str">
            <v/>
          </cell>
          <cell r="AV603" t="str">
            <v/>
          </cell>
          <cell r="AW603" t="str">
            <v/>
          </cell>
          <cell r="BA603" t="str">
            <v/>
          </cell>
        </row>
        <row r="604">
          <cell r="A604">
            <v>601</v>
          </cell>
          <cell r="C604" t="str">
            <v>April</v>
          </cell>
          <cell r="D604" t="str">
            <v>122625140006</v>
          </cell>
          <cell r="E604" t="str">
            <v>ACAYAN, ELIJAH DITALO</v>
          </cell>
          <cell r="F604" t="str">
            <v>Male</v>
          </cell>
          <cell r="G604">
            <v>1</v>
          </cell>
          <cell r="H604">
            <v>1</v>
          </cell>
          <cell r="AR604">
            <v>0</v>
          </cell>
          <cell r="AS604">
            <v>6</v>
          </cell>
          <cell r="AU604">
            <v>0</v>
          </cell>
          <cell r="AV604">
            <v>46478</v>
          </cell>
          <cell r="AW604">
            <v>46485</v>
          </cell>
          <cell r="BA604">
            <v>1</v>
          </cell>
        </row>
        <row r="605">
          <cell r="A605">
            <v>602</v>
          </cell>
          <cell r="C605" t="str">
            <v>April</v>
          </cell>
          <cell r="D605" t="str">
            <v>419658160041</v>
          </cell>
          <cell r="E605" t="str">
            <v>ARCILLA, KYLE XANDRE MATUS</v>
          </cell>
          <cell r="F605" t="str">
            <v>Male</v>
          </cell>
          <cell r="G605">
            <v>1</v>
          </cell>
          <cell r="H605">
            <v>1</v>
          </cell>
          <cell r="AR605">
            <v>0</v>
          </cell>
          <cell r="AS605">
            <v>6</v>
          </cell>
          <cell r="AU605">
            <v>0</v>
          </cell>
          <cell r="AV605">
            <v>46478</v>
          </cell>
          <cell r="AW605">
            <v>46485</v>
          </cell>
          <cell r="BA605">
            <v>2</v>
          </cell>
        </row>
        <row r="606">
          <cell r="A606">
            <v>603</v>
          </cell>
          <cell r="C606" t="str">
            <v>April</v>
          </cell>
          <cell r="D606" t="str">
            <v>104015140057</v>
          </cell>
          <cell r="E606" t="str">
            <v>CAPAYAN, DENVER CORPUZ</v>
          </cell>
          <cell r="F606" t="str">
            <v>Male</v>
          </cell>
          <cell r="G606">
            <v>1</v>
          </cell>
          <cell r="H606">
            <v>1</v>
          </cell>
          <cell r="AR606">
            <v>0</v>
          </cell>
          <cell r="AS606">
            <v>6</v>
          </cell>
          <cell r="AU606">
            <v>0</v>
          </cell>
          <cell r="AV606">
            <v>46478</v>
          </cell>
          <cell r="AW606">
            <v>46485</v>
          </cell>
          <cell r="BA606">
            <v>3</v>
          </cell>
        </row>
        <row r="607">
          <cell r="A607">
            <v>604</v>
          </cell>
          <cell r="C607" t="str">
            <v>April</v>
          </cell>
          <cell r="D607" t="str">
            <v>107023140026</v>
          </cell>
          <cell r="E607" t="str">
            <v>DOMINGO, FRYNNS LIAM ATIENZA</v>
          </cell>
          <cell r="F607" t="str">
            <v>Male</v>
          </cell>
          <cell r="G607">
            <v>1</v>
          </cell>
          <cell r="H607">
            <v>1</v>
          </cell>
          <cell r="AR607">
            <v>0</v>
          </cell>
          <cell r="AS607">
            <v>6</v>
          </cell>
          <cell r="AU607">
            <v>0</v>
          </cell>
          <cell r="AV607">
            <v>46478</v>
          </cell>
          <cell r="AW607">
            <v>46485</v>
          </cell>
          <cell r="BA607">
            <v>4</v>
          </cell>
        </row>
        <row r="608">
          <cell r="A608">
            <v>605</v>
          </cell>
          <cell r="C608" t="str">
            <v>April</v>
          </cell>
          <cell r="D608" t="str">
            <v>110347140023</v>
          </cell>
          <cell r="E608" t="str">
            <v>DUMADALUG, JAMES DIZON</v>
          </cell>
          <cell r="F608" t="str">
            <v>Male</v>
          </cell>
          <cell r="G608">
            <v>1</v>
          </cell>
          <cell r="H608">
            <v>1</v>
          </cell>
          <cell r="AR608">
            <v>0</v>
          </cell>
          <cell r="AS608">
            <v>6</v>
          </cell>
          <cell r="AU608">
            <v>0</v>
          </cell>
          <cell r="AV608">
            <v>46478</v>
          </cell>
          <cell r="AW608">
            <v>46485</v>
          </cell>
          <cell r="BA608">
            <v>5</v>
          </cell>
        </row>
        <row r="609">
          <cell r="A609">
            <v>606</v>
          </cell>
          <cell r="C609" t="str">
            <v>April</v>
          </cell>
          <cell r="D609" t="str">
            <v>107031140010</v>
          </cell>
          <cell r="E609" t="str">
            <v>GARCIA, KIRK NATHAN BOLSICO</v>
          </cell>
          <cell r="F609" t="str">
            <v>Male</v>
          </cell>
          <cell r="G609">
            <v>1</v>
          </cell>
          <cell r="H609">
            <v>1</v>
          </cell>
          <cell r="AR609">
            <v>0</v>
          </cell>
          <cell r="AS609">
            <v>6</v>
          </cell>
          <cell r="AU609">
            <v>0</v>
          </cell>
          <cell r="AV609">
            <v>46478</v>
          </cell>
          <cell r="AW609">
            <v>46485</v>
          </cell>
          <cell r="BA609">
            <v>6</v>
          </cell>
        </row>
        <row r="610">
          <cell r="A610">
            <v>607</v>
          </cell>
          <cell r="C610" t="str">
            <v>April</v>
          </cell>
          <cell r="D610" t="str">
            <v>107061140477</v>
          </cell>
          <cell r="E610" t="str">
            <v>GUEVARRA, SEAD SYRON CORPUZ</v>
          </cell>
          <cell r="F610" t="str">
            <v>Male</v>
          </cell>
          <cell r="G610">
            <v>1</v>
          </cell>
          <cell r="H610">
            <v>1</v>
          </cell>
          <cell r="AR610">
            <v>0</v>
          </cell>
          <cell r="AS610">
            <v>6</v>
          </cell>
          <cell r="AU610">
            <v>0</v>
          </cell>
          <cell r="AV610">
            <v>46478</v>
          </cell>
          <cell r="AW610">
            <v>46485</v>
          </cell>
          <cell r="BA610">
            <v>7</v>
          </cell>
        </row>
        <row r="611">
          <cell r="A611">
            <v>608</v>
          </cell>
          <cell r="C611" t="str">
            <v>April</v>
          </cell>
          <cell r="D611" t="str">
            <v>133624150052</v>
          </cell>
          <cell r="E611" t="str">
            <v>MACAPANTON, ALIMAN SULTAN</v>
          </cell>
          <cell r="F611" t="str">
            <v>Male</v>
          </cell>
          <cell r="G611">
            <v>1</v>
          </cell>
          <cell r="H611">
            <v>1</v>
          </cell>
          <cell r="AR611">
            <v>0</v>
          </cell>
          <cell r="AS611">
            <v>6</v>
          </cell>
          <cell r="AU611">
            <v>0</v>
          </cell>
          <cell r="AV611">
            <v>46478</v>
          </cell>
          <cell r="AW611">
            <v>46485</v>
          </cell>
          <cell r="BA611">
            <v>8</v>
          </cell>
        </row>
        <row r="612">
          <cell r="A612">
            <v>609</v>
          </cell>
          <cell r="C612" t="str">
            <v>April</v>
          </cell>
          <cell r="D612" t="str">
            <v>107027140164</v>
          </cell>
          <cell r="E612" t="str">
            <v>MEJIA, FRANCIS KHIAN LLARENA</v>
          </cell>
          <cell r="F612" t="str">
            <v>Male</v>
          </cell>
          <cell r="G612">
            <v>1</v>
          </cell>
          <cell r="H612">
            <v>1</v>
          </cell>
          <cell r="AR612">
            <v>0</v>
          </cell>
          <cell r="AS612">
            <v>6</v>
          </cell>
          <cell r="AU612">
            <v>0</v>
          </cell>
          <cell r="AV612">
            <v>46478</v>
          </cell>
          <cell r="AW612">
            <v>46485</v>
          </cell>
          <cell r="BA612">
            <v>9</v>
          </cell>
        </row>
        <row r="613">
          <cell r="A613">
            <v>610</v>
          </cell>
          <cell r="C613" t="str">
            <v>April</v>
          </cell>
          <cell r="D613" t="str">
            <v>107185140032</v>
          </cell>
          <cell r="E613" t="str">
            <v>NERI, GABRIEL BRIONES</v>
          </cell>
          <cell r="F613" t="str">
            <v>Male</v>
          </cell>
          <cell r="G613">
            <v>1</v>
          </cell>
          <cell r="H613">
            <v>1</v>
          </cell>
          <cell r="AR613">
            <v>0</v>
          </cell>
          <cell r="AS613">
            <v>6</v>
          </cell>
          <cell r="AU613">
            <v>0</v>
          </cell>
          <cell r="AV613">
            <v>46478</v>
          </cell>
          <cell r="AW613">
            <v>46485</v>
          </cell>
          <cell r="BA613">
            <v>10</v>
          </cell>
        </row>
        <row r="614">
          <cell r="A614">
            <v>611</v>
          </cell>
          <cell r="C614" t="str">
            <v>April</v>
          </cell>
          <cell r="D614" t="str">
            <v>107057130479</v>
          </cell>
          <cell r="E614" t="str">
            <v>PAYABYAB, SHELTER RAIN ALEJANDRO</v>
          </cell>
          <cell r="F614" t="str">
            <v>Male</v>
          </cell>
          <cell r="G614">
            <v>1</v>
          </cell>
          <cell r="H614">
            <v>1</v>
          </cell>
          <cell r="AR614">
            <v>0</v>
          </cell>
          <cell r="AS614">
            <v>6</v>
          </cell>
          <cell r="AU614">
            <v>0</v>
          </cell>
          <cell r="AV614">
            <v>46478</v>
          </cell>
          <cell r="AW614">
            <v>46485</v>
          </cell>
          <cell r="BA614">
            <v>11</v>
          </cell>
        </row>
        <row r="615">
          <cell r="A615">
            <v>612</v>
          </cell>
          <cell r="C615" t="str">
            <v>April</v>
          </cell>
          <cell r="D615" t="str">
            <v>113420140126</v>
          </cell>
          <cell r="E615" t="str">
            <v>RAMIREZ, RENCES DWANE RAMONES</v>
          </cell>
          <cell r="F615" t="str">
            <v>Male</v>
          </cell>
          <cell r="G615">
            <v>1</v>
          </cell>
          <cell r="H615">
            <v>1</v>
          </cell>
          <cell r="AR615">
            <v>0</v>
          </cell>
          <cell r="AS615">
            <v>6</v>
          </cell>
          <cell r="AU615">
            <v>0</v>
          </cell>
          <cell r="AV615">
            <v>46478</v>
          </cell>
          <cell r="AW615">
            <v>46485</v>
          </cell>
          <cell r="BA615">
            <v>12</v>
          </cell>
        </row>
        <row r="616">
          <cell r="A616">
            <v>613</v>
          </cell>
          <cell r="C616" t="str">
            <v>April</v>
          </cell>
          <cell r="D616" t="str">
            <v>107048150273</v>
          </cell>
          <cell r="E616" t="str">
            <v>SUGAY, ASHTON GUTIERREZ</v>
          </cell>
          <cell r="F616" t="str">
            <v>Male</v>
          </cell>
          <cell r="G616">
            <v>1</v>
          </cell>
          <cell r="H616">
            <v>1</v>
          </cell>
          <cell r="AR616">
            <v>0</v>
          </cell>
          <cell r="AS616">
            <v>6</v>
          </cell>
          <cell r="AU616">
            <v>0</v>
          </cell>
          <cell r="AV616">
            <v>46478</v>
          </cell>
          <cell r="AW616">
            <v>46485</v>
          </cell>
          <cell r="BA616">
            <v>13</v>
          </cell>
        </row>
        <row r="617">
          <cell r="A617">
            <v>614</v>
          </cell>
          <cell r="C617" t="str">
            <v>April</v>
          </cell>
          <cell r="D617">
            <v>107032140054</v>
          </cell>
          <cell r="E617" t="str">
            <v>SANTIAGO, JARED ALBERTH BARREDA</v>
          </cell>
          <cell r="F617" t="str">
            <v>Male</v>
          </cell>
          <cell r="G617">
            <v>1</v>
          </cell>
          <cell r="H617">
            <v>1</v>
          </cell>
          <cell r="AR617">
            <v>0</v>
          </cell>
          <cell r="AS617">
            <v>6</v>
          </cell>
          <cell r="AU617">
            <v>0</v>
          </cell>
          <cell r="AV617">
            <v>46478</v>
          </cell>
          <cell r="AW617">
            <v>46485</v>
          </cell>
          <cell r="BA617">
            <v>14</v>
          </cell>
        </row>
        <row r="618">
          <cell r="A618">
            <v>615</v>
          </cell>
          <cell r="C618" t="str">
            <v>April</v>
          </cell>
          <cell r="D618" t="str">
            <v>122379140033</v>
          </cell>
          <cell r="E618" t="str">
            <v>ACAYAN, HANNAH NICOLE COSTUNA</v>
          </cell>
          <cell r="F618" t="str">
            <v>Female</v>
          </cell>
          <cell r="G618">
            <v>1</v>
          </cell>
          <cell r="H618">
            <v>1</v>
          </cell>
          <cell r="AR618">
            <v>0</v>
          </cell>
          <cell r="AS618">
            <v>6</v>
          </cell>
          <cell r="AU618">
            <v>0</v>
          </cell>
          <cell r="AV618">
            <v>46478</v>
          </cell>
          <cell r="AW618">
            <v>46485</v>
          </cell>
          <cell r="BA618">
            <v>1</v>
          </cell>
        </row>
        <row r="619">
          <cell r="A619">
            <v>616</v>
          </cell>
          <cell r="C619" t="str">
            <v>April</v>
          </cell>
          <cell r="D619" t="str">
            <v>107041140509</v>
          </cell>
          <cell r="E619" t="str">
            <v>AREÑEZ, FRANCHESKA OCAMPO</v>
          </cell>
          <cell r="F619" t="str">
            <v>Female</v>
          </cell>
          <cell r="G619">
            <v>1</v>
          </cell>
          <cell r="H619">
            <v>1</v>
          </cell>
          <cell r="AR619">
            <v>0</v>
          </cell>
          <cell r="AS619">
            <v>6</v>
          </cell>
          <cell r="AU619">
            <v>0</v>
          </cell>
          <cell r="AV619">
            <v>46478</v>
          </cell>
          <cell r="AW619">
            <v>46485</v>
          </cell>
          <cell r="BA619">
            <v>2</v>
          </cell>
        </row>
        <row r="620">
          <cell r="A620">
            <v>617</v>
          </cell>
          <cell r="C620" t="str">
            <v>April</v>
          </cell>
          <cell r="D620" t="str">
            <v>159547140065</v>
          </cell>
          <cell r="E620" t="str">
            <v>BALUCANAG, CHLOE LIAN GALINO</v>
          </cell>
          <cell r="F620" t="str">
            <v>Female</v>
          </cell>
          <cell r="G620">
            <v>1</v>
          </cell>
          <cell r="H620">
            <v>1</v>
          </cell>
          <cell r="AR620">
            <v>0</v>
          </cell>
          <cell r="AS620">
            <v>6</v>
          </cell>
          <cell r="AU620">
            <v>0</v>
          </cell>
          <cell r="AV620">
            <v>46478</v>
          </cell>
          <cell r="AW620">
            <v>46485</v>
          </cell>
          <cell r="BA620">
            <v>3</v>
          </cell>
        </row>
        <row r="621">
          <cell r="A621">
            <v>618</v>
          </cell>
          <cell r="C621" t="str">
            <v>April</v>
          </cell>
          <cell r="D621" t="str">
            <v>107022140163</v>
          </cell>
          <cell r="E621" t="str">
            <v>BIE, JOHN RAIN MAGTOTO</v>
          </cell>
          <cell r="F621" t="str">
            <v>Female</v>
          </cell>
          <cell r="G621">
            <v>1</v>
          </cell>
          <cell r="H621">
            <v>1</v>
          </cell>
          <cell r="AR621">
            <v>0</v>
          </cell>
          <cell r="AS621">
            <v>6</v>
          </cell>
          <cell r="AU621">
            <v>0</v>
          </cell>
          <cell r="AV621">
            <v>46478</v>
          </cell>
          <cell r="AW621">
            <v>46485</v>
          </cell>
          <cell r="BA621">
            <v>4</v>
          </cell>
        </row>
        <row r="622">
          <cell r="A622">
            <v>619</v>
          </cell>
          <cell r="C622" t="str">
            <v>April</v>
          </cell>
          <cell r="D622" t="str">
            <v>105935140024</v>
          </cell>
          <cell r="E622" t="str">
            <v>DAVID, ASHLEY LAPUZ</v>
          </cell>
          <cell r="F622" t="str">
            <v>Female</v>
          </cell>
          <cell r="G622">
            <v>1</v>
          </cell>
          <cell r="H622">
            <v>1</v>
          </cell>
          <cell r="AR622">
            <v>0</v>
          </cell>
          <cell r="AS622">
            <v>6</v>
          </cell>
          <cell r="AU622">
            <v>0</v>
          </cell>
          <cell r="AV622">
            <v>46478</v>
          </cell>
          <cell r="AW622">
            <v>46485</v>
          </cell>
          <cell r="BA622">
            <v>5</v>
          </cell>
        </row>
        <row r="623">
          <cell r="A623">
            <v>620</v>
          </cell>
          <cell r="C623" t="str">
            <v>April</v>
          </cell>
          <cell r="D623" t="str">
            <v>106066150025</v>
          </cell>
          <cell r="E623" t="str">
            <v>FLORES, THEA MARIE LUMUYA</v>
          </cell>
          <cell r="F623" t="str">
            <v>Female</v>
          </cell>
          <cell r="G623">
            <v>1</v>
          </cell>
          <cell r="H623">
            <v>1</v>
          </cell>
          <cell r="AR623">
            <v>0</v>
          </cell>
          <cell r="AS623">
            <v>6</v>
          </cell>
          <cell r="AU623">
            <v>0</v>
          </cell>
          <cell r="AV623">
            <v>46478</v>
          </cell>
          <cell r="AW623">
            <v>46485</v>
          </cell>
          <cell r="BA623">
            <v>6</v>
          </cell>
        </row>
        <row r="624">
          <cell r="A624">
            <v>621</v>
          </cell>
          <cell r="C624" t="str">
            <v>April</v>
          </cell>
          <cell r="D624" t="str">
            <v>107032140061</v>
          </cell>
          <cell r="E624" t="str">
            <v>INGAL, SHAINA KYLE PINEDA</v>
          </cell>
          <cell r="F624" t="str">
            <v>Female</v>
          </cell>
          <cell r="G624">
            <v>1</v>
          </cell>
          <cell r="H624">
            <v>1</v>
          </cell>
          <cell r="AR624">
            <v>0</v>
          </cell>
          <cell r="AS624">
            <v>6</v>
          </cell>
          <cell r="AU624">
            <v>0</v>
          </cell>
          <cell r="AV624">
            <v>46478</v>
          </cell>
          <cell r="AW624">
            <v>46485</v>
          </cell>
          <cell r="BA624">
            <v>7</v>
          </cell>
        </row>
        <row r="625">
          <cell r="A625">
            <v>622</v>
          </cell>
          <cell r="C625" t="str">
            <v>April</v>
          </cell>
          <cell r="D625">
            <v>106072140070</v>
          </cell>
          <cell r="E625" t="str">
            <v>MACAPODI, AINA MANGUNTAWAR</v>
          </cell>
          <cell r="F625" t="str">
            <v>Female</v>
          </cell>
          <cell r="G625">
            <v>1</v>
          </cell>
          <cell r="H625">
            <v>1</v>
          </cell>
          <cell r="AR625">
            <v>0</v>
          </cell>
          <cell r="AS625">
            <v>6</v>
          </cell>
          <cell r="AU625">
            <v>0</v>
          </cell>
          <cell r="AV625">
            <v>46478</v>
          </cell>
          <cell r="AW625">
            <v>46485</v>
          </cell>
          <cell r="BA625">
            <v>8</v>
          </cell>
        </row>
        <row r="626">
          <cell r="A626">
            <v>623</v>
          </cell>
          <cell r="C626" t="str">
            <v>April</v>
          </cell>
          <cell r="D626" t="str">
            <v>136634150917</v>
          </cell>
          <cell r="E626" t="str">
            <v>MIPAMPANG, RASHEDA BASCARA</v>
          </cell>
          <cell r="F626" t="str">
            <v>Female</v>
          </cell>
          <cell r="G626">
            <v>1</v>
          </cell>
          <cell r="H626">
            <v>1</v>
          </cell>
          <cell r="AR626">
            <v>0</v>
          </cell>
          <cell r="AS626">
            <v>6</v>
          </cell>
          <cell r="AU626">
            <v>0</v>
          </cell>
          <cell r="AV626">
            <v>46478</v>
          </cell>
          <cell r="AW626">
            <v>46485</v>
          </cell>
          <cell r="BA626">
            <v>9</v>
          </cell>
        </row>
        <row r="627">
          <cell r="A627">
            <v>624</v>
          </cell>
          <cell r="C627" t="str">
            <v>April</v>
          </cell>
          <cell r="D627" t="str">
            <v>107028140103</v>
          </cell>
          <cell r="E627" t="str">
            <v>TAYSON, DANIELLE MAE PANES</v>
          </cell>
          <cell r="F627" t="str">
            <v>Female</v>
          </cell>
          <cell r="G627">
            <v>1</v>
          </cell>
          <cell r="H627">
            <v>1</v>
          </cell>
          <cell r="AR627">
            <v>0</v>
          </cell>
          <cell r="AS627">
            <v>6</v>
          </cell>
          <cell r="AU627">
            <v>0</v>
          </cell>
          <cell r="AV627">
            <v>46478</v>
          </cell>
          <cell r="AW627">
            <v>46485</v>
          </cell>
          <cell r="BA627">
            <v>10</v>
          </cell>
        </row>
        <row r="628">
          <cell r="A628">
            <v>625</v>
          </cell>
          <cell r="C628" t="str">
            <v>April</v>
          </cell>
          <cell r="D628">
            <v>105205140016</v>
          </cell>
          <cell r="E628" t="str">
            <v>FAJARDO, PRINCE DANIEL RODAJE</v>
          </cell>
          <cell r="F628" t="str">
            <v>Female</v>
          </cell>
          <cell r="G628">
            <v>1</v>
          </cell>
          <cell r="H628">
            <v>1</v>
          </cell>
          <cell r="AR628">
            <v>0</v>
          </cell>
          <cell r="AS628">
            <v>6</v>
          </cell>
          <cell r="AU628">
            <v>0</v>
          </cell>
          <cell r="AV628">
            <v>46478</v>
          </cell>
          <cell r="AW628">
            <v>46485</v>
          </cell>
          <cell r="BA628">
            <v>11</v>
          </cell>
        </row>
        <row r="629">
          <cell r="A629">
            <v>626</v>
          </cell>
          <cell r="C629" t="str">
            <v>April</v>
          </cell>
          <cell r="D629" t="str">
            <v/>
          </cell>
          <cell r="E629" t="str">
            <v/>
          </cell>
          <cell r="F629" t="str">
            <v/>
          </cell>
          <cell r="G629" t="str">
            <v/>
          </cell>
          <cell r="H629" t="str">
            <v/>
          </cell>
          <cell r="AR629" t="str">
            <v/>
          </cell>
          <cell r="AS629" t="str">
            <v/>
          </cell>
          <cell r="AU629" t="str">
            <v/>
          </cell>
          <cell r="AV629" t="str">
            <v/>
          </cell>
          <cell r="AW629" t="str">
            <v/>
          </cell>
          <cell r="BA629" t="str">
            <v/>
          </cell>
        </row>
        <row r="630">
          <cell r="A630">
            <v>627</v>
          </cell>
          <cell r="C630" t="str">
            <v>April</v>
          </cell>
          <cell r="D630" t="str">
            <v/>
          </cell>
          <cell r="E630" t="str">
            <v/>
          </cell>
          <cell r="F630" t="str">
            <v/>
          </cell>
          <cell r="G630" t="str">
            <v/>
          </cell>
          <cell r="H630" t="str">
            <v/>
          </cell>
          <cell r="AR630" t="str">
            <v/>
          </cell>
          <cell r="AS630" t="str">
            <v/>
          </cell>
          <cell r="AU630" t="str">
            <v/>
          </cell>
          <cell r="AV630" t="str">
            <v/>
          </cell>
          <cell r="AW630" t="str">
            <v/>
          </cell>
          <cell r="BA630" t="str">
            <v/>
          </cell>
        </row>
        <row r="631">
          <cell r="A631">
            <v>628</v>
          </cell>
          <cell r="C631" t="str">
            <v>April</v>
          </cell>
          <cell r="D631" t="str">
            <v/>
          </cell>
          <cell r="E631" t="str">
            <v/>
          </cell>
          <cell r="F631" t="str">
            <v/>
          </cell>
          <cell r="G631" t="str">
            <v/>
          </cell>
          <cell r="H631" t="str">
            <v/>
          </cell>
          <cell r="AR631" t="str">
            <v/>
          </cell>
          <cell r="AS631" t="str">
            <v/>
          </cell>
          <cell r="AU631" t="str">
            <v/>
          </cell>
          <cell r="AV631" t="str">
            <v/>
          </cell>
          <cell r="AW631" t="str">
            <v/>
          </cell>
          <cell r="BA631" t="str">
            <v/>
          </cell>
        </row>
        <row r="632">
          <cell r="A632">
            <v>629</v>
          </cell>
          <cell r="C632" t="str">
            <v>April</v>
          </cell>
          <cell r="D632" t="str">
            <v/>
          </cell>
          <cell r="E632" t="str">
            <v/>
          </cell>
          <cell r="F632" t="str">
            <v/>
          </cell>
          <cell r="G632" t="str">
            <v/>
          </cell>
          <cell r="H632" t="str">
            <v/>
          </cell>
          <cell r="AR632" t="str">
            <v/>
          </cell>
          <cell r="AS632" t="str">
            <v/>
          </cell>
          <cell r="AU632" t="str">
            <v/>
          </cell>
          <cell r="AV632" t="str">
            <v/>
          </cell>
          <cell r="AW632" t="str">
            <v/>
          </cell>
          <cell r="BA632" t="str">
            <v/>
          </cell>
        </row>
        <row r="633">
          <cell r="A633">
            <v>630</v>
          </cell>
          <cell r="C633" t="str">
            <v>April</v>
          </cell>
          <cell r="D633" t="str">
            <v/>
          </cell>
          <cell r="E633" t="str">
            <v/>
          </cell>
          <cell r="F633" t="str">
            <v/>
          </cell>
          <cell r="G633" t="str">
            <v/>
          </cell>
          <cell r="H633" t="str">
            <v/>
          </cell>
          <cell r="AR633" t="str">
            <v/>
          </cell>
          <cell r="AS633" t="str">
            <v/>
          </cell>
          <cell r="AU633" t="str">
            <v/>
          </cell>
          <cell r="AV633" t="str">
            <v/>
          </cell>
          <cell r="AW633" t="str">
            <v/>
          </cell>
          <cell r="BA633" t="str">
            <v/>
          </cell>
        </row>
        <row r="634">
          <cell r="A634">
            <v>631</v>
          </cell>
          <cell r="C634" t="str">
            <v>April</v>
          </cell>
          <cell r="D634" t="str">
            <v/>
          </cell>
          <cell r="E634" t="str">
            <v/>
          </cell>
          <cell r="F634" t="str">
            <v/>
          </cell>
          <cell r="G634" t="str">
            <v/>
          </cell>
          <cell r="H634" t="str">
            <v/>
          </cell>
          <cell r="AR634" t="str">
            <v/>
          </cell>
          <cell r="AS634" t="str">
            <v/>
          </cell>
          <cell r="AU634" t="str">
            <v/>
          </cell>
          <cell r="AV634" t="str">
            <v/>
          </cell>
          <cell r="AW634" t="str">
            <v/>
          </cell>
          <cell r="BA634" t="str">
            <v/>
          </cell>
        </row>
        <row r="635">
          <cell r="A635">
            <v>632</v>
          </cell>
          <cell r="C635" t="str">
            <v>April</v>
          </cell>
          <cell r="D635" t="str">
            <v/>
          </cell>
          <cell r="E635" t="str">
            <v/>
          </cell>
          <cell r="F635" t="str">
            <v/>
          </cell>
          <cell r="G635" t="str">
            <v/>
          </cell>
          <cell r="H635" t="str">
            <v/>
          </cell>
          <cell r="AR635" t="str">
            <v/>
          </cell>
          <cell r="AS635" t="str">
            <v/>
          </cell>
          <cell r="AU635" t="str">
            <v/>
          </cell>
          <cell r="AV635" t="str">
            <v/>
          </cell>
          <cell r="AW635" t="str">
            <v/>
          </cell>
          <cell r="BA635" t="str">
            <v/>
          </cell>
        </row>
        <row r="636">
          <cell r="A636">
            <v>633</v>
          </cell>
          <cell r="C636" t="str">
            <v>April</v>
          </cell>
          <cell r="D636" t="str">
            <v/>
          </cell>
          <cell r="E636" t="str">
            <v/>
          </cell>
          <cell r="F636" t="str">
            <v/>
          </cell>
          <cell r="G636" t="str">
            <v/>
          </cell>
          <cell r="H636" t="str">
            <v/>
          </cell>
          <cell r="AR636" t="str">
            <v/>
          </cell>
          <cell r="AS636" t="str">
            <v/>
          </cell>
          <cell r="AU636" t="str">
            <v/>
          </cell>
          <cell r="AV636" t="str">
            <v/>
          </cell>
          <cell r="AW636" t="str">
            <v/>
          </cell>
          <cell r="BA636" t="str">
            <v/>
          </cell>
        </row>
        <row r="637">
          <cell r="A637">
            <v>634</v>
          </cell>
          <cell r="C637" t="str">
            <v>April</v>
          </cell>
          <cell r="D637" t="str">
            <v/>
          </cell>
          <cell r="E637" t="str">
            <v/>
          </cell>
          <cell r="F637" t="str">
            <v/>
          </cell>
          <cell r="G637" t="str">
            <v/>
          </cell>
          <cell r="H637" t="str">
            <v/>
          </cell>
          <cell r="AR637" t="str">
            <v/>
          </cell>
          <cell r="AS637" t="str">
            <v/>
          </cell>
          <cell r="AU637" t="str">
            <v/>
          </cell>
          <cell r="AV637" t="str">
            <v/>
          </cell>
          <cell r="AW637" t="str">
            <v/>
          </cell>
          <cell r="BA637" t="str">
            <v/>
          </cell>
        </row>
        <row r="638">
          <cell r="A638">
            <v>635</v>
          </cell>
          <cell r="C638" t="str">
            <v>April</v>
          </cell>
          <cell r="D638" t="str">
            <v/>
          </cell>
          <cell r="E638" t="str">
            <v/>
          </cell>
          <cell r="F638" t="str">
            <v/>
          </cell>
          <cell r="G638" t="str">
            <v/>
          </cell>
          <cell r="H638" t="str">
            <v/>
          </cell>
          <cell r="AR638" t="str">
            <v/>
          </cell>
          <cell r="AS638" t="str">
            <v/>
          </cell>
          <cell r="AU638" t="str">
            <v/>
          </cell>
          <cell r="AV638" t="str">
            <v/>
          </cell>
          <cell r="AW638" t="str">
            <v/>
          </cell>
          <cell r="BA638" t="str">
            <v/>
          </cell>
        </row>
        <row r="639">
          <cell r="A639">
            <v>636</v>
          </cell>
          <cell r="C639" t="str">
            <v>April</v>
          </cell>
          <cell r="D639" t="str">
            <v/>
          </cell>
          <cell r="E639" t="str">
            <v/>
          </cell>
          <cell r="F639" t="str">
            <v/>
          </cell>
          <cell r="G639" t="str">
            <v/>
          </cell>
          <cell r="H639" t="str">
            <v/>
          </cell>
          <cell r="AR639" t="str">
            <v/>
          </cell>
          <cell r="AS639" t="str">
            <v/>
          </cell>
          <cell r="AU639" t="str">
            <v/>
          </cell>
          <cell r="AV639" t="str">
            <v/>
          </cell>
          <cell r="AW639" t="str">
            <v/>
          </cell>
          <cell r="BA639" t="str">
            <v/>
          </cell>
        </row>
        <row r="640">
          <cell r="A640">
            <v>637</v>
          </cell>
          <cell r="C640" t="str">
            <v>April</v>
          </cell>
          <cell r="D640" t="str">
            <v/>
          </cell>
          <cell r="E640" t="str">
            <v/>
          </cell>
          <cell r="F640" t="str">
            <v/>
          </cell>
          <cell r="G640" t="str">
            <v/>
          </cell>
          <cell r="H640" t="str">
            <v/>
          </cell>
          <cell r="AR640" t="str">
            <v/>
          </cell>
          <cell r="AS640" t="str">
            <v/>
          </cell>
          <cell r="AU640" t="str">
            <v/>
          </cell>
          <cell r="AV640" t="str">
            <v/>
          </cell>
          <cell r="AW640" t="str">
            <v/>
          </cell>
          <cell r="BA640" t="str">
            <v/>
          </cell>
        </row>
        <row r="641">
          <cell r="A641">
            <v>638</v>
          </cell>
          <cell r="C641" t="str">
            <v>April</v>
          </cell>
          <cell r="D641" t="str">
            <v/>
          </cell>
          <cell r="E641" t="str">
            <v/>
          </cell>
          <cell r="F641" t="str">
            <v/>
          </cell>
          <cell r="G641" t="str">
            <v/>
          </cell>
          <cell r="H641" t="str">
            <v/>
          </cell>
          <cell r="AR641" t="str">
            <v/>
          </cell>
          <cell r="AS641" t="str">
            <v/>
          </cell>
          <cell r="AU641" t="str">
            <v/>
          </cell>
          <cell r="AV641" t="str">
            <v/>
          </cell>
          <cell r="AW641" t="str">
            <v/>
          </cell>
          <cell r="BA641" t="str">
            <v/>
          </cell>
        </row>
        <row r="642">
          <cell r="A642">
            <v>639</v>
          </cell>
          <cell r="C642" t="str">
            <v>April</v>
          </cell>
          <cell r="D642" t="str">
            <v/>
          </cell>
          <cell r="E642" t="str">
            <v/>
          </cell>
          <cell r="F642" t="str">
            <v/>
          </cell>
          <cell r="G642" t="str">
            <v/>
          </cell>
          <cell r="H642" t="str">
            <v/>
          </cell>
          <cell r="AR642" t="str">
            <v/>
          </cell>
          <cell r="AS642" t="str">
            <v/>
          </cell>
          <cell r="AU642" t="str">
            <v/>
          </cell>
          <cell r="AV642" t="str">
            <v/>
          </cell>
          <cell r="AW642" t="str">
            <v/>
          </cell>
          <cell r="BA642" t="str">
            <v/>
          </cell>
        </row>
        <row r="643">
          <cell r="A643">
            <v>640</v>
          </cell>
          <cell r="C643" t="str">
            <v>April</v>
          </cell>
          <cell r="D643" t="str">
            <v/>
          </cell>
          <cell r="E643" t="str">
            <v/>
          </cell>
          <cell r="F643" t="str">
            <v/>
          </cell>
          <cell r="G643" t="str">
            <v/>
          </cell>
          <cell r="H643" t="str">
            <v/>
          </cell>
          <cell r="AR643" t="str">
            <v/>
          </cell>
          <cell r="AS643" t="str">
            <v/>
          </cell>
          <cell r="AU643" t="str">
            <v/>
          </cell>
          <cell r="AV643" t="str">
            <v/>
          </cell>
          <cell r="AW643" t="str">
            <v/>
          </cell>
          <cell r="BA643" t="str">
            <v/>
          </cell>
        </row>
        <row r="644">
          <cell r="A644">
            <v>641</v>
          </cell>
          <cell r="C644" t="str">
            <v>April</v>
          </cell>
          <cell r="D644" t="str">
            <v/>
          </cell>
          <cell r="E644" t="str">
            <v/>
          </cell>
          <cell r="F644" t="str">
            <v/>
          </cell>
          <cell r="G644" t="str">
            <v/>
          </cell>
          <cell r="H644" t="str">
            <v/>
          </cell>
          <cell r="AR644" t="str">
            <v/>
          </cell>
          <cell r="AS644" t="str">
            <v/>
          </cell>
          <cell r="AU644" t="str">
            <v/>
          </cell>
          <cell r="AV644" t="str">
            <v/>
          </cell>
          <cell r="AW644" t="str">
            <v/>
          </cell>
          <cell r="BA644" t="str">
            <v/>
          </cell>
        </row>
        <row r="645">
          <cell r="A645">
            <v>642</v>
          </cell>
          <cell r="C645" t="str">
            <v>April</v>
          </cell>
          <cell r="D645" t="str">
            <v/>
          </cell>
          <cell r="E645" t="str">
            <v/>
          </cell>
          <cell r="F645" t="str">
            <v/>
          </cell>
          <cell r="G645" t="str">
            <v/>
          </cell>
          <cell r="H645" t="str">
            <v/>
          </cell>
          <cell r="AR645" t="str">
            <v/>
          </cell>
          <cell r="AS645" t="str">
            <v/>
          </cell>
          <cell r="AU645" t="str">
            <v/>
          </cell>
          <cell r="AV645" t="str">
            <v/>
          </cell>
          <cell r="AW645" t="str">
            <v/>
          </cell>
          <cell r="BA645" t="str">
            <v/>
          </cell>
        </row>
        <row r="646">
          <cell r="A646">
            <v>643</v>
          </cell>
          <cell r="C646" t="str">
            <v>April</v>
          </cell>
          <cell r="D646" t="str">
            <v/>
          </cell>
          <cell r="E646" t="str">
            <v/>
          </cell>
          <cell r="F646" t="str">
            <v/>
          </cell>
          <cell r="G646" t="str">
            <v/>
          </cell>
          <cell r="H646" t="str">
            <v/>
          </cell>
          <cell r="AR646" t="str">
            <v/>
          </cell>
          <cell r="AS646" t="str">
            <v/>
          </cell>
          <cell r="AU646" t="str">
            <v/>
          </cell>
          <cell r="AV646" t="str">
            <v/>
          </cell>
          <cell r="AW646" t="str">
            <v/>
          </cell>
          <cell r="BA646" t="str">
            <v/>
          </cell>
        </row>
        <row r="647">
          <cell r="A647">
            <v>644</v>
          </cell>
          <cell r="C647" t="str">
            <v>April</v>
          </cell>
          <cell r="D647" t="str">
            <v/>
          </cell>
          <cell r="E647" t="str">
            <v/>
          </cell>
          <cell r="F647" t="str">
            <v/>
          </cell>
          <cell r="G647" t="str">
            <v/>
          </cell>
          <cell r="H647" t="str">
            <v/>
          </cell>
          <cell r="AR647" t="str">
            <v/>
          </cell>
          <cell r="AS647" t="str">
            <v/>
          </cell>
          <cell r="AU647" t="str">
            <v/>
          </cell>
          <cell r="AV647" t="str">
            <v/>
          </cell>
          <cell r="AW647" t="str">
            <v/>
          </cell>
          <cell r="BA647" t="str">
            <v/>
          </cell>
        </row>
        <row r="648">
          <cell r="A648">
            <v>645</v>
          </cell>
          <cell r="C648" t="str">
            <v>April</v>
          </cell>
          <cell r="D648" t="str">
            <v/>
          </cell>
          <cell r="E648" t="str">
            <v/>
          </cell>
          <cell r="F648" t="str">
            <v/>
          </cell>
          <cell r="G648" t="str">
            <v/>
          </cell>
          <cell r="H648" t="str">
            <v/>
          </cell>
          <cell r="AR648" t="str">
            <v/>
          </cell>
          <cell r="AS648" t="str">
            <v/>
          </cell>
          <cell r="AU648" t="str">
            <v/>
          </cell>
          <cell r="AV648" t="str">
            <v/>
          </cell>
          <cell r="AW648" t="str">
            <v/>
          </cell>
          <cell r="BA648" t="str">
            <v/>
          </cell>
        </row>
        <row r="649">
          <cell r="A649">
            <v>646</v>
          </cell>
          <cell r="C649" t="str">
            <v>April</v>
          </cell>
          <cell r="D649" t="str">
            <v/>
          </cell>
          <cell r="E649" t="str">
            <v/>
          </cell>
          <cell r="F649" t="str">
            <v/>
          </cell>
          <cell r="G649" t="str">
            <v/>
          </cell>
          <cell r="H649" t="str">
            <v/>
          </cell>
          <cell r="AR649" t="str">
            <v/>
          </cell>
          <cell r="AS649" t="str">
            <v/>
          </cell>
          <cell r="AU649" t="str">
            <v/>
          </cell>
          <cell r="AV649" t="str">
            <v/>
          </cell>
          <cell r="AW649" t="str">
            <v/>
          </cell>
          <cell r="BA649" t="str">
            <v/>
          </cell>
        </row>
        <row r="650">
          <cell r="A650">
            <v>647</v>
          </cell>
          <cell r="C650" t="str">
            <v>April</v>
          </cell>
          <cell r="D650" t="str">
            <v/>
          </cell>
          <cell r="E650" t="str">
            <v/>
          </cell>
          <cell r="F650" t="str">
            <v/>
          </cell>
          <cell r="G650" t="str">
            <v/>
          </cell>
          <cell r="H650" t="str">
            <v/>
          </cell>
          <cell r="AR650" t="str">
            <v/>
          </cell>
          <cell r="AS650" t="str">
            <v/>
          </cell>
          <cell r="AU650" t="str">
            <v/>
          </cell>
          <cell r="AV650" t="str">
            <v/>
          </cell>
          <cell r="AW650" t="str">
            <v/>
          </cell>
          <cell r="BA650" t="str">
            <v/>
          </cell>
        </row>
        <row r="651">
          <cell r="A651">
            <v>648</v>
          </cell>
          <cell r="C651" t="str">
            <v>April</v>
          </cell>
          <cell r="D651" t="str">
            <v/>
          </cell>
          <cell r="E651" t="str">
            <v/>
          </cell>
          <cell r="F651" t="str">
            <v/>
          </cell>
          <cell r="G651" t="str">
            <v/>
          </cell>
          <cell r="H651" t="str">
            <v/>
          </cell>
          <cell r="AR651" t="str">
            <v/>
          </cell>
          <cell r="AS651" t="str">
            <v/>
          </cell>
          <cell r="AU651" t="str">
            <v/>
          </cell>
          <cell r="AV651" t="str">
            <v/>
          </cell>
          <cell r="AW651" t="str">
            <v/>
          </cell>
          <cell r="BA651" t="str">
            <v/>
          </cell>
        </row>
        <row r="652">
          <cell r="A652">
            <v>649</v>
          </cell>
          <cell r="C652" t="str">
            <v>April</v>
          </cell>
          <cell r="D652" t="str">
            <v/>
          </cell>
          <cell r="E652" t="str">
            <v/>
          </cell>
          <cell r="F652" t="str">
            <v/>
          </cell>
          <cell r="G652" t="str">
            <v/>
          </cell>
          <cell r="H652" t="str">
            <v/>
          </cell>
          <cell r="AR652" t="str">
            <v/>
          </cell>
          <cell r="AS652" t="str">
            <v/>
          </cell>
          <cell r="AU652" t="str">
            <v/>
          </cell>
          <cell r="AV652" t="str">
            <v/>
          </cell>
          <cell r="AW652" t="str">
            <v/>
          </cell>
          <cell r="BA652" t="str">
            <v/>
          </cell>
        </row>
        <row r="653">
          <cell r="A653">
            <v>650</v>
          </cell>
          <cell r="C653" t="str">
            <v>April</v>
          </cell>
          <cell r="D653" t="str">
            <v/>
          </cell>
          <cell r="E653" t="str">
            <v/>
          </cell>
          <cell r="F653" t="str">
            <v/>
          </cell>
          <cell r="G653" t="str">
            <v/>
          </cell>
          <cell r="H653" t="str">
            <v/>
          </cell>
          <cell r="AR653" t="str">
            <v/>
          </cell>
          <cell r="AS653" t="str">
            <v/>
          </cell>
          <cell r="AU653" t="str">
            <v/>
          </cell>
          <cell r="AV653" t="str">
            <v/>
          </cell>
          <cell r="AW653" t="str">
            <v/>
          </cell>
          <cell r="BA653" t="str">
            <v/>
          </cell>
        </row>
        <row r="654">
          <cell r="A654">
            <v>651</v>
          </cell>
          <cell r="C654" t="str">
            <v>April</v>
          </cell>
          <cell r="D654" t="str">
            <v/>
          </cell>
          <cell r="E654" t="str">
            <v/>
          </cell>
          <cell r="F654" t="str">
            <v/>
          </cell>
          <cell r="G654" t="str">
            <v/>
          </cell>
          <cell r="H654" t="str">
            <v/>
          </cell>
          <cell r="AR654" t="str">
            <v/>
          </cell>
          <cell r="AS654" t="str">
            <v/>
          </cell>
          <cell r="AU654" t="str">
            <v/>
          </cell>
          <cell r="AV654" t="str">
            <v/>
          </cell>
          <cell r="AW654" t="str">
            <v/>
          </cell>
          <cell r="BA654" t="str">
            <v/>
          </cell>
        </row>
        <row r="655">
          <cell r="A655">
            <v>652</v>
          </cell>
          <cell r="C655" t="str">
            <v>April</v>
          </cell>
          <cell r="D655" t="str">
            <v/>
          </cell>
          <cell r="E655" t="str">
            <v/>
          </cell>
          <cell r="F655" t="str">
            <v/>
          </cell>
          <cell r="G655" t="str">
            <v/>
          </cell>
          <cell r="H655" t="str">
            <v/>
          </cell>
          <cell r="AR655" t="str">
            <v/>
          </cell>
          <cell r="AS655" t="str">
            <v/>
          </cell>
          <cell r="AU655" t="str">
            <v/>
          </cell>
          <cell r="AV655" t="str">
            <v/>
          </cell>
          <cell r="AW655" t="str">
            <v/>
          </cell>
          <cell r="BA655" t="str">
            <v/>
          </cell>
        </row>
        <row r="656">
          <cell r="A656">
            <v>653</v>
          </cell>
          <cell r="C656" t="str">
            <v>April</v>
          </cell>
          <cell r="D656" t="str">
            <v/>
          </cell>
          <cell r="E656" t="str">
            <v/>
          </cell>
          <cell r="F656" t="str">
            <v/>
          </cell>
          <cell r="G656" t="str">
            <v/>
          </cell>
          <cell r="H656" t="str">
            <v/>
          </cell>
          <cell r="AR656" t="str">
            <v/>
          </cell>
          <cell r="AS656" t="str">
            <v/>
          </cell>
          <cell r="AU656" t="str">
            <v/>
          </cell>
          <cell r="AV656" t="str">
            <v/>
          </cell>
          <cell r="AW656" t="str">
            <v/>
          </cell>
          <cell r="BA656" t="str">
            <v/>
          </cell>
        </row>
        <row r="657">
          <cell r="A657">
            <v>654</v>
          </cell>
          <cell r="C657" t="str">
            <v>April</v>
          </cell>
          <cell r="D657" t="str">
            <v/>
          </cell>
          <cell r="E657" t="str">
            <v/>
          </cell>
          <cell r="F657" t="str">
            <v/>
          </cell>
          <cell r="G657" t="str">
            <v/>
          </cell>
          <cell r="H657" t="str">
            <v/>
          </cell>
          <cell r="AR657" t="str">
            <v/>
          </cell>
          <cell r="AS657" t="str">
            <v/>
          </cell>
          <cell r="AU657" t="str">
            <v/>
          </cell>
          <cell r="AV657" t="str">
            <v/>
          </cell>
          <cell r="AW657" t="str">
            <v/>
          </cell>
          <cell r="BA657" t="str">
            <v/>
          </cell>
        </row>
        <row r="658">
          <cell r="A658">
            <v>655</v>
          </cell>
          <cell r="C658" t="str">
            <v>April</v>
          </cell>
          <cell r="D658" t="str">
            <v/>
          </cell>
          <cell r="E658" t="str">
            <v/>
          </cell>
          <cell r="F658" t="str">
            <v/>
          </cell>
          <cell r="G658" t="str">
            <v/>
          </cell>
          <cell r="H658" t="str">
            <v/>
          </cell>
          <cell r="AR658" t="str">
            <v/>
          </cell>
          <cell r="AS658" t="str">
            <v/>
          </cell>
          <cell r="AU658" t="str">
            <v/>
          </cell>
          <cell r="AV658" t="str">
            <v/>
          </cell>
          <cell r="AW658" t="str">
            <v/>
          </cell>
          <cell r="BA658" t="str">
            <v/>
          </cell>
        </row>
        <row r="659">
          <cell r="A659">
            <v>656</v>
          </cell>
          <cell r="C659" t="str">
            <v>April</v>
          </cell>
          <cell r="D659" t="str">
            <v/>
          </cell>
          <cell r="E659" t="str">
            <v/>
          </cell>
          <cell r="F659" t="str">
            <v/>
          </cell>
          <cell r="G659" t="str">
            <v/>
          </cell>
          <cell r="H659" t="str">
            <v/>
          </cell>
          <cell r="AR659" t="str">
            <v/>
          </cell>
          <cell r="AS659" t="str">
            <v/>
          </cell>
          <cell r="AU659" t="str">
            <v/>
          </cell>
          <cell r="AV659" t="str">
            <v/>
          </cell>
          <cell r="AW659" t="str">
            <v/>
          </cell>
          <cell r="BA659" t="str">
            <v/>
          </cell>
        </row>
        <row r="660">
          <cell r="A660">
            <v>657</v>
          </cell>
          <cell r="C660" t="str">
            <v>April</v>
          </cell>
          <cell r="D660" t="str">
            <v/>
          </cell>
          <cell r="E660" t="str">
            <v/>
          </cell>
          <cell r="F660" t="str">
            <v/>
          </cell>
          <cell r="G660" t="str">
            <v/>
          </cell>
          <cell r="H660" t="str">
            <v/>
          </cell>
          <cell r="AR660" t="str">
            <v/>
          </cell>
          <cell r="AS660" t="str">
            <v/>
          </cell>
          <cell r="AU660" t="str">
            <v/>
          </cell>
          <cell r="AV660" t="str">
            <v/>
          </cell>
          <cell r="AW660" t="str">
            <v/>
          </cell>
          <cell r="BA660" t="str">
            <v/>
          </cell>
        </row>
        <row r="661">
          <cell r="A661">
            <v>658</v>
          </cell>
          <cell r="C661" t="str">
            <v>April</v>
          </cell>
          <cell r="D661" t="str">
            <v/>
          </cell>
          <cell r="E661" t="str">
            <v/>
          </cell>
          <cell r="F661" t="str">
            <v/>
          </cell>
          <cell r="G661" t="str">
            <v/>
          </cell>
          <cell r="H661" t="str">
            <v/>
          </cell>
          <cell r="AR661" t="str">
            <v/>
          </cell>
          <cell r="AS661" t="str">
            <v/>
          </cell>
          <cell r="AU661" t="str">
            <v/>
          </cell>
          <cell r="AV661" t="str">
            <v/>
          </cell>
          <cell r="AW661" t="str">
            <v/>
          </cell>
          <cell r="BA661" t="str">
            <v/>
          </cell>
        </row>
        <row r="662">
          <cell r="A662">
            <v>659</v>
          </cell>
          <cell r="C662" t="str">
            <v>April</v>
          </cell>
          <cell r="D662" t="str">
            <v/>
          </cell>
          <cell r="E662" t="str">
            <v/>
          </cell>
          <cell r="F662" t="str">
            <v/>
          </cell>
          <cell r="G662" t="str">
            <v/>
          </cell>
          <cell r="H662" t="str">
            <v/>
          </cell>
          <cell r="AR662" t="str">
            <v/>
          </cell>
          <cell r="AS662" t="str">
            <v/>
          </cell>
          <cell r="AU662" t="str">
            <v/>
          </cell>
          <cell r="AV662" t="str">
            <v/>
          </cell>
          <cell r="AW662" t="str">
            <v/>
          </cell>
          <cell r="BA662" t="str">
            <v/>
          </cell>
        </row>
        <row r="663">
          <cell r="A663">
            <v>660</v>
          </cell>
          <cell r="C663" t="str">
            <v>April</v>
          </cell>
          <cell r="D663" t="str">
            <v/>
          </cell>
          <cell r="E663" t="str">
            <v/>
          </cell>
          <cell r="F663" t="str">
            <v/>
          </cell>
          <cell r="G663" t="str">
            <v/>
          </cell>
          <cell r="H663" t="str">
            <v/>
          </cell>
          <cell r="AR663" t="str">
            <v/>
          </cell>
          <cell r="AS663" t="str">
            <v/>
          </cell>
          <cell r="AU663" t="str">
            <v/>
          </cell>
          <cell r="AV663" t="str">
            <v/>
          </cell>
          <cell r="AW663" t="str">
            <v/>
          </cell>
          <cell r="BA663" t="str">
            <v/>
          </cell>
        </row>
      </sheetData>
      <sheetData sheetId="19"/>
    </sheetDataSet>
  </externalBook>
</externalLink>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D2CD9F9-0DB9-4DD5-A9AC-D7380EEE892E}">
  <we:reference id="wa200009404" version="1.0.0.8" store="en-US" storeType="OMEX"/>
  <we:alternateReferences>
    <we:reference id="WA200009404" version="1.0.0.8" store="WA200009404" storeType="OMEX"/>
  </we:alternateReferences>
  <we:properties>
    <we:property name="claude.fileId" value="&quot;6f793ebd-35fc-429a-a32a-34056b1c59b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A5461-5AA3-45E8-A913-0A72A3E00848}">
  <dimension ref="A1:CC112"/>
  <sheetViews>
    <sheetView showGridLines="0" tabSelected="1" workbookViewId="0">
      <selection activeCell="K18" sqref="K18:BH68"/>
    </sheetView>
  </sheetViews>
  <sheetFormatPr defaultRowHeight="13.2"/>
  <cols>
    <col min="1" max="2" width="0.5" style="4" customWidth="1"/>
    <col min="3" max="4" width="0.19921875" style="4" customWidth="1"/>
    <col min="5" max="5" width="0.296875" style="4" customWidth="1"/>
    <col min="6" max="6" width="1.19921875" style="4" customWidth="1"/>
    <col min="7" max="7" width="7.3984375" style="4" customWidth="1"/>
    <col min="8" max="8" width="0.19921875" style="4" customWidth="1"/>
    <col min="9" max="9" width="5.69921875" style="4" customWidth="1"/>
    <col min="10" max="10" width="7.3984375" style="4" customWidth="1"/>
    <col min="11" max="11" width="0.796875" style="4" customWidth="1"/>
    <col min="12" max="12" width="1.796875" style="4" customWidth="1"/>
    <col min="13" max="14" width="2.59765625" style="4" customWidth="1"/>
    <col min="15" max="15" width="0.296875" style="4" customWidth="1"/>
    <col min="16" max="16" width="0.796875" style="4" customWidth="1"/>
    <col min="17" max="17" width="0.296875" style="4" customWidth="1"/>
    <col min="18" max="18" width="1.19921875" style="4" customWidth="1"/>
    <col min="19" max="19" width="1.5" style="4" customWidth="1"/>
    <col min="20" max="20" width="0.19921875" style="4" customWidth="1"/>
    <col min="21" max="21" width="0.8984375" style="4" customWidth="1"/>
    <col min="22" max="22" width="2.59765625" style="4" customWidth="1"/>
    <col min="23" max="23" width="1.19921875" style="4" customWidth="1"/>
    <col min="24" max="24" width="0.19921875" style="4" customWidth="1"/>
    <col min="25" max="25" width="1.19921875" style="4" customWidth="1"/>
    <col min="26" max="27" width="2.59765625" style="4" customWidth="1"/>
    <col min="28" max="28" width="2" style="4" customWidth="1"/>
    <col min="29" max="29" width="0.19921875" style="4" customWidth="1"/>
    <col min="30" max="30" width="0.5" style="4" customWidth="1"/>
    <col min="31" max="32" width="0.19921875" style="4" customWidth="1"/>
    <col min="33" max="33" width="2.296875" style="4" customWidth="1"/>
    <col min="34" max="34" width="2.59765625" style="4" customWidth="1"/>
    <col min="35" max="35" width="1.09765625" style="4" customWidth="1"/>
    <col min="36" max="36" width="0.296875" style="4" customWidth="1"/>
    <col min="37" max="37" width="1.19921875" style="4" customWidth="1"/>
    <col min="38" max="38" width="0.59765625" style="4" customWidth="1"/>
    <col min="39" max="39" width="2" style="4" customWidth="1"/>
    <col min="40" max="40" width="1.09765625" style="4" customWidth="1"/>
    <col min="41" max="41" width="1.5" style="4" customWidth="1"/>
    <col min="42" max="42" width="1.09765625" style="4" customWidth="1"/>
    <col min="43" max="43" width="1.5" style="4" customWidth="1"/>
    <col min="44" max="44" width="2.59765625" style="4" customWidth="1"/>
    <col min="45" max="45" width="1.3984375" style="4" customWidth="1"/>
    <col min="46" max="46" width="1.19921875" style="4" customWidth="1"/>
    <col min="47" max="48" width="2.59765625" style="4" customWidth="1"/>
    <col min="49" max="49" width="1.69921875" style="4" customWidth="1"/>
    <col min="50" max="51" width="0.8984375" style="4" customWidth="1"/>
    <col min="52" max="52" width="0.59765625" style="4" customWidth="1"/>
    <col min="53" max="53" width="1.09765625" style="4" customWidth="1"/>
    <col min="54" max="54" width="1.19921875" style="4" customWidth="1"/>
    <col min="55" max="55" width="1.3984375" style="4" customWidth="1"/>
    <col min="56" max="56" width="2.59765625" style="4" customWidth="1"/>
    <col min="57" max="57" width="1.09765625" style="4" customWidth="1"/>
    <col min="58" max="58" width="0.19921875" style="4" customWidth="1"/>
    <col min="59" max="59" width="0.296875" style="4" customWidth="1"/>
    <col min="60" max="61" width="1.19921875" style="4" customWidth="1"/>
    <col min="62" max="62" width="0.296875" style="4" customWidth="1"/>
    <col min="63" max="63" width="4.5" style="4" customWidth="1"/>
    <col min="64" max="64" width="1.19921875" style="4" customWidth="1"/>
    <col min="65" max="65" width="1.09765625" style="4" customWidth="1"/>
    <col min="66" max="66" width="2.296875" style="4" customWidth="1"/>
    <col min="67" max="67" width="1.5" style="4" customWidth="1"/>
    <col min="68" max="68" width="0.796875" style="4" customWidth="1"/>
    <col min="69" max="69" width="0.59765625" style="4" customWidth="1"/>
    <col min="70" max="70" width="5.3984375" style="4" customWidth="1"/>
    <col min="71" max="71" width="2.09765625" style="4" customWidth="1"/>
    <col min="72" max="72" width="0.19921875" style="4" customWidth="1"/>
    <col min="73" max="73" width="0.5" style="4" customWidth="1"/>
    <col min="74" max="74" width="3.3984375" style="4" customWidth="1"/>
    <col min="75" max="76" width="3.796875" style="4" customWidth="1"/>
    <col min="77" max="77" width="0.296875" style="4" customWidth="1"/>
    <col min="78" max="78" width="2" style="4" customWidth="1"/>
    <col min="79" max="79" width="0.296875" style="4" customWidth="1"/>
    <col min="80" max="256" width="8.796875" style="4"/>
    <col min="257" max="258" width="0.5" style="4" customWidth="1"/>
    <col min="259" max="260" width="0.19921875" style="4" customWidth="1"/>
    <col min="261" max="261" width="0.296875" style="4" customWidth="1"/>
    <col min="262" max="262" width="1.19921875" style="4" customWidth="1"/>
    <col min="263" max="263" width="7.3984375" style="4" customWidth="1"/>
    <col min="264" max="264" width="0.19921875" style="4" customWidth="1"/>
    <col min="265" max="265" width="5.69921875" style="4" customWidth="1"/>
    <col min="266" max="266" width="7.3984375" style="4" customWidth="1"/>
    <col min="267" max="267" width="0.796875" style="4" customWidth="1"/>
    <col min="268" max="268" width="1.796875" style="4" customWidth="1"/>
    <col min="269" max="270" width="2.59765625" style="4" customWidth="1"/>
    <col min="271" max="271" width="0.296875" style="4" customWidth="1"/>
    <col min="272" max="272" width="0.796875" style="4" customWidth="1"/>
    <col min="273" max="273" width="0.296875" style="4" customWidth="1"/>
    <col min="274" max="274" width="1.19921875" style="4" customWidth="1"/>
    <col min="275" max="275" width="1.5" style="4" customWidth="1"/>
    <col min="276" max="276" width="0.19921875" style="4" customWidth="1"/>
    <col min="277" max="277" width="0.8984375" style="4" customWidth="1"/>
    <col min="278" max="278" width="2.59765625" style="4" customWidth="1"/>
    <col min="279" max="279" width="1.19921875" style="4" customWidth="1"/>
    <col min="280" max="280" width="0.19921875" style="4" customWidth="1"/>
    <col min="281" max="281" width="1.19921875" style="4" customWidth="1"/>
    <col min="282" max="283" width="2.59765625" style="4" customWidth="1"/>
    <col min="284" max="284" width="2" style="4" customWidth="1"/>
    <col min="285" max="285" width="0.19921875" style="4" customWidth="1"/>
    <col min="286" max="286" width="0.5" style="4" customWidth="1"/>
    <col min="287" max="288" width="0.19921875" style="4" customWidth="1"/>
    <col min="289" max="289" width="2.296875" style="4" customWidth="1"/>
    <col min="290" max="290" width="2.59765625" style="4" customWidth="1"/>
    <col min="291" max="291" width="1.09765625" style="4" customWidth="1"/>
    <col min="292" max="292" width="0.296875" style="4" customWidth="1"/>
    <col min="293" max="293" width="1.19921875" style="4" customWidth="1"/>
    <col min="294" max="294" width="0.59765625" style="4" customWidth="1"/>
    <col min="295" max="295" width="2" style="4" customWidth="1"/>
    <col min="296" max="296" width="1.09765625" style="4" customWidth="1"/>
    <col min="297" max="297" width="1.5" style="4" customWidth="1"/>
    <col min="298" max="298" width="1.09765625" style="4" customWidth="1"/>
    <col min="299" max="299" width="1.5" style="4" customWidth="1"/>
    <col min="300" max="300" width="2.59765625" style="4" customWidth="1"/>
    <col min="301" max="301" width="1.3984375" style="4" customWidth="1"/>
    <col min="302" max="302" width="1.19921875" style="4" customWidth="1"/>
    <col min="303" max="304" width="2.59765625" style="4" customWidth="1"/>
    <col min="305" max="305" width="1.69921875" style="4" customWidth="1"/>
    <col min="306" max="307" width="0.8984375" style="4" customWidth="1"/>
    <col min="308" max="308" width="0.59765625" style="4" customWidth="1"/>
    <col min="309" max="309" width="1.09765625" style="4" customWidth="1"/>
    <col min="310" max="310" width="1.19921875" style="4" customWidth="1"/>
    <col min="311" max="311" width="1.3984375" style="4" customWidth="1"/>
    <col min="312" max="312" width="2.59765625" style="4" customWidth="1"/>
    <col min="313" max="313" width="1.09765625" style="4" customWidth="1"/>
    <col min="314" max="314" width="0.19921875" style="4" customWidth="1"/>
    <col min="315" max="315" width="0.296875" style="4" customWidth="1"/>
    <col min="316" max="316" width="1.09765625" style="4" customWidth="1"/>
    <col min="317" max="317" width="1.19921875" style="4" customWidth="1"/>
    <col min="318" max="318" width="0.296875" style="4" customWidth="1"/>
    <col min="319" max="319" width="4.5" style="4" customWidth="1"/>
    <col min="320" max="320" width="1.19921875" style="4" customWidth="1"/>
    <col min="321" max="321" width="1.09765625" style="4" customWidth="1"/>
    <col min="322" max="322" width="2.296875" style="4" customWidth="1"/>
    <col min="323" max="323" width="1.5" style="4" customWidth="1"/>
    <col min="324" max="324" width="0.796875" style="4" customWidth="1"/>
    <col min="325" max="325" width="0.59765625" style="4" customWidth="1"/>
    <col min="326" max="326" width="5.3984375" style="4" customWidth="1"/>
    <col min="327" max="327" width="2.09765625" style="4" customWidth="1"/>
    <col min="328" max="328" width="0.19921875" style="4" customWidth="1"/>
    <col min="329" max="329" width="0.5" style="4" customWidth="1"/>
    <col min="330" max="330" width="2.59765625" style="4" customWidth="1"/>
    <col min="331" max="331" width="3" style="4" customWidth="1"/>
    <col min="332" max="332" width="3.796875" style="4" customWidth="1"/>
    <col min="333" max="333" width="0.296875" style="4" customWidth="1"/>
    <col min="334" max="334" width="2" style="4" customWidth="1"/>
    <col min="335" max="335" width="0.296875" style="4" customWidth="1"/>
    <col min="336" max="512" width="8.796875" style="4"/>
    <col min="513" max="514" width="0.5" style="4" customWidth="1"/>
    <col min="515" max="516" width="0.19921875" style="4" customWidth="1"/>
    <col min="517" max="517" width="0.296875" style="4" customWidth="1"/>
    <col min="518" max="518" width="1.19921875" style="4" customWidth="1"/>
    <col min="519" max="519" width="7.3984375" style="4" customWidth="1"/>
    <col min="520" max="520" width="0.19921875" style="4" customWidth="1"/>
    <col min="521" max="521" width="5.69921875" style="4" customWidth="1"/>
    <col min="522" max="522" width="7.3984375" style="4" customWidth="1"/>
    <col min="523" max="523" width="0.796875" style="4" customWidth="1"/>
    <col min="524" max="524" width="1.796875" style="4" customWidth="1"/>
    <col min="525" max="526" width="2.59765625" style="4" customWidth="1"/>
    <col min="527" max="527" width="0.296875" style="4" customWidth="1"/>
    <col min="528" max="528" width="0.796875" style="4" customWidth="1"/>
    <col min="529" max="529" width="0.296875" style="4" customWidth="1"/>
    <col min="530" max="530" width="1.19921875" style="4" customWidth="1"/>
    <col min="531" max="531" width="1.5" style="4" customWidth="1"/>
    <col min="532" max="532" width="0.19921875" style="4" customWidth="1"/>
    <col min="533" max="533" width="0.8984375" style="4" customWidth="1"/>
    <col min="534" max="534" width="2.59765625" style="4" customWidth="1"/>
    <col min="535" max="535" width="1.19921875" style="4" customWidth="1"/>
    <col min="536" max="536" width="0.19921875" style="4" customWidth="1"/>
    <col min="537" max="537" width="1.19921875" style="4" customWidth="1"/>
    <col min="538" max="539" width="2.59765625" style="4" customWidth="1"/>
    <col min="540" max="540" width="2" style="4" customWidth="1"/>
    <col min="541" max="541" width="0.19921875" style="4" customWidth="1"/>
    <col min="542" max="542" width="0.5" style="4" customWidth="1"/>
    <col min="543" max="544" width="0.19921875" style="4" customWidth="1"/>
    <col min="545" max="545" width="2.296875" style="4" customWidth="1"/>
    <col min="546" max="546" width="2.59765625" style="4" customWidth="1"/>
    <col min="547" max="547" width="1.09765625" style="4" customWidth="1"/>
    <col min="548" max="548" width="0.296875" style="4" customWidth="1"/>
    <col min="549" max="549" width="1.19921875" style="4" customWidth="1"/>
    <col min="550" max="550" width="0.59765625" style="4" customWidth="1"/>
    <col min="551" max="551" width="2" style="4" customWidth="1"/>
    <col min="552" max="552" width="1.09765625" style="4" customWidth="1"/>
    <col min="553" max="553" width="1.5" style="4" customWidth="1"/>
    <col min="554" max="554" width="1.09765625" style="4" customWidth="1"/>
    <col min="555" max="555" width="1.5" style="4" customWidth="1"/>
    <col min="556" max="556" width="2.59765625" style="4" customWidth="1"/>
    <col min="557" max="557" width="1.3984375" style="4" customWidth="1"/>
    <col min="558" max="558" width="1.19921875" style="4" customWidth="1"/>
    <col min="559" max="560" width="2.59765625" style="4" customWidth="1"/>
    <col min="561" max="561" width="1.69921875" style="4" customWidth="1"/>
    <col min="562" max="563" width="0.8984375" style="4" customWidth="1"/>
    <col min="564" max="564" width="0.59765625" style="4" customWidth="1"/>
    <col min="565" max="565" width="1.09765625" style="4" customWidth="1"/>
    <col min="566" max="566" width="1.19921875" style="4" customWidth="1"/>
    <col min="567" max="567" width="1.3984375" style="4" customWidth="1"/>
    <col min="568" max="568" width="2.59765625" style="4" customWidth="1"/>
    <col min="569" max="569" width="1.09765625" style="4" customWidth="1"/>
    <col min="570" max="570" width="0.19921875" style="4" customWidth="1"/>
    <col min="571" max="571" width="0.296875" style="4" customWidth="1"/>
    <col min="572" max="572" width="1.09765625" style="4" customWidth="1"/>
    <col min="573" max="573" width="1.19921875" style="4" customWidth="1"/>
    <col min="574" max="574" width="0.296875" style="4" customWidth="1"/>
    <col min="575" max="575" width="4.5" style="4" customWidth="1"/>
    <col min="576" max="576" width="1.19921875" style="4" customWidth="1"/>
    <col min="577" max="577" width="1.09765625" style="4" customWidth="1"/>
    <col min="578" max="578" width="2.296875" style="4" customWidth="1"/>
    <col min="579" max="579" width="1.5" style="4" customWidth="1"/>
    <col min="580" max="580" width="0.796875" style="4" customWidth="1"/>
    <col min="581" max="581" width="0.59765625" style="4" customWidth="1"/>
    <col min="582" max="582" width="5.3984375" style="4" customWidth="1"/>
    <col min="583" max="583" width="2.09765625" style="4" customWidth="1"/>
    <col min="584" max="584" width="0.19921875" style="4" customWidth="1"/>
    <col min="585" max="585" width="0.5" style="4" customWidth="1"/>
    <col min="586" max="586" width="2.59765625" style="4" customWidth="1"/>
    <col min="587" max="587" width="3" style="4" customWidth="1"/>
    <col min="588" max="588" width="3.796875" style="4" customWidth="1"/>
    <col min="589" max="589" width="0.296875" style="4" customWidth="1"/>
    <col min="590" max="590" width="2" style="4" customWidth="1"/>
    <col min="591" max="591" width="0.296875" style="4" customWidth="1"/>
    <col min="592" max="768" width="8.796875" style="4"/>
    <col min="769" max="770" width="0.5" style="4" customWidth="1"/>
    <col min="771" max="772" width="0.19921875" style="4" customWidth="1"/>
    <col min="773" max="773" width="0.296875" style="4" customWidth="1"/>
    <col min="774" max="774" width="1.19921875" style="4" customWidth="1"/>
    <col min="775" max="775" width="7.3984375" style="4" customWidth="1"/>
    <col min="776" max="776" width="0.19921875" style="4" customWidth="1"/>
    <col min="777" max="777" width="5.69921875" style="4" customWidth="1"/>
    <col min="778" max="778" width="7.3984375" style="4" customWidth="1"/>
    <col min="779" max="779" width="0.796875" style="4" customWidth="1"/>
    <col min="780" max="780" width="1.796875" style="4" customWidth="1"/>
    <col min="781" max="782" width="2.59765625" style="4" customWidth="1"/>
    <col min="783" max="783" width="0.296875" style="4" customWidth="1"/>
    <col min="784" max="784" width="0.796875" style="4" customWidth="1"/>
    <col min="785" max="785" width="0.296875" style="4" customWidth="1"/>
    <col min="786" max="786" width="1.19921875" style="4" customWidth="1"/>
    <col min="787" max="787" width="1.5" style="4" customWidth="1"/>
    <col min="788" max="788" width="0.19921875" style="4" customWidth="1"/>
    <col min="789" max="789" width="0.8984375" style="4" customWidth="1"/>
    <col min="790" max="790" width="2.59765625" style="4" customWidth="1"/>
    <col min="791" max="791" width="1.19921875" style="4" customWidth="1"/>
    <col min="792" max="792" width="0.19921875" style="4" customWidth="1"/>
    <col min="793" max="793" width="1.19921875" style="4" customWidth="1"/>
    <col min="794" max="795" width="2.59765625" style="4" customWidth="1"/>
    <col min="796" max="796" width="2" style="4" customWidth="1"/>
    <col min="797" max="797" width="0.19921875" style="4" customWidth="1"/>
    <col min="798" max="798" width="0.5" style="4" customWidth="1"/>
    <col min="799" max="800" width="0.19921875" style="4" customWidth="1"/>
    <col min="801" max="801" width="2.296875" style="4" customWidth="1"/>
    <col min="802" max="802" width="2.59765625" style="4" customWidth="1"/>
    <col min="803" max="803" width="1.09765625" style="4" customWidth="1"/>
    <col min="804" max="804" width="0.296875" style="4" customWidth="1"/>
    <col min="805" max="805" width="1.19921875" style="4" customWidth="1"/>
    <col min="806" max="806" width="0.59765625" style="4" customWidth="1"/>
    <col min="807" max="807" width="2" style="4" customWidth="1"/>
    <col min="808" max="808" width="1.09765625" style="4" customWidth="1"/>
    <col min="809" max="809" width="1.5" style="4" customWidth="1"/>
    <col min="810" max="810" width="1.09765625" style="4" customWidth="1"/>
    <col min="811" max="811" width="1.5" style="4" customWidth="1"/>
    <col min="812" max="812" width="2.59765625" style="4" customWidth="1"/>
    <col min="813" max="813" width="1.3984375" style="4" customWidth="1"/>
    <col min="814" max="814" width="1.19921875" style="4" customWidth="1"/>
    <col min="815" max="816" width="2.59765625" style="4" customWidth="1"/>
    <col min="817" max="817" width="1.69921875" style="4" customWidth="1"/>
    <col min="818" max="819" width="0.8984375" style="4" customWidth="1"/>
    <col min="820" max="820" width="0.59765625" style="4" customWidth="1"/>
    <col min="821" max="821" width="1.09765625" style="4" customWidth="1"/>
    <col min="822" max="822" width="1.19921875" style="4" customWidth="1"/>
    <col min="823" max="823" width="1.3984375" style="4" customWidth="1"/>
    <col min="824" max="824" width="2.59765625" style="4" customWidth="1"/>
    <col min="825" max="825" width="1.09765625" style="4" customWidth="1"/>
    <col min="826" max="826" width="0.19921875" style="4" customWidth="1"/>
    <col min="827" max="827" width="0.296875" style="4" customWidth="1"/>
    <col min="828" max="828" width="1.09765625" style="4" customWidth="1"/>
    <col min="829" max="829" width="1.19921875" style="4" customWidth="1"/>
    <col min="830" max="830" width="0.296875" style="4" customWidth="1"/>
    <col min="831" max="831" width="4.5" style="4" customWidth="1"/>
    <col min="832" max="832" width="1.19921875" style="4" customWidth="1"/>
    <col min="833" max="833" width="1.09765625" style="4" customWidth="1"/>
    <col min="834" max="834" width="2.296875" style="4" customWidth="1"/>
    <col min="835" max="835" width="1.5" style="4" customWidth="1"/>
    <col min="836" max="836" width="0.796875" style="4" customWidth="1"/>
    <col min="837" max="837" width="0.59765625" style="4" customWidth="1"/>
    <col min="838" max="838" width="5.3984375" style="4" customWidth="1"/>
    <col min="839" max="839" width="2.09765625" style="4" customWidth="1"/>
    <col min="840" max="840" width="0.19921875" style="4" customWidth="1"/>
    <col min="841" max="841" width="0.5" style="4" customWidth="1"/>
    <col min="842" max="842" width="2.59765625" style="4" customWidth="1"/>
    <col min="843" max="843" width="3" style="4" customWidth="1"/>
    <col min="844" max="844" width="3.796875" style="4" customWidth="1"/>
    <col min="845" max="845" width="0.296875" style="4" customWidth="1"/>
    <col min="846" max="846" width="2" style="4" customWidth="1"/>
    <col min="847" max="847" width="0.296875" style="4" customWidth="1"/>
    <col min="848" max="1024" width="8.796875" style="4"/>
    <col min="1025" max="1026" width="0.5" style="4" customWidth="1"/>
    <col min="1027" max="1028" width="0.19921875" style="4" customWidth="1"/>
    <col min="1029" max="1029" width="0.296875" style="4" customWidth="1"/>
    <col min="1030" max="1030" width="1.19921875" style="4" customWidth="1"/>
    <col min="1031" max="1031" width="7.3984375" style="4" customWidth="1"/>
    <col min="1032" max="1032" width="0.19921875" style="4" customWidth="1"/>
    <col min="1033" max="1033" width="5.69921875" style="4" customWidth="1"/>
    <col min="1034" max="1034" width="7.3984375" style="4" customWidth="1"/>
    <col min="1035" max="1035" width="0.796875" style="4" customWidth="1"/>
    <col min="1036" max="1036" width="1.796875" style="4" customWidth="1"/>
    <col min="1037" max="1038" width="2.59765625" style="4" customWidth="1"/>
    <col min="1039" max="1039" width="0.296875" style="4" customWidth="1"/>
    <col min="1040" max="1040" width="0.796875" style="4" customWidth="1"/>
    <col min="1041" max="1041" width="0.296875" style="4" customWidth="1"/>
    <col min="1042" max="1042" width="1.19921875" style="4" customWidth="1"/>
    <col min="1043" max="1043" width="1.5" style="4" customWidth="1"/>
    <col min="1044" max="1044" width="0.19921875" style="4" customWidth="1"/>
    <col min="1045" max="1045" width="0.8984375" style="4" customWidth="1"/>
    <col min="1046" max="1046" width="2.59765625" style="4" customWidth="1"/>
    <col min="1047" max="1047" width="1.19921875" style="4" customWidth="1"/>
    <col min="1048" max="1048" width="0.19921875" style="4" customWidth="1"/>
    <col min="1049" max="1049" width="1.19921875" style="4" customWidth="1"/>
    <col min="1050" max="1051" width="2.59765625" style="4" customWidth="1"/>
    <col min="1052" max="1052" width="2" style="4" customWidth="1"/>
    <col min="1053" max="1053" width="0.19921875" style="4" customWidth="1"/>
    <col min="1054" max="1054" width="0.5" style="4" customWidth="1"/>
    <col min="1055" max="1056" width="0.19921875" style="4" customWidth="1"/>
    <col min="1057" max="1057" width="2.296875" style="4" customWidth="1"/>
    <col min="1058" max="1058" width="2.59765625" style="4" customWidth="1"/>
    <col min="1059" max="1059" width="1.09765625" style="4" customWidth="1"/>
    <col min="1060" max="1060" width="0.296875" style="4" customWidth="1"/>
    <col min="1061" max="1061" width="1.19921875" style="4" customWidth="1"/>
    <col min="1062" max="1062" width="0.59765625" style="4" customWidth="1"/>
    <col min="1063" max="1063" width="2" style="4" customWidth="1"/>
    <col min="1064" max="1064" width="1.09765625" style="4" customWidth="1"/>
    <col min="1065" max="1065" width="1.5" style="4" customWidth="1"/>
    <col min="1066" max="1066" width="1.09765625" style="4" customWidth="1"/>
    <col min="1067" max="1067" width="1.5" style="4" customWidth="1"/>
    <col min="1068" max="1068" width="2.59765625" style="4" customWidth="1"/>
    <col min="1069" max="1069" width="1.3984375" style="4" customWidth="1"/>
    <col min="1070" max="1070" width="1.19921875" style="4" customWidth="1"/>
    <col min="1071" max="1072" width="2.59765625" style="4" customWidth="1"/>
    <col min="1073" max="1073" width="1.69921875" style="4" customWidth="1"/>
    <col min="1074" max="1075" width="0.8984375" style="4" customWidth="1"/>
    <col min="1076" max="1076" width="0.59765625" style="4" customWidth="1"/>
    <col min="1077" max="1077" width="1.09765625" style="4" customWidth="1"/>
    <col min="1078" max="1078" width="1.19921875" style="4" customWidth="1"/>
    <col min="1079" max="1079" width="1.3984375" style="4" customWidth="1"/>
    <col min="1080" max="1080" width="2.59765625" style="4" customWidth="1"/>
    <col min="1081" max="1081" width="1.09765625" style="4" customWidth="1"/>
    <col min="1082" max="1082" width="0.19921875" style="4" customWidth="1"/>
    <col min="1083" max="1083" width="0.296875" style="4" customWidth="1"/>
    <col min="1084" max="1084" width="1.09765625" style="4" customWidth="1"/>
    <col min="1085" max="1085" width="1.19921875" style="4" customWidth="1"/>
    <col min="1086" max="1086" width="0.296875" style="4" customWidth="1"/>
    <col min="1087" max="1087" width="4.5" style="4" customWidth="1"/>
    <col min="1088" max="1088" width="1.19921875" style="4" customWidth="1"/>
    <col min="1089" max="1089" width="1.09765625" style="4" customWidth="1"/>
    <col min="1090" max="1090" width="2.296875" style="4" customWidth="1"/>
    <col min="1091" max="1091" width="1.5" style="4" customWidth="1"/>
    <col min="1092" max="1092" width="0.796875" style="4" customWidth="1"/>
    <col min="1093" max="1093" width="0.59765625" style="4" customWidth="1"/>
    <col min="1094" max="1094" width="5.3984375" style="4" customWidth="1"/>
    <col min="1095" max="1095" width="2.09765625" style="4" customWidth="1"/>
    <col min="1096" max="1096" width="0.19921875" style="4" customWidth="1"/>
    <col min="1097" max="1097" width="0.5" style="4" customWidth="1"/>
    <col min="1098" max="1098" width="2.59765625" style="4" customWidth="1"/>
    <col min="1099" max="1099" width="3" style="4" customWidth="1"/>
    <col min="1100" max="1100" width="3.796875" style="4" customWidth="1"/>
    <col min="1101" max="1101" width="0.296875" style="4" customWidth="1"/>
    <col min="1102" max="1102" width="2" style="4" customWidth="1"/>
    <col min="1103" max="1103" width="0.296875" style="4" customWidth="1"/>
    <col min="1104" max="1280" width="8.796875" style="4"/>
    <col min="1281" max="1282" width="0.5" style="4" customWidth="1"/>
    <col min="1283" max="1284" width="0.19921875" style="4" customWidth="1"/>
    <col min="1285" max="1285" width="0.296875" style="4" customWidth="1"/>
    <col min="1286" max="1286" width="1.19921875" style="4" customWidth="1"/>
    <col min="1287" max="1287" width="7.3984375" style="4" customWidth="1"/>
    <col min="1288" max="1288" width="0.19921875" style="4" customWidth="1"/>
    <col min="1289" max="1289" width="5.69921875" style="4" customWidth="1"/>
    <col min="1290" max="1290" width="7.3984375" style="4" customWidth="1"/>
    <col min="1291" max="1291" width="0.796875" style="4" customWidth="1"/>
    <col min="1292" max="1292" width="1.796875" style="4" customWidth="1"/>
    <col min="1293" max="1294" width="2.59765625" style="4" customWidth="1"/>
    <col min="1295" max="1295" width="0.296875" style="4" customWidth="1"/>
    <col min="1296" max="1296" width="0.796875" style="4" customWidth="1"/>
    <col min="1297" max="1297" width="0.296875" style="4" customWidth="1"/>
    <col min="1298" max="1298" width="1.19921875" style="4" customWidth="1"/>
    <col min="1299" max="1299" width="1.5" style="4" customWidth="1"/>
    <col min="1300" max="1300" width="0.19921875" style="4" customWidth="1"/>
    <col min="1301" max="1301" width="0.8984375" style="4" customWidth="1"/>
    <col min="1302" max="1302" width="2.59765625" style="4" customWidth="1"/>
    <col min="1303" max="1303" width="1.19921875" style="4" customWidth="1"/>
    <col min="1304" max="1304" width="0.19921875" style="4" customWidth="1"/>
    <col min="1305" max="1305" width="1.19921875" style="4" customWidth="1"/>
    <col min="1306" max="1307" width="2.59765625" style="4" customWidth="1"/>
    <col min="1308" max="1308" width="2" style="4" customWidth="1"/>
    <col min="1309" max="1309" width="0.19921875" style="4" customWidth="1"/>
    <col min="1310" max="1310" width="0.5" style="4" customWidth="1"/>
    <col min="1311" max="1312" width="0.19921875" style="4" customWidth="1"/>
    <col min="1313" max="1313" width="2.296875" style="4" customWidth="1"/>
    <col min="1314" max="1314" width="2.59765625" style="4" customWidth="1"/>
    <col min="1315" max="1315" width="1.09765625" style="4" customWidth="1"/>
    <col min="1316" max="1316" width="0.296875" style="4" customWidth="1"/>
    <col min="1317" max="1317" width="1.19921875" style="4" customWidth="1"/>
    <col min="1318" max="1318" width="0.59765625" style="4" customWidth="1"/>
    <col min="1319" max="1319" width="2" style="4" customWidth="1"/>
    <col min="1320" max="1320" width="1.09765625" style="4" customWidth="1"/>
    <col min="1321" max="1321" width="1.5" style="4" customWidth="1"/>
    <col min="1322" max="1322" width="1.09765625" style="4" customWidth="1"/>
    <col min="1323" max="1323" width="1.5" style="4" customWidth="1"/>
    <col min="1324" max="1324" width="2.59765625" style="4" customWidth="1"/>
    <col min="1325" max="1325" width="1.3984375" style="4" customWidth="1"/>
    <col min="1326" max="1326" width="1.19921875" style="4" customWidth="1"/>
    <col min="1327" max="1328" width="2.59765625" style="4" customWidth="1"/>
    <col min="1329" max="1329" width="1.69921875" style="4" customWidth="1"/>
    <col min="1330" max="1331" width="0.8984375" style="4" customWidth="1"/>
    <col min="1332" max="1332" width="0.59765625" style="4" customWidth="1"/>
    <col min="1333" max="1333" width="1.09765625" style="4" customWidth="1"/>
    <col min="1334" max="1334" width="1.19921875" style="4" customWidth="1"/>
    <col min="1335" max="1335" width="1.3984375" style="4" customWidth="1"/>
    <col min="1336" max="1336" width="2.59765625" style="4" customWidth="1"/>
    <col min="1337" max="1337" width="1.09765625" style="4" customWidth="1"/>
    <col min="1338" max="1338" width="0.19921875" style="4" customWidth="1"/>
    <col min="1339" max="1339" width="0.296875" style="4" customWidth="1"/>
    <col min="1340" max="1340" width="1.09765625" style="4" customWidth="1"/>
    <col min="1341" max="1341" width="1.19921875" style="4" customWidth="1"/>
    <col min="1342" max="1342" width="0.296875" style="4" customWidth="1"/>
    <col min="1343" max="1343" width="4.5" style="4" customWidth="1"/>
    <col min="1344" max="1344" width="1.19921875" style="4" customWidth="1"/>
    <col min="1345" max="1345" width="1.09765625" style="4" customWidth="1"/>
    <col min="1346" max="1346" width="2.296875" style="4" customWidth="1"/>
    <col min="1347" max="1347" width="1.5" style="4" customWidth="1"/>
    <col min="1348" max="1348" width="0.796875" style="4" customWidth="1"/>
    <col min="1349" max="1349" width="0.59765625" style="4" customWidth="1"/>
    <col min="1350" max="1350" width="5.3984375" style="4" customWidth="1"/>
    <col min="1351" max="1351" width="2.09765625" style="4" customWidth="1"/>
    <col min="1352" max="1352" width="0.19921875" style="4" customWidth="1"/>
    <col min="1353" max="1353" width="0.5" style="4" customWidth="1"/>
    <col min="1354" max="1354" width="2.59765625" style="4" customWidth="1"/>
    <col min="1355" max="1355" width="3" style="4" customWidth="1"/>
    <col min="1356" max="1356" width="3.796875" style="4" customWidth="1"/>
    <col min="1357" max="1357" width="0.296875" style="4" customWidth="1"/>
    <col min="1358" max="1358" width="2" style="4" customWidth="1"/>
    <col min="1359" max="1359" width="0.296875" style="4" customWidth="1"/>
    <col min="1360" max="1536" width="8.796875" style="4"/>
    <col min="1537" max="1538" width="0.5" style="4" customWidth="1"/>
    <col min="1539" max="1540" width="0.19921875" style="4" customWidth="1"/>
    <col min="1541" max="1541" width="0.296875" style="4" customWidth="1"/>
    <col min="1542" max="1542" width="1.19921875" style="4" customWidth="1"/>
    <col min="1543" max="1543" width="7.3984375" style="4" customWidth="1"/>
    <col min="1544" max="1544" width="0.19921875" style="4" customWidth="1"/>
    <col min="1545" max="1545" width="5.69921875" style="4" customWidth="1"/>
    <col min="1546" max="1546" width="7.3984375" style="4" customWidth="1"/>
    <col min="1547" max="1547" width="0.796875" style="4" customWidth="1"/>
    <col min="1548" max="1548" width="1.796875" style="4" customWidth="1"/>
    <col min="1549" max="1550" width="2.59765625" style="4" customWidth="1"/>
    <col min="1551" max="1551" width="0.296875" style="4" customWidth="1"/>
    <col min="1552" max="1552" width="0.796875" style="4" customWidth="1"/>
    <col min="1553" max="1553" width="0.296875" style="4" customWidth="1"/>
    <col min="1554" max="1554" width="1.19921875" style="4" customWidth="1"/>
    <col min="1555" max="1555" width="1.5" style="4" customWidth="1"/>
    <col min="1556" max="1556" width="0.19921875" style="4" customWidth="1"/>
    <col min="1557" max="1557" width="0.8984375" style="4" customWidth="1"/>
    <col min="1558" max="1558" width="2.59765625" style="4" customWidth="1"/>
    <col min="1559" max="1559" width="1.19921875" style="4" customWidth="1"/>
    <col min="1560" max="1560" width="0.19921875" style="4" customWidth="1"/>
    <col min="1561" max="1561" width="1.19921875" style="4" customWidth="1"/>
    <col min="1562" max="1563" width="2.59765625" style="4" customWidth="1"/>
    <col min="1564" max="1564" width="2" style="4" customWidth="1"/>
    <col min="1565" max="1565" width="0.19921875" style="4" customWidth="1"/>
    <col min="1566" max="1566" width="0.5" style="4" customWidth="1"/>
    <col min="1567" max="1568" width="0.19921875" style="4" customWidth="1"/>
    <col min="1569" max="1569" width="2.296875" style="4" customWidth="1"/>
    <col min="1570" max="1570" width="2.59765625" style="4" customWidth="1"/>
    <col min="1571" max="1571" width="1.09765625" style="4" customWidth="1"/>
    <col min="1572" max="1572" width="0.296875" style="4" customWidth="1"/>
    <col min="1573" max="1573" width="1.19921875" style="4" customWidth="1"/>
    <col min="1574" max="1574" width="0.59765625" style="4" customWidth="1"/>
    <col min="1575" max="1575" width="2" style="4" customWidth="1"/>
    <col min="1576" max="1576" width="1.09765625" style="4" customWidth="1"/>
    <col min="1577" max="1577" width="1.5" style="4" customWidth="1"/>
    <col min="1578" max="1578" width="1.09765625" style="4" customWidth="1"/>
    <col min="1579" max="1579" width="1.5" style="4" customWidth="1"/>
    <col min="1580" max="1580" width="2.59765625" style="4" customWidth="1"/>
    <col min="1581" max="1581" width="1.3984375" style="4" customWidth="1"/>
    <col min="1582" max="1582" width="1.19921875" style="4" customWidth="1"/>
    <col min="1583" max="1584" width="2.59765625" style="4" customWidth="1"/>
    <col min="1585" max="1585" width="1.69921875" style="4" customWidth="1"/>
    <col min="1586" max="1587" width="0.8984375" style="4" customWidth="1"/>
    <col min="1588" max="1588" width="0.59765625" style="4" customWidth="1"/>
    <col min="1589" max="1589" width="1.09765625" style="4" customWidth="1"/>
    <col min="1590" max="1590" width="1.19921875" style="4" customWidth="1"/>
    <col min="1591" max="1591" width="1.3984375" style="4" customWidth="1"/>
    <col min="1592" max="1592" width="2.59765625" style="4" customWidth="1"/>
    <col min="1593" max="1593" width="1.09765625" style="4" customWidth="1"/>
    <col min="1594" max="1594" width="0.19921875" style="4" customWidth="1"/>
    <col min="1595" max="1595" width="0.296875" style="4" customWidth="1"/>
    <col min="1596" max="1596" width="1.09765625" style="4" customWidth="1"/>
    <col min="1597" max="1597" width="1.19921875" style="4" customWidth="1"/>
    <col min="1598" max="1598" width="0.296875" style="4" customWidth="1"/>
    <col min="1599" max="1599" width="4.5" style="4" customWidth="1"/>
    <col min="1600" max="1600" width="1.19921875" style="4" customWidth="1"/>
    <col min="1601" max="1601" width="1.09765625" style="4" customWidth="1"/>
    <col min="1602" max="1602" width="2.296875" style="4" customWidth="1"/>
    <col min="1603" max="1603" width="1.5" style="4" customWidth="1"/>
    <col min="1604" max="1604" width="0.796875" style="4" customWidth="1"/>
    <col min="1605" max="1605" width="0.59765625" style="4" customWidth="1"/>
    <col min="1606" max="1606" width="5.3984375" style="4" customWidth="1"/>
    <col min="1607" max="1607" width="2.09765625" style="4" customWidth="1"/>
    <col min="1608" max="1608" width="0.19921875" style="4" customWidth="1"/>
    <col min="1609" max="1609" width="0.5" style="4" customWidth="1"/>
    <col min="1610" max="1610" width="2.59765625" style="4" customWidth="1"/>
    <col min="1611" max="1611" width="3" style="4" customWidth="1"/>
    <col min="1612" max="1612" width="3.796875" style="4" customWidth="1"/>
    <col min="1613" max="1613" width="0.296875" style="4" customWidth="1"/>
    <col min="1614" max="1614" width="2" style="4" customWidth="1"/>
    <col min="1615" max="1615" width="0.296875" style="4" customWidth="1"/>
    <col min="1616" max="1792" width="8.796875" style="4"/>
    <col min="1793" max="1794" width="0.5" style="4" customWidth="1"/>
    <col min="1795" max="1796" width="0.19921875" style="4" customWidth="1"/>
    <col min="1797" max="1797" width="0.296875" style="4" customWidth="1"/>
    <col min="1798" max="1798" width="1.19921875" style="4" customWidth="1"/>
    <col min="1799" max="1799" width="7.3984375" style="4" customWidth="1"/>
    <col min="1800" max="1800" width="0.19921875" style="4" customWidth="1"/>
    <col min="1801" max="1801" width="5.69921875" style="4" customWidth="1"/>
    <col min="1802" max="1802" width="7.3984375" style="4" customWidth="1"/>
    <col min="1803" max="1803" width="0.796875" style="4" customWidth="1"/>
    <col min="1804" max="1804" width="1.796875" style="4" customWidth="1"/>
    <col min="1805" max="1806" width="2.59765625" style="4" customWidth="1"/>
    <col min="1807" max="1807" width="0.296875" style="4" customWidth="1"/>
    <col min="1808" max="1808" width="0.796875" style="4" customWidth="1"/>
    <col min="1809" max="1809" width="0.296875" style="4" customWidth="1"/>
    <col min="1810" max="1810" width="1.19921875" style="4" customWidth="1"/>
    <col min="1811" max="1811" width="1.5" style="4" customWidth="1"/>
    <col min="1812" max="1812" width="0.19921875" style="4" customWidth="1"/>
    <col min="1813" max="1813" width="0.8984375" style="4" customWidth="1"/>
    <col min="1814" max="1814" width="2.59765625" style="4" customWidth="1"/>
    <col min="1815" max="1815" width="1.19921875" style="4" customWidth="1"/>
    <col min="1816" max="1816" width="0.19921875" style="4" customWidth="1"/>
    <col min="1817" max="1817" width="1.19921875" style="4" customWidth="1"/>
    <col min="1818" max="1819" width="2.59765625" style="4" customWidth="1"/>
    <col min="1820" max="1820" width="2" style="4" customWidth="1"/>
    <col min="1821" max="1821" width="0.19921875" style="4" customWidth="1"/>
    <col min="1822" max="1822" width="0.5" style="4" customWidth="1"/>
    <col min="1823" max="1824" width="0.19921875" style="4" customWidth="1"/>
    <col min="1825" max="1825" width="2.296875" style="4" customWidth="1"/>
    <col min="1826" max="1826" width="2.59765625" style="4" customWidth="1"/>
    <col min="1827" max="1827" width="1.09765625" style="4" customWidth="1"/>
    <col min="1828" max="1828" width="0.296875" style="4" customWidth="1"/>
    <col min="1829" max="1829" width="1.19921875" style="4" customWidth="1"/>
    <col min="1830" max="1830" width="0.59765625" style="4" customWidth="1"/>
    <col min="1831" max="1831" width="2" style="4" customWidth="1"/>
    <col min="1832" max="1832" width="1.09765625" style="4" customWidth="1"/>
    <col min="1833" max="1833" width="1.5" style="4" customWidth="1"/>
    <col min="1834" max="1834" width="1.09765625" style="4" customWidth="1"/>
    <col min="1835" max="1835" width="1.5" style="4" customWidth="1"/>
    <col min="1836" max="1836" width="2.59765625" style="4" customWidth="1"/>
    <col min="1837" max="1837" width="1.3984375" style="4" customWidth="1"/>
    <col min="1838" max="1838" width="1.19921875" style="4" customWidth="1"/>
    <col min="1839" max="1840" width="2.59765625" style="4" customWidth="1"/>
    <col min="1841" max="1841" width="1.69921875" style="4" customWidth="1"/>
    <col min="1842" max="1843" width="0.8984375" style="4" customWidth="1"/>
    <col min="1844" max="1844" width="0.59765625" style="4" customWidth="1"/>
    <col min="1845" max="1845" width="1.09765625" style="4" customWidth="1"/>
    <col min="1846" max="1846" width="1.19921875" style="4" customWidth="1"/>
    <col min="1847" max="1847" width="1.3984375" style="4" customWidth="1"/>
    <col min="1848" max="1848" width="2.59765625" style="4" customWidth="1"/>
    <col min="1849" max="1849" width="1.09765625" style="4" customWidth="1"/>
    <col min="1850" max="1850" width="0.19921875" style="4" customWidth="1"/>
    <col min="1851" max="1851" width="0.296875" style="4" customWidth="1"/>
    <col min="1852" max="1852" width="1.09765625" style="4" customWidth="1"/>
    <col min="1853" max="1853" width="1.19921875" style="4" customWidth="1"/>
    <col min="1854" max="1854" width="0.296875" style="4" customWidth="1"/>
    <col min="1855" max="1855" width="4.5" style="4" customWidth="1"/>
    <col min="1856" max="1856" width="1.19921875" style="4" customWidth="1"/>
    <col min="1857" max="1857" width="1.09765625" style="4" customWidth="1"/>
    <col min="1858" max="1858" width="2.296875" style="4" customWidth="1"/>
    <col min="1859" max="1859" width="1.5" style="4" customWidth="1"/>
    <col min="1860" max="1860" width="0.796875" style="4" customWidth="1"/>
    <col min="1861" max="1861" width="0.59765625" style="4" customWidth="1"/>
    <col min="1862" max="1862" width="5.3984375" style="4" customWidth="1"/>
    <col min="1863" max="1863" width="2.09765625" style="4" customWidth="1"/>
    <col min="1864" max="1864" width="0.19921875" style="4" customWidth="1"/>
    <col min="1865" max="1865" width="0.5" style="4" customWidth="1"/>
    <col min="1866" max="1866" width="2.59765625" style="4" customWidth="1"/>
    <col min="1867" max="1867" width="3" style="4" customWidth="1"/>
    <col min="1868" max="1868" width="3.796875" style="4" customWidth="1"/>
    <col min="1869" max="1869" width="0.296875" style="4" customWidth="1"/>
    <col min="1870" max="1870" width="2" style="4" customWidth="1"/>
    <col min="1871" max="1871" width="0.296875" style="4" customWidth="1"/>
    <col min="1872" max="2048" width="8.796875" style="4"/>
    <col min="2049" max="2050" width="0.5" style="4" customWidth="1"/>
    <col min="2051" max="2052" width="0.19921875" style="4" customWidth="1"/>
    <col min="2053" max="2053" width="0.296875" style="4" customWidth="1"/>
    <col min="2054" max="2054" width="1.19921875" style="4" customWidth="1"/>
    <col min="2055" max="2055" width="7.3984375" style="4" customWidth="1"/>
    <col min="2056" max="2056" width="0.19921875" style="4" customWidth="1"/>
    <col min="2057" max="2057" width="5.69921875" style="4" customWidth="1"/>
    <col min="2058" max="2058" width="7.3984375" style="4" customWidth="1"/>
    <col min="2059" max="2059" width="0.796875" style="4" customWidth="1"/>
    <col min="2060" max="2060" width="1.796875" style="4" customWidth="1"/>
    <col min="2061" max="2062" width="2.59765625" style="4" customWidth="1"/>
    <col min="2063" max="2063" width="0.296875" style="4" customWidth="1"/>
    <col min="2064" max="2064" width="0.796875" style="4" customWidth="1"/>
    <col min="2065" max="2065" width="0.296875" style="4" customWidth="1"/>
    <col min="2066" max="2066" width="1.19921875" style="4" customWidth="1"/>
    <col min="2067" max="2067" width="1.5" style="4" customWidth="1"/>
    <col min="2068" max="2068" width="0.19921875" style="4" customWidth="1"/>
    <col min="2069" max="2069" width="0.8984375" style="4" customWidth="1"/>
    <col min="2070" max="2070" width="2.59765625" style="4" customWidth="1"/>
    <col min="2071" max="2071" width="1.19921875" style="4" customWidth="1"/>
    <col min="2072" max="2072" width="0.19921875" style="4" customWidth="1"/>
    <col min="2073" max="2073" width="1.19921875" style="4" customWidth="1"/>
    <col min="2074" max="2075" width="2.59765625" style="4" customWidth="1"/>
    <col min="2076" max="2076" width="2" style="4" customWidth="1"/>
    <col min="2077" max="2077" width="0.19921875" style="4" customWidth="1"/>
    <col min="2078" max="2078" width="0.5" style="4" customWidth="1"/>
    <col min="2079" max="2080" width="0.19921875" style="4" customWidth="1"/>
    <col min="2081" max="2081" width="2.296875" style="4" customWidth="1"/>
    <col min="2082" max="2082" width="2.59765625" style="4" customWidth="1"/>
    <col min="2083" max="2083" width="1.09765625" style="4" customWidth="1"/>
    <col min="2084" max="2084" width="0.296875" style="4" customWidth="1"/>
    <col min="2085" max="2085" width="1.19921875" style="4" customWidth="1"/>
    <col min="2086" max="2086" width="0.59765625" style="4" customWidth="1"/>
    <col min="2087" max="2087" width="2" style="4" customWidth="1"/>
    <col min="2088" max="2088" width="1.09765625" style="4" customWidth="1"/>
    <col min="2089" max="2089" width="1.5" style="4" customWidth="1"/>
    <col min="2090" max="2090" width="1.09765625" style="4" customWidth="1"/>
    <col min="2091" max="2091" width="1.5" style="4" customWidth="1"/>
    <col min="2092" max="2092" width="2.59765625" style="4" customWidth="1"/>
    <col min="2093" max="2093" width="1.3984375" style="4" customWidth="1"/>
    <col min="2094" max="2094" width="1.19921875" style="4" customWidth="1"/>
    <col min="2095" max="2096" width="2.59765625" style="4" customWidth="1"/>
    <col min="2097" max="2097" width="1.69921875" style="4" customWidth="1"/>
    <col min="2098" max="2099" width="0.8984375" style="4" customWidth="1"/>
    <col min="2100" max="2100" width="0.59765625" style="4" customWidth="1"/>
    <col min="2101" max="2101" width="1.09765625" style="4" customWidth="1"/>
    <col min="2102" max="2102" width="1.19921875" style="4" customWidth="1"/>
    <col min="2103" max="2103" width="1.3984375" style="4" customWidth="1"/>
    <col min="2104" max="2104" width="2.59765625" style="4" customWidth="1"/>
    <col min="2105" max="2105" width="1.09765625" style="4" customWidth="1"/>
    <col min="2106" max="2106" width="0.19921875" style="4" customWidth="1"/>
    <col min="2107" max="2107" width="0.296875" style="4" customWidth="1"/>
    <col min="2108" max="2108" width="1.09765625" style="4" customWidth="1"/>
    <col min="2109" max="2109" width="1.19921875" style="4" customWidth="1"/>
    <col min="2110" max="2110" width="0.296875" style="4" customWidth="1"/>
    <col min="2111" max="2111" width="4.5" style="4" customWidth="1"/>
    <col min="2112" max="2112" width="1.19921875" style="4" customWidth="1"/>
    <col min="2113" max="2113" width="1.09765625" style="4" customWidth="1"/>
    <col min="2114" max="2114" width="2.296875" style="4" customWidth="1"/>
    <col min="2115" max="2115" width="1.5" style="4" customWidth="1"/>
    <col min="2116" max="2116" width="0.796875" style="4" customWidth="1"/>
    <col min="2117" max="2117" width="0.59765625" style="4" customWidth="1"/>
    <col min="2118" max="2118" width="5.3984375" style="4" customWidth="1"/>
    <col min="2119" max="2119" width="2.09765625" style="4" customWidth="1"/>
    <col min="2120" max="2120" width="0.19921875" style="4" customWidth="1"/>
    <col min="2121" max="2121" width="0.5" style="4" customWidth="1"/>
    <col min="2122" max="2122" width="2.59765625" style="4" customWidth="1"/>
    <col min="2123" max="2123" width="3" style="4" customWidth="1"/>
    <col min="2124" max="2124" width="3.796875" style="4" customWidth="1"/>
    <col min="2125" max="2125" width="0.296875" style="4" customWidth="1"/>
    <col min="2126" max="2126" width="2" style="4" customWidth="1"/>
    <col min="2127" max="2127" width="0.296875" style="4" customWidth="1"/>
    <col min="2128" max="2304" width="8.796875" style="4"/>
    <col min="2305" max="2306" width="0.5" style="4" customWidth="1"/>
    <col min="2307" max="2308" width="0.19921875" style="4" customWidth="1"/>
    <col min="2309" max="2309" width="0.296875" style="4" customWidth="1"/>
    <col min="2310" max="2310" width="1.19921875" style="4" customWidth="1"/>
    <col min="2311" max="2311" width="7.3984375" style="4" customWidth="1"/>
    <col min="2312" max="2312" width="0.19921875" style="4" customWidth="1"/>
    <col min="2313" max="2313" width="5.69921875" style="4" customWidth="1"/>
    <col min="2314" max="2314" width="7.3984375" style="4" customWidth="1"/>
    <col min="2315" max="2315" width="0.796875" style="4" customWidth="1"/>
    <col min="2316" max="2316" width="1.796875" style="4" customWidth="1"/>
    <col min="2317" max="2318" width="2.59765625" style="4" customWidth="1"/>
    <col min="2319" max="2319" width="0.296875" style="4" customWidth="1"/>
    <col min="2320" max="2320" width="0.796875" style="4" customWidth="1"/>
    <col min="2321" max="2321" width="0.296875" style="4" customWidth="1"/>
    <col min="2322" max="2322" width="1.19921875" style="4" customWidth="1"/>
    <col min="2323" max="2323" width="1.5" style="4" customWidth="1"/>
    <col min="2324" max="2324" width="0.19921875" style="4" customWidth="1"/>
    <col min="2325" max="2325" width="0.8984375" style="4" customWidth="1"/>
    <col min="2326" max="2326" width="2.59765625" style="4" customWidth="1"/>
    <col min="2327" max="2327" width="1.19921875" style="4" customWidth="1"/>
    <col min="2328" max="2328" width="0.19921875" style="4" customWidth="1"/>
    <col min="2329" max="2329" width="1.19921875" style="4" customWidth="1"/>
    <col min="2330" max="2331" width="2.59765625" style="4" customWidth="1"/>
    <col min="2332" max="2332" width="2" style="4" customWidth="1"/>
    <col min="2333" max="2333" width="0.19921875" style="4" customWidth="1"/>
    <col min="2334" max="2334" width="0.5" style="4" customWidth="1"/>
    <col min="2335" max="2336" width="0.19921875" style="4" customWidth="1"/>
    <col min="2337" max="2337" width="2.296875" style="4" customWidth="1"/>
    <col min="2338" max="2338" width="2.59765625" style="4" customWidth="1"/>
    <col min="2339" max="2339" width="1.09765625" style="4" customWidth="1"/>
    <col min="2340" max="2340" width="0.296875" style="4" customWidth="1"/>
    <col min="2341" max="2341" width="1.19921875" style="4" customWidth="1"/>
    <col min="2342" max="2342" width="0.59765625" style="4" customWidth="1"/>
    <col min="2343" max="2343" width="2" style="4" customWidth="1"/>
    <col min="2344" max="2344" width="1.09765625" style="4" customWidth="1"/>
    <col min="2345" max="2345" width="1.5" style="4" customWidth="1"/>
    <col min="2346" max="2346" width="1.09765625" style="4" customWidth="1"/>
    <col min="2347" max="2347" width="1.5" style="4" customWidth="1"/>
    <col min="2348" max="2348" width="2.59765625" style="4" customWidth="1"/>
    <col min="2349" max="2349" width="1.3984375" style="4" customWidth="1"/>
    <col min="2350" max="2350" width="1.19921875" style="4" customWidth="1"/>
    <col min="2351" max="2352" width="2.59765625" style="4" customWidth="1"/>
    <col min="2353" max="2353" width="1.69921875" style="4" customWidth="1"/>
    <col min="2354" max="2355" width="0.8984375" style="4" customWidth="1"/>
    <col min="2356" max="2356" width="0.59765625" style="4" customWidth="1"/>
    <col min="2357" max="2357" width="1.09765625" style="4" customWidth="1"/>
    <col min="2358" max="2358" width="1.19921875" style="4" customWidth="1"/>
    <col min="2359" max="2359" width="1.3984375" style="4" customWidth="1"/>
    <col min="2360" max="2360" width="2.59765625" style="4" customWidth="1"/>
    <col min="2361" max="2361" width="1.09765625" style="4" customWidth="1"/>
    <col min="2362" max="2362" width="0.19921875" style="4" customWidth="1"/>
    <col min="2363" max="2363" width="0.296875" style="4" customWidth="1"/>
    <col min="2364" max="2364" width="1.09765625" style="4" customWidth="1"/>
    <col min="2365" max="2365" width="1.19921875" style="4" customWidth="1"/>
    <col min="2366" max="2366" width="0.296875" style="4" customWidth="1"/>
    <col min="2367" max="2367" width="4.5" style="4" customWidth="1"/>
    <col min="2368" max="2368" width="1.19921875" style="4" customWidth="1"/>
    <col min="2369" max="2369" width="1.09765625" style="4" customWidth="1"/>
    <col min="2370" max="2370" width="2.296875" style="4" customWidth="1"/>
    <col min="2371" max="2371" width="1.5" style="4" customWidth="1"/>
    <col min="2372" max="2372" width="0.796875" style="4" customWidth="1"/>
    <col min="2373" max="2373" width="0.59765625" style="4" customWidth="1"/>
    <col min="2374" max="2374" width="5.3984375" style="4" customWidth="1"/>
    <col min="2375" max="2375" width="2.09765625" style="4" customWidth="1"/>
    <col min="2376" max="2376" width="0.19921875" style="4" customWidth="1"/>
    <col min="2377" max="2377" width="0.5" style="4" customWidth="1"/>
    <col min="2378" max="2378" width="2.59765625" style="4" customWidth="1"/>
    <col min="2379" max="2379" width="3" style="4" customWidth="1"/>
    <col min="2380" max="2380" width="3.796875" style="4" customWidth="1"/>
    <col min="2381" max="2381" width="0.296875" style="4" customWidth="1"/>
    <col min="2382" max="2382" width="2" style="4" customWidth="1"/>
    <col min="2383" max="2383" width="0.296875" style="4" customWidth="1"/>
    <col min="2384" max="2560" width="8.796875" style="4"/>
    <col min="2561" max="2562" width="0.5" style="4" customWidth="1"/>
    <col min="2563" max="2564" width="0.19921875" style="4" customWidth="1"/>
    <col min="2565" max="2565" width="0.296875" style="4" customWidth="1"/>
    <col min="2566" max="2566" width="1.19921875" style="4" customWidth="1"/>
    <col min="2567" max="2567" width="7.3984375" style="4" customWidth="1"/>
    <col min="2568" max="2568" width="0.19921875" style="4" customWidth="1"/>
    <col min="2569" max="2569" width="5.69921875" style="4" customWidth="1"/>
    <col min="2570" max="2570" width="7.3984375" style="4" customWidth="1"/>
    <col min="2571" max="2571" width="0.796875" style="4" customWidth="1"/>
    <col min="2572" max="2572" width="1.796875" style="4" customWidth="1"/>
    <col min="2573" max="2574" width="2.59765625" style="4" customWidth="1"/>
    <col min="2575" max="2575" width="0.296875" style="4" customWidth="1"/>
    <col min="2576" max="2576" width="0.796875" style="4" customWidth="1"/>
    <col min="2577" max="2577" width="0.296875" style="4" customWidth="1"/>
    <col min="2578" max="2578" width="1.19921875" style="4" customWidth="1"/>
    <col min="2579" max="2579" width="1.5" style="4" customWidth="1"/>
    <col min="2580" max="2580" width="0.19921875" style="4" customWidth="1"/>
    <col min="2581" max="2581" width="0.8984375" style="4" customWidth="1"/>
    <col min="2582" max="2582" width="2.59765625" style="4" customWidth="1"/>
    <col min="2583" max="2583" width="1.19921875" style="4" customWidth="1"/>
    <col min="2584" max="2584" width="0.19921875" style="4" customWidth="1"/>
    <col min="2585" max="2585" width="1.19921875" style="4" customWidth="1"/>
    <col min="2586" max="2587" width="2.59765625" style="4" customWidth="1"/>
    <col min="2588" max="2588" width="2" style="4" customWidth="1"/>
    <col min="2589" max="2589" width="0.19921875" style="4" customWidth="1"/>
    <col min="2590" max="2590" width="0.5" style="4" customWidth="1"/>
    <col min="2591" max="2592" width="0.19921875" style="4" customWidth="1"/>
    <col min="2593" max="2593" width="2.296875" style="4" customWidth="1"/>
    <col min="2594" max="2594" width="2.59765625" style="4" customWidth="1"/>
    <col min="2595" max="2595" width="1.09765625" style="4" customWidth="1"/>
    <col min="2596" max="2596" width="0.296875" style="4" customWidth="1"/>
    <col min="2597" max="2597" width="1.19921875" style="4" customWidth="1"/>
    <col min="2598" max="2598" width="0.59765625" style="4" customWidth="1"/>
    <col min="2599" max="2599" width="2" style="4" customWidth="1"/>
    <col min="2600" max="2600" width="1.09765625" style="4" customWidth="1"/>
    <col min="2601" max="2601" width="1.5" style="4" customWidth="1"/>
    <col min="2602" max="2602" width="1.09765625" style="4" customWidth="1"/>
    <col min="2603" max="2603" width="1.5" style="4" customWidth="1"/>
    <col min="2604" max="2604" width="2.59765625" style="4" customWidth="1"/>
    <col min="2605" max="2605" width="1.3984375" style="4" customWidth="1"/>
    <col min="2606" max="2606" width="1.19921875" style="4" customWidth="1"/>
    <col min="2607" max="2608" width="2.59765625" style="4" customWidth="1"/>
    <col min="2609" max="2609" width="1.69921875" style="4" customWidth="1"/>
    <col min="2610" max="2611" width="0.8984375" style="4" customWidth="1"/>
    <col min="2612" max="2612" width="0.59765625" style="4" customWidth="1"/>
    <col min="2613" max="2613" width="1.09765625" style="4" customWidth="1"/>
    <col min="2614" max="2614" width="1.19921875" style="4" customWidth="1"/>
    <col min="2615" max="2615" width="1.3984375" style="4" customWidth="1"/>
    <col min="2616" max="2616" width="2.59765625" style="4" customWidth="1"/>
    <col min="2617" max="2617" width="1.09765625" style="4" customWidth="1"/>
    <col min="2618" max="2618" width="0.19921875" style="4" customWidth="1"/>
    <col min="2619" max="2619" width="0.296875" style="4" customWidth="1"/>
    <col min="2620" max="2620" width="1.09765625" style="4" customWidth="1"/>
    <col min="2621" max="2621" width="1.19921875" style="4" customWidth="1"/>
    <col min="2622" max="2622" width="0.296875" style="4" customWidth="1"/>
    <col min="2623" max="2623" width="4.5" style="4" customWidth="1"/>
    <col min="2624" max="2624" width="1.19921875" style="4" customWidth="1"/>
    <col min="2625" max="2625" width="1.09765625" style="4" customWidth="1"/>
    <col min="2626" max="2626" width="2.296875" style="4" customWidth="1"/>
    <col min="2627" max="2627" width="1.5" style="4" customWidth="1"/>
    <col min="2628" max="2628" width="0.796875" style="4" customWidth="1"/>
    <col min="2629" max="2629" width="0.59765625" style="4" customWidth="1"/>
    <col min="2630" max="2630" width="5.3984375" style="4" customWidth="1"/>
    <col min="2631" max="2631" width="2.09765625" style="4" customWidth="1"/>
    <col min="2632" max="2632" width="0.19921875" style="4" customWidth="1"/>
    <col min="2633" max="2633" width="0.5" style="4" customWidth="1"/>
    <col min="2634" max="2634" width="2.59765625" style="4" customWidth="1"/>
    <col min="2635" max="2635" width="3" style="4" customWidth="1"/>
    <col min="2636" max="2636" width="3.796875" style="4" customWidth="1"/>
    <col min="2637" max="2637" width="0.296875" style="4" customWidth="1"/>
    <col min="2638" max="2638" width="2" style="4" customWidth="1"/>
    <col min="2639" max="2639" width="0.296875" style="4" customWidth="1"/>
    <col min="2640" max="2816" width="8.796875" style="4"/>
    <col min="2817" max="2818" width="0.5" style="4" customWidth="1"/>
    <col min="2819" max="2820" width="0.19921875" style="4" customWidth="1"/>
    <col min="2821" max="2821" width="0.296875" style="4" customWidth="1"/>
    <col min="2822" max="2822" width="1.19921875" style="4" customWidth="1"/>
    <col min="2823" max="2823" width="7.3984375" style="4" customWidth="1"/>
    <col min="2824" max="2824" width="0.19921875" style="4" customWidth="1"/>
    <col min="2825" max="2825" width="5.69921875" style="4" customWidth="1"/>
    <col min="2826" max="2826" width="7.3984375" style="4" customWidth="1"/>
    <col min="2827" max="2827" width="0.796875" style="4" customWidth="1"/>
    <col min="2828" max="2828" width="1.796875" style="4" customWidth="1"/>
    <col min="2829" max="2830" width="2.59765625" style="4" customWidth="1"/>
    <col min="2831" max="2831" width="0.296875" style="4" customWidth="1"/>
    <col min="2832" max="2832" width="0.796875" style="4" customWidth="1"/>
    <col min="2833" max="2833" width="0.296875" style="4" customWidth="1"/>
    <col min="2834" max="2834" width="1.19921875" style="4" customWidth="1"/>
    <col min="2835" max="2835" width="1.5" style="4" customWidth="1"/>
    <col min="2836" max="2836" width="0.19921875" style="4" customWidth="1"/>
    <col min="2837" max="2837" width="0.8984375" style="4" customWidth="1"/>
    <col min="2838" max="2838" width="2.59765625" style="4" customWidth="1"/>
    <col min="2839" max="2839" width="1.19921875" style="4" customWidth="1"/>
    <col min="2840" max="2840" width="0.19921875" style="4" customWidth="1"/>
    <col min="2841" max="2841" width="1.19921875" style="4" customWidth="1"/>
    <col min="2842" max="2843" width="2.59765625" style="4" customWidth="1"/>
    <col min="2844" max="2844" width="2" style="4" customWidth="1"/>
    <col min="2845" max="2845" width="0.19921875" style="4" customWidth="1"/>
    <col min="2846" max="2846" width="0.5" style="4" customWidth="1"/>
    <col min="2847" max="2848" width="0.19921875" style="4" customWidth="1"/>
    <col min="2849" max="2849" width="2.296875" style="4" customWidth="1"/>
    <col min="2850" max="2850" width="2.59765625" style="4" customWidth="1"/>
    <col min="2851" max="2851" width="1.09765625" style="4" customWidth="1"/>
    <col min="2852" max="2852" width="0.296875" style="4" customWidth="1"/>
    <col min="2853" max="2853" width="1.19921875" style="4" customWidth="1"/>
    <col min="2854" max="2854" width="0.59765625" style="4" customWidth="1"/>
    <col min="2855" max="2855" width="2" style="4" customWidth="1"/>
    <col min="2856" max="2856" width="1.09765625" style="4" customWidth="1"/>
    <col min="2857" max="2857" width="1.5" style="4" customWidth="1"/>
    <col min="2858" max="2858" width="1.09765625" style="4" customWidth="1"/>
    <col min="2859" max="2859" width="1.5" style="4" customWidth="1"/>
    <col min="2860" max="2860" width="2.59765625" style="4" customWidth="1"/>
    <col min="2861" max="2861" width="1.3984375" style="4" customWidth="1"/>
    <col min="2862" max="2862" width="1.19921875" style="4" customWidth="1"/>
    <col min="2863" max="2864" width="2.59765625" style="4" customWidth="1"/>
    <col min="2865" max="2865" width="1.69921875" style="4" customWidth="1"/>
    <col min="2866" max="2867" width="0.8984375" style="4" customWidth="1"/>
    <col min="2868" max="2868" width="0.59765625" style="4" customWidth="1"/>
    <col min="2869" max="2869" width="1.09765625" style="4" customWidth="1"/>
    <col min="2870" max="2870" width="1.19921875" style="4" customWidth="1"/>
    <col min="2871" max="2871" width="1.3984375" style="4" customWidth="1"/>
    <col min="2872" max="2872" width="2.59765625" style="4" customWidth="1"/>
    <col min="2873" max="2873" width="1.09765625" style="4" customWidth="1"/>
    <col min="2874" max="2874" width="0.19921875" style="4" customWidth="1"/>
    <col min="2875" max="2875" width="0.296875" style="4" customWidth="1"/>
    <col min="2876" max="2876" width="1.09765625" style="4" customWidth="1"/>
    <col min="2877" max="2877" width="1.19921875" style="4" customWidth="1"/>
    <col min="2878" max="2878" width="0.296875" style="4" customWidth="1"/>
    <col min="2879" max="2879" width="4.5" style="4" customWidth="1"/>
    <col min="2880" max="2880" width="1.19921875" style="4" customWidth="1"/>
    <col min="2881" max="2881" width="1.09765625" style="4" customWidth="1"/>
    <col min="2882" max="2882" width="2.296875" style="4" customWidth="1"/>
    <col min="2883" max="2883" width="1.5" style="4" customWidth="1"/>
    <col min="2884" max="2884" width="0.796875" style="4" customWidth="1"/>
    <col min="2885" max="2885" width="0.59765625" style="4" customWidth="1"/>
    <col min="2886" max="2886" width="5.3984375" style="4" customWidth="1"/>
    <col min="2887" max="2887" width="2.09765625" style="4" customWidth="1"/>
    <col min="2888" max="2888" width="0.19921875" style="4" customWidth="1"/>
    <col min="2889" max="2889" width="0.5" style="4" customWidth="1"/>
    <col min="2890" max="2890" width="2.59765625" style="4" customWidth="1"/>
    <col min="2891" max="2891" width="3" style="4" customWidth="1"/>
    <col min="2892" max="2892" width="3.796875" style="4" customWidth="1"/>
    <col min="2893" max="2893" width="0.296875" style="4" customWidth="1"/>
    <col min="2894" max="2894" width="2" style="4" customWidth="1"/>
    <col min="2895" max="2895" width="0.296875" style="4" customWidth="1"/>
    <col min="2896" max="3072" width="8.796875" style="4"/>
    <col min="3073" max="3074" width="0.5" style="4" customWidth="1"/>
    <col min="3075" max="3076" width="0.19921875" style="4" customWidth="1"/>
    <col min="3077" max="3077" width="0.296875" style="4" customWidth="1"/>
    <col min="3078" max="3078" width="1.19921875" style="4" customWidth="1"/>
    <col min="3079" max="3079" width="7.3984375" style="4" customWidth="1"/>
    <col min="3080" max="3080" width="0.19921875" style="4" customWidth="1"/>
    <col min="3081" max="3081" width="5.69921875" style="4" customWidth="1"/>
    <col min="3082" max="3082" width="7.3984375" style="4" customWidth="1"/>
    <col min="3083" max="3083" width="0.796875" style="4" customWidth="1"/>
    <col min="3084" max="3084" width="1.796875" style="4" customWidth="1"/>
    <col min="3085" max="3086" width="2.59765625" style="4" customWidth="1"/>
    <col min="3087" max="3087" width="0.296875" style="4" customWidth="1"/>
    <col min="3088" max="3088" width="0.796875" style="4" customWidth="1"/>
    <col min="3089" max="3089" width="0.296875" style="4" customWidth="1"/>
    <col min="3090" max="3090" width="1.19921875" style="4" customWidth="1"/>
    <col min="3091" max="3091" width="1.5" style="4" customWidth="1"/>
    <col min="3092" max="3092" width="0.19921875" style="4" customWidth="1"/>
    <col min="3093" max="3093" width="0.8984375" style="4" customWidth="1"/>
    <col min="3094" max="3094" width="2.59765625" style="4" customWidth="1"/>
    <col min="3095" max="3095" width="1.19921875" style="4" customWidth="1"/>
    <col min="3096" max="3096" width="0.19921875" style="4" customWidth="1"/>
    <col min="3097" max="3097" width="1.19921875" style="4" customWidth="1"/>
    <col min="3098" max="3099" width="2.59765625" style="4" customWidth="1"/>
    <col min="3100" max="3100" width="2" style="4" customWidth="1"/>
    <col min="3101" max="3101" width="0.19921875" style="4" customWidth="1"/>
    <col min="3102" max="3102" width="0.5" style="4" customWidth="1"/>
    <col min="3103" max="3104" width="0.19921875" style="4" customWidth="1"/>
    <col min="3105" max="3105" width="2.296875" style="4" customWidth="1"/>
    <col min="3106" max="3106" width="2.59765625" style="4" customWidth="1"/>
    <col min="3107" max="3107" width="1.09765625" style="4" customWidth="1"/>
    <col min="3108" max="3108" width="0.296875" style="4" customWidth="1"/>
    <col min="3109" max="3109" width="1.19921875" style="4" customWidth="1"/>
    <col min="3110" max="3110" width="0.59765625" style="4" customWidth="1"/>
    <col min="3111" max="3111" width="2" style="4" customWidth="1"/>
    <col min="3112" max="3112" width="1.09765625" style="4" customWidth="1"/>
    <col min="3113" max="3113" width="1.5" style="4" customWidth="1"/>
    <col min="3114" max="3114" width="1.09765625" style="4" customWidth="1"/>
    <col min="3115" max="3115" width="1.5" style="4" customWidth="1"/>
    <col min="3116" max="3116" width="2.59765625" style="4" customWidth="1"/>
    <col min="3117" max="3117" width="1.3984375" style="4" customWidth="1"/>
    <col min="3118" max="3118" width="1.19921875" style="4" customWidth="1"/>
    <col min="3119" max="3120" width="2.59765625" style="4" customWidth="1"/>
    <col min="3121" max="3121" width="1.69921875" style="4" customWidth="1"/>
    <col min="3122" max="3123" width="0.8984375" style="4" customWidth="1"/>
    <col min="3124" max="3124" width="0.59765625" style="4" customWidth="1"/>
    <col min="3125" max="3125" width="1.09765625" style="4" customWidth="1"/>
    <col min="3126" max="3126" width="1.19921875" style="4" customWidth="1"/>
    <col min="3127" max="3127" width="1.3984375" style="4" customWidth="1"/>
    <col min="3128" max="3128" width="2.59765625" style="4" customWidth="1"/>
    <col min="3129" max="3129" width="1.09765625" style="4" customWidth="1"/>
    <col min="3130" max="3130" width="0.19921875" style="4" customWidth="1"/>
    <col min="3131" max="3131" width="0.296875" style="4" customWidth="1"/>
    <col min="3132" max="3132" width="1.09765625" style="4" customWidth="1"/>
    <col min="3133" max="3133" width="1.19921875" style="4" customWidth="1"/>
    <col min="3134" max="3134" width="0.296875" style="4" customWidth="1"/>
    <col min="3135" max="3135" width="4.5" style="4" customWidth="1"/>
    <col min="3136" max="3136" width="1.19921875" style="4" customWidth="1"/>
    <col min="3137" max="3137" width="1.09765625" style="4" customWidth="1"/>
    <col min="3138" max="3138" width="2.296875" style="4" customWidth="1"/>
    <col min="3139" max="3139" width="1.5" style="4" customWidth="1"/>
    <col min="3140" max="3140" width="0.796875" style="4" customWidth="1"/>
    <col min="3141" max="3141" width="0.59765625" style="4" customWidth="1"/>
    <col min="3142" max="3142" width="5.3984375" style="4" customWidth="1"/>
    <col min="3143" max="3143" width="2.09765625" style="4" customWidth="1"/>
    <col min="3144" max="3144" width="0.19921875" style="4" customWidth="1"/>
    <col min="3145" max="3145" width="0.5" style="4" customWidth="1"/>
    <col min="3146" max="3146" width="2.59765625" style="4" customWidth="1"/>
    <col min="3147" max="3147" width="3" style="4" customWidth="1"/>
    <col min="3148" max="3148" width="3.796875" style="4" customWidth="1"/>
    <col min="3149" max="3149" width="0.296875" style="4" customWidth="1"/>
    <col min="3150" max="3150" width="2" style="4" customWidth="1"/>
    <col min="3151" max="3151" width="0.296875" style="4" customWidth="1"/>
    <col min="3152" max="3328" width="8.796875" style="4"/>
    <col min="3329" max="3330" width="0.5" style="4" customWidth="1"/>
    <col min="3331" max="3332" width="0.19921875" style="4" customWidth="1"/>
    <col min="3333" max="3333" width="0.296875" style="4" customWidth="1"/>
    <col min="3334" max="3334" width="1.19921875" style="4" customWidth="1"/>
    <col min="3335" max="3335" width="7.3984375" style="4" customWidth="1"/>
    <col min="3336" max="3336" width="0.19921875" style="4" customWidth="1"/>
    <col min="3337" max="3337" width="5.69921875" style="4" customWidth="1"/>
    <col min="3338" max="3338" width="7.3984375" style="4" customWidth="1"/>
    <col min="3339" max="3339" width="0.796875" style="4" customWidth="1"/>
    <col min="3340" max="3340" width="1.796875" style="4" customWidth="1"/>
    <col min="3341" max="3342" width="2.59765625" style="4" customWidth="1"/>
    <col min="3343" max="3343" width="0.296875" style="4" customWidth="1"/>
    <col min="3344" max="3344" width="0.796875" style="4" customWidth="1"/>
    <col min="3345" max="3345" width="0.296875" style="4" customWidth="1"/>
    <col min="3346" max="3346" width="1.19921875" style="4" customWidth="1"/>
    <col min="3347" max="3347" width="1.5" style="4" customWidth="1"/>
    <col min="3348" max="3348" width="0.19921875" style="4" customWidth="1"/>
    <col min="3349" max="3349" width="0.8984375" style="4" customWidth="1"/>
    <col min="3350" max="3350" width="2.59765625" style="4" customWidth="1"/>
    <col min="3351" max="3351" width="1.19921875" style="4" customWidth="1"/>
    <col min="3352" max="3352" width="0.19921875" style="4" customWidth="1"/>
    <col min="3353" max="3353" width="1.19921875" style="4" customWidth="1"/>
    <col min="3354" max="3355" width="2.59765625" style="4" customWidth="1"/>
    <col min="3356" max="3356" width="2" style="4" customWidth="1"/>
    <col min="3357" max="3357" width="0.19921875" style="4" customWidth="1"/>
    <col min="3358" max="3358" width="0.5" style="4" customWidth="1"/>
    <col min="3359" max="3360" width="0.19921875" style="4" customWidth="1"/>
    <col min="3361" max="3361" width="2.296875" style="4" customWidth="1"/>
    <col min="3362" max="3362" width="2.59765625" style="4" customWidth="1"/>
    <col min="3363" max="3363" width="1.09765625" style="4" customWidth="1"/>
    <col min="3364" max="3364" width="0.296875" style="4" customWidth="1"/>
    <col min="3365" max="3365" width="1.19921875" style="4" customWidth="1"/>
    <col min="3366" max="3366" width="0.59765625" style="4" customWidth="1"/>
    <col min="3367" max="3367" width="2" style="4" customWidth="1"/>
    <col min="3368" max="3368" width="1.09765625" style="4" customWidth="1"/>
    <col min="3369" max="3369" width="1.5" style="4" customWidth="1"/>
    <col min="3370" max="3370" width="1.09765625" style="4" customWidth="1"/>
    <col min="3371" max="3371" width="1.5" style="4" customWidth="1"/>
    <col min="3372" max="3372" width="2.59765625" style="4" customWidth="1"/>
    <col min="3373" max="3373" width="1.3984375" style="4" customWidth="1"/>
    <col min="3374" max="3374" width="1.19921875" style="4" customWidth="1"/>
    <col min="3375" max="3376" width="2.59765625" style="4" customWidth="1"/>
    <col min="3377" max="3377" width="1.69921875" style="4" customWidth="1"/>
    <col min="3378" max="3379" width="0.8984375" style="4" customWidth="1"/>
    <col min="3380" max="3380" width="0.59765625" style="4" customWidth="1"/>
    <col min="3381" max="3381" width="1.09765625" style="4" customWidth="1"/>
    <col min="3382" max="3382" width="1.19921875" style="4" customWidth="1"/>
    <col min="3383" max="3383" width="1.3984375" style="4" customWidth="1"/>
    <col min="3384" max="3384" width="2.59765625" style="4" customWidth="1"/>
    <col min="3385" max="3385" width="1.09765625" style="4" customWidth="1"/>
    <col min="3386" max="3386" width="0.19921875" style="4" customWidth="1"/>
    <col min="3387" max="3387" width="0.296875" style="4" customWidth="1"/>
    <col min="3388" max="3388" width="1.09765625" style="4" customWidth="1"/>
    <col min="3389" max="3389" width="1.19921875" style="4" customWidth="1"/>
    <col min="3390" max="3390" width="0.296875" style="4" customWidth="1"/>
    <col min="3391" max="3391" width="4.5" style="4" customWidth="1"/>
    <col min="3392" max="3392" width="1.19921875" style="4" customWidth="1"/>
    <col min="3393" max="3393" width="1.09765625" style="4" customWidth="1"/>
    <col min="3394" max="3394" width="2.296875" style="4" customWidth="1"/>
    <col min="3395" max="3395" width="1.5" style="4" customWidth="1"/>
    <col min="3396" max="3396" width="0.796875" style="4" customWidth="1"/>
    <col min="3397" max="3397" width="0.59765625" style="4" customWidth="1"/>
    <col min="3398" max="3398" width="5.3984375" style="4" customWidth="1"/>
    <col min="3399" max="3399" width="2.09765625" style="4" customWidth="1"/>
    <col min="3400" max="3400" width="0.19921875" style="4" customWidth="1"/>
    <col min="3401" max="3401" width="0.5" style="4" customWidth="1"/>
    <col min="3402" max="3402" width="2.59765625" style="4" customWidth="1"/>
    <col min="3403" max="3403" width="3" style="4" customWidth="1"/>
    <col min="3404" max="3404" width="3.796875" style="4" customWidth="1"/>
    <col min="3405" max="3405" width="0.296875" style="4" customWidth="1"/>
    <col min="3406" max="3406" width="2" style="4" customWidth="1"/>
    <col min="3407" max="3407" width="0.296875" style="4" customWidth="1"/>
    <col min="3408" max="3584" width="8.796875" style="4"/>
    <col min="3585" max="3586" width="0.5" style="4" customWidth="1"/>
    <col min="3587" max="3588" width="0.19921875" style="4" customWidth="1"/>
    <col min="3589" max="3589" width="0.296875" style="4" customWidth="1"/>
    <col min="3590" max="3590" width="1.19921875" style="4" customWidth="1"/>
    <col min="3591" max="3591" width="7.3984375" style="4" customWidth="1"/>
    <col min="3592" max="3592" width="0.19921875" style="4" customWidth="1"/>
    <col min="3593" max="3593" width="5.69921875" style="4" customWidth="1"/>
    <col min="3594" max="3594" width="7.3984375" style="4" customWidth="1"/>
    <col min="3595" max="3595" width="0.796875" style="4" customWidth="1"/>
    <col min="3596" max="3596" width="1.796875" style="4" customWidth="1"/>
    <col min="3597" max="3598" width="2.59765625" style="4" customWidth="1"/>
    <col min="3599" max="3599" width="0.296875" style="4" customWidth="1"/>
    <col min="3600" max="3600" width="0.796875" style="4" customWidth="1"/>
    <col min="3601" max="3601" width="0.296875" style="4" customWidth="1"/>
    <col min="3602" max="3602" width="1.19921875" style="4" customWidth="1"/>
    <col min="3603" max="3603" width="1.5" style="4" customWidth="1"/>
    <col min="3604" max="3604" width="0.19921875" style="4" customWidth="1"/>
    <col min="3605" max="3605" width="0.8984375" style="4" customWidth="1"/>
    <col min="3606" max="3606" width="2.59765625" style="4" customWidth="1"/>
    <col min="3607" max="3607" width="1.19921875" style="4" customWidth="1"/>
    <col min="3608" max="3608" width="0.19921875" style="4" customWidth="1"/>
    <col min="3609" max="3609" width="1.19921875" style="4" customWidth="1"/>
    <col min="3610" max="3611" width="2.59765625" style="4" customWidth="1"/>
    <col min="3612" max="3612" width="2" style="4" customWidth="1"/>
    <col min="3613" max="3613" width="0.19921875" style="4" customWidth="1"/>
    <col min="3614" max="3614" width="0.5" style="4" customWidth="1"/>
    <col min="3615" max="3616" width="0.19921875" style="4" customWidth="1"/>
    <col min="3617" max="3617" width="2.296875" style="4" customWidth="1"/>
    <col min="3618" max="3618" width="2.59765625" style="4" customWidth="1"/>
    <col min="3619" max="3619" width="1.09765625" style="4" customWidth="1"/>
    <col min="3620" max="3620" width="0.296875" style="4" customWidth="1"/>
    <col min="3621" max="3621" width="1.19921875" style="4" customWidth="1"/>
    <col min="3622" max="3622" width="0.59765625" style="4" customWidth="1"/>
    <col min="3623" max="3623" width="2" style="4" customWidth="1"/>
    <col min="3624" max="3624" width="1.09765625" style="4" customWidth="1"/>
    <col min="3625" max="3625" width="1.5" style="4" customWidth="1"/>
    <col min="3626" max="3626" width="1.09765625" style="4" customWidth="1"/>
    <col min="3627" max="3627" width="1.5" style="4" customWidth="1"/>
    <col min="3628" max="3628" width="2.59765625" style="4" customWidth="1"/>
    <col min="3629" max="3629" width="1.3984375" style="4" customWidth="1"/>
    <col min="3630" max="3630" width="1.19921875" style="4" customWidth="1"/>
    <col min="3631" max="3632" width="2.59765625" style="4" customWidth="1"/>
    <col min="3633" max="3633" width="1.69921875" style="4" customWidth="1"/>
    <col min="3634" max="3635" width="0.8984375" style="4" customWidth="1"/>
    <col min="3636" max="3636" width="0.59765625" style="4" customWidth="1"/>
    <col min="3637" max="3637" width="1.09765625" style="4" customWidth="1"/>
    <col min="3638" max="3638" width="1.19921875" style="4" customWidth="1"/>
    <col min="3639" max="3639" width="1.3984375" style="4" customWidth="1"/>
    <col min="3640" max="3640" width="2.59765625" style="4" customWidth="1"/>
    <col min="3641" max="3641" width="1.09765625" style="4" customWidth="1"/>
    <col min="3642" max="3642" width="0.19921875" style="4" customWidth="1"/>
    <col min="3643" max="3643" width="0.296875" style="4" customWidth="1"/>
    <col min="3644" max="3644" width="1.09765625" style="4" customWidth="1"/>
    <col min="3645" max="3645" width="1.19921875" style="4" customWidth="1"/>
    <col min="3646" max="3646" width="0.296875" style="4" customWidth="1"/>
    <col min="3647" max="3647" width="4.5" style="4" customWidth="1"/>
    <col min="3648" max="3648" width="1.19921875" style="4" customWidth="1"/>
    <col min="3649" max="3649" width="1.09765625" style="4" customWidth="1"/>
    <col min="3650" max="3650" width="2.296875" style="4" customWidth="1"/>
    <col min="3651" max="3651" width="1.5" style="4" customWidth="1"/>
    <col min="3652" max="3652" width="0.796875" style="4" customWidth="1"/>
    <col min="3653" max="3653" width="0.59765625" style="4" customWidth="1"/>
    <col min="3654" max="3654" width="5.3984375" style="4" customWidth="1"/>
    <col min="3655" max="3655" width="2.09765625" style="4" customWidth="1"/>
    <col min="3656" max="3656" width="0.19921875" style="4" customWidth="1"/>
    <col min="3657" max="3657" width="0.5" style="4" customWidth="1"/>
    <col min="3658" max="3658" width="2.59765625" style="4" customWidth="1"/>
    <col min="3659" max="3659" width="3" style="4" customWidth="1"/>
    <col min="3660" max="3660" width="3.796875" style="4" customWidth="1"/>
    <col min="3661" max="3661" width="0.296875" style="4" customWidth="1"/>
    <col min="3662" max="3662" width="2" style="4" customWidth="1"/>
    <col min="3663" max="3663" width="0.296875" style="4" customWidth="1"/>
    <col min="3664" max="3840" width="8.796875" style="4"/>
    <col min="3841" max="3842" width="0.5" style="4" customWidth="1"/>
    <col min="3843" max="3844" width="0.19921875" style="4" customWidth="1"/>
    <col min="3845" max="3845" width="0.296875" style="4" customWidth="1"/>
    <col min="3846" max="3846" width="1.19921875" style="4" customWidth="1"/>
    <col min="3847" max="3847" width="7.3984375" style="4" customWidth="1"/>
    <col min="3848" max="3848" width="0.19921875" style="4" customWidth="1"/>
    <col min="3849" max="3849" width="5.69921875" style="4" customWidth="1"/>
    <col min="3850" max="3850" width="7.3984375" style="4" customWidth="1"/>
    <col min="3851" max="3851" width="0.796875" style="4" customWidth="1"/>
    <col min="3852" max="3852" width="1.796875" style="4" customWidth="1"/>
    <col min="3853" max="3854" width="2.59765625" style="4" customWidth="1"/>
    <col min="3855" max="3855" width="0.296875" style="4" customWidth="1"/>
    <col min="3856" max="3856" width="0.796875" style="4" customWidth="1"/>
    <col min="3857" max="3857" width="0.296875" style="4" customWidth="1"/>
    <col min="3858" max="3858" width="1.19921875" style="4" customWidth="1"/>
    <col min="3859" max="3859" width="1.5" style="4" customWidth="1"/>
    <col min="3860" max="3860" width="0.19921875" style="4" customWidth="1"/>
    <col min="3861" max="3861" width="0.8984375" style="4" customWidth="1"/>
    <col min="3862" max="3862" width="2.59765625" style="4" customWidth="1"/>
    <col min="3863" max="3863" width="1.19921875" style="4" customWidth="1"/>
    <col min="3864" max="3864" width="0.19921875" style="4" customWidth="1"/>
    <col min="3865" max="3865" width="1.19921875" style="4" customWidth="1"/>
    <col min="3866" max="3867" width="2.59765625" style="4" customWidth="1"/>
    <col min="3868" max="3868" width="2" style="4" customWidth="1"/>
    <col min="3869" max="3869" width="0.19921875" style="4" customWidth="1"/>
    <col min="3870" max="3870" width="0.5" style="4" customWidth="1"/>
    <col min="3871" max="3872" width="0.19921875" style="4" customWidth="1"/>
    <col min="3873" max="3873" width="2.296875" style="4" customWidth="1"/>
    <col min="3874" max="3874" width="2.59765625" style="4" customWidth="1"/>
    <col min="3875" max="3875" width="1.09765625" style="4" customWidth="1"/>
    <col min="3876" max="3876" width="0.296875" style="4" customWidth="1"/>
    <col min="3877" max="3877" width="1.19921875" style="4" customWidth="1"/>
    <col min="3878" max="3878" width="0.59765625" style="4" customWidth="1"/>
    <col min="3879" max="3879" width="2" style="4" customWidth="1"/>
    <col min="3880" max="3880" width="1.09765625" style="4" customWidth="1"/>
    <col min="3881" max="3881" width="1.5" style="4" customWidth="1"/>
    <col min="3882" max="3882" width="1.09765625" style="4" customWidth="1"/>
    <col min="3883" max="3883" width="1.5" style="4" customWidth="1"/>
    <col min="3884" max="3884" width="2.59765625" style="4" customWidth="1"/>
    <col min="3885" max="3885" width="1.3984375" style="4" customWidth="1"/>
    <col min="3886" max="3886" width="1.19921875" style="4" customWidth="1"/>
    <col min="3887" max="3888" width="2.59765625" style="4" customWidth="1"/>
    <col min="3889" max="3889" width="1.69921875" style="4" customWidth="1"/>
    <col min="3890" max="3891" width="0.8984375" style="4" customWidth="1"/>
    <col min="3892" max="3892" width="0.59765625" style="4" customWidth="1"/>
    <col min="3893" max="3893" width="1.09765625" style="4" customWidth="1"/>
    <col min="3894" max="3894" width="1.19921875" style="4" customWidth="1"/>
    <col min="3895" max="3895" width="1.3984375" style="4" customWidth="1"/>
    <col min="3896" max="3896" width="2.59765625" style="4" customWidth="1"/>
    <col min="3897" max="3897" width="1.09765625" style="4" customWidth="1"/>
    <col min="3898" max="3898" width="0.19921875" style="4" customWidth="1"/>
    <col min="3899" max="3899" width="0.296875" style="4" customWidth="1"/>
    <col min="3900" max="3900" width="1.09765625" style="4" customWidth="1"/>
    <col min="3901" max="3901" width="1.19921875" style="4" customWidth="1"/>
    <col min="3902" max="3902" width="0.296875" style="4" customWidth="1"/>
    <col min="3903" max="3903" width="4.5" style="4" customWidth="1"/>
    <col min="3904" max="3904" width="1.19921875" style="4" customWidth="1"/>
    <col min="3905" max="3905" width="1.09765625" style="4" customWidth="1"/>
    <col min="3906" max="3906" width="2.296875" style="4" customWidth="1"/>
    <col min="3907" max="3907" width="1.5" style="4" customWidth="1"/>
    <col min="3908" max="3908" width="0.796875" style="4" customWidth="1"/>
    <col min="3909" max="3909" width="0.59765625" style="4" customWidth="1"/>
    <col min="3910" max="3910" width="5.3984375" style="4" customWidth="1"/>
    <col min="3911" max="3911" width="2.09765625" style="4" customWidth="1"/>
    <col min="3912" max="3912" width="0.19921875" style="4" customWidth="1"/>
    <col min="3913" max="3913" width="0.5" style="4" customWidth="1"/>
    <col min="3914" max="3914" width="2.59765625" style="4" customWidth="1"/>
    <col min="3915" max="3915" width="3" style="4" customWidth="1"/>
    <col min="3916" max="3916" width="3.796875" style="4" customWidth="1"/>
    <col min="3917" max="3917" width="0.296875" style="4" customWidth="1"/>
    <col min="3918" max="3918" width="2" style="4" customWidth="1"/>
    <col min="3919" max="3919" width="0.296875" style="4" customWidth="1"/>
    <col min="3920" max="4096" width="8.796875" style="4"/>
    <col min="4097" max="4098" width="0.5" style="4" customWidth="1"/>
    <col min="4099" max="4100" width="0.19921875" style="4" customWidth="1"/>
    <col min="4101" max="4101" width="0.296875" style="4" customWidth="1"/>
    <col min="4102" max="4102" width="1.19921875" style="4" customWidth="1"/>
    <col min="4103" max="4103" width="7.3984375" style="4" customWidth="1"/>
    <col min="4104" max="4104" width="0.19921875" style="4" customWidth="1"/>
    <col min="4105" max="4105" width="5.69921875" style="4" customWidth="1"/>
    <col min="4106" max="4106" width="7.3984375" style="4" customWidth="1"/>
    <col min="4107" max="4107" width="0.796875" style="4" customWidth="1"/>
    <col min="4108" max="4108" width="1.796875" style="4" customWidth="1"/>
    <col min="4109" max="4110" width="2.59765625" style="4" customWidth="1"/>
    <col min="4111" max="4111" width="0.296875" style="4" customWidth="1"/>
    <col min="4112" max="4112" width="0.796875" style="4" customWidth="1"/>
    <col min="4113" max="4113" width="0.296875" style="4" customWidth="1"/>
    <col min="4114" max="4114" width="1.19921875" style="4" customWidth="1"/>
    <col min="4115" max="4115" width="1.5" style="4" customWidth="1"/>
    <col min="4116" max="4116" width="0.19921875" style="4" customWidth="1"/>
    <col min="4117" max="4117" width="0.8984375" style="4" customWidth="1"/>
    <col min="4118" max="4118" width="2.59765625" style="4" customWidth="1"/>
    <col min="4119" max="4119" width="1.19921875" style="4" customWidth="1"/>
    <col min="4120" max="4120" width="0.19921875" style="4" customWidth="1"/>
    <col min="4121" max="4121" width="1.19921875" style="4" customWidth="1"/>
    <col min="4122" max="4123" width="2.59765625" style="4" customWidth="1"/>
    <col min="4124" max="4124" width="2" style="4" customWidth="1"/>
    <col min="4125" max="4125" width="0.19921875" style="4" customWidth="1"/>
    <col min="4126" max="4126" width="0.5" style="4" customWidth="1"/>
    <col min="4127" max="4128" width="0.19921875" style="4" customWidth="1"/>
    <col min="4129" max="4129" width="2.296875" style="4" customWidth="1"/>
    <col min="4130" max="4130" width="2.59765625" style="4" customWidth="1"/>
    <col min="4131" max="4131" width="1.09765625" style="4" customWidth="1"/>
    <col min="4132" max="4132" width="0.296875" style="4" customWidth="1"/>
    <col min="4133" max="4133" width="1.19921875" style="4" customWidth="1"/>
    <col min="4134" max="4134" width="0.59765625" style="4" customWidth="1"/>
    <col min="4135" max="4135" width="2" style="4" customWidth="1"/>
    <col min="4136" max="4136" width="1.09765625" style="4" customWidth="1"/>
    <col min="4137" max="4137" width="1.5" style="4" customWidth="1"/>
    <col min="4138" max="4138" width="1.09765625" style="4" customWidth="1"/>
    <col min="4139" max="4139" width="1.5" style="4" customWidth="1"/>
    <col min="4140" max="4140" width="2.59765625" style="4" customWidth="1"/>
    <col min="4141" max="4141" width="1.3984375" style="4" customWidth="1"/>
    <col min="4142" max="4142" width="1.19921875" style="4" customWidth="1"/>
    <col min="4143" max="4144" width="2.59765625" style="4" customWidth="1"/>
    <col min="4145" max="4145" width="1.69921875" style="4" customWidth="1"/>
    <col min="4146" max="4147" width="0.8984375" style="4" customWidth="1"/>
    <col min="4148" max="4148" width="0.59765625" style="4" customWidth="1"/>
    <col min="4149" max="4149" width="1.09765625" style="4" customWidth="1"/>
    <col min="4150" max="4150" width="1.19921875" style="4" customWidth="1"/>
    <col min="4151" max="4151" width="1.3984375" style="4" customWidth="1"/>
    <col min="4152" max="4152" width="2.59765625" style="4" customWidth="1"/>
    <col min="4153" max="4153" width="1.09765625" style="4" customWidth="1"/>
    <col min="4154" max="4154" width="0.19921875" style="4" customWidth="1"/>
    <col min="4155" max="4155" width="0.296875" style="4" customWidth="1"/>
    <col min="4156" max="4156" width="1.09765625" style="4" customWidth="1"/>
    <col min="4157" max="4157" width="1.19921875" style="4" customWidth="1"/>
    <col min="4158" max="4158" width="0.296875" style="4" customWidth="1"/>
    <col min="4159" max="4159" width="4.5" style="4" customWidth="1"/>
    <col min="4160" max="4160" width="1.19921875" style="4" customWidth="1"/>
    <col min="4161" max="4161" width="1.09765625" style="4" customWidth="1"/>
    <col min="4162" max="4162" width="2.296875" style="4" customWidth="1"/>
    <col min="4163" max="4163" width="1.5" style="4" customWidth="1"/>
    <col min="4164" max="4164" width="0.796875" style="4" customWidth="1"/>
    <col min="4165" max="4165" width="0.59765625" style="4" customWidth="1"/>
    <col min="4166" max="4166" width="5.3984375" style="4" customWidth="1"/>
    <col min="4167" max="4167" width="2.09765625" style="4" customWidth="1"/>
    <col min="4168" max="4168" width="0.19921875" style="4" customWidth="1"/>
    <col min="4169" max="4169" width="0.5" style="4" customWidth="1"/>
    <col min="4170" max="4170" width="2.59765625" style="4" customWidth="1"/>
    <col min="4171" max="4171" width="3" style="4" customWidth="1"/>
    <col min="4172" max="4172" width="3.796875" style="4" customWidth="1"/>
    <col min="4173" max="4173" width="0.296875" style="4" customWidth="1"/>
    <col min="4174" max="4174" width="2" style="4" customWidth="1"/>
    <col min="4175" max="4175" width="0.296875" style="4" customWidth="1"/>
    <col min="4176" max="4352" width="8.796875" style="4"/>
    <col min="4353" max="4354" width="0.5" style="4" customWidth="1"/>
    <col min="4355" max="4356" width="0.19921875" style="4" customWidth="1"/>
    <col min="4357" max="4357" width="0.296875" style="4" customWidth="1"/>
    <col min="4358" max="4358" width="1.19921875" style="4" customWidth="1"/>
    <col min="4359" max="4359" width="7.3984375" style="4" customWidth="1"/>
    <col min="4360" max="4360" width="0.19921875" style="4" customWidth="1"/>
    <col min="4361" max="4361" width="5.69921875" style="4" customWidth="1"/>
    <col min="4362" max="4362" width="7.3984375" style="4" customWidth="1"/>
    <col min="4363" max="4363" width="0.796875" style="4" customWidth="1"/>
    <col min="4364" max="4364" width="1.796875" style="4" customWidth="1"/>
    <col min="4365" max="4366" width="2.59765625" style="4" customWidth="1"/>
    <col min="4367" max="4367" width="0.296875" style="4" customWidth="1"/>
    <col min="4368" max="4368" width="0.796875" style="4" customWidth="1"/>
    <col min="4369" max="4369" width="0.296875" style="4" customWidth="1"/>
    <col min="4370" max="4370" width="1.19921875" style="4" customWidth="1"/>
    <col min="4371" max="4371" width="1.5" style="4" customWidth="1"/>
    <col min="4372" max="4372" width="0.19921875" style="4" customWidth="1"/>
    <col min="4373" max="4373" width="0.8984375" style="4" customWidth="1"/>
    <col min="4374" max="4374" width="2.59765625" style="4" customWidth="1"/>
    <col min="4375" max="4375" width="1.19921875" style="4" customWidth="1"/>
    <col min="4376" max="4376" width="0.19921875" style="4" customWidth="1"/>
    <col min="4377" max="4377" width="1.19921875" style="4" customWidth="1"/>
    <col min="4378" max="4379" width="2.59765625" style="4" customWidth="1"/>
    <col min="4380" max="4380" width="2" style="4" customWidth="1"/>
    <col min="4381" max="4381" width="0.19921875" style="4" customWidth="1"/>
    <col min="4382" max="4382" width="0.5" style="4" customWidth="1"/>
    <col min="4383" max="4384" width="0.19921875" style="4" customWidth="1"/>
    <col min="4385" max="4385" width="2.296875" style="4" customWidth="1"/>
    <col min="4386" max="4386" width="2.59765625" style="4" customWidth="1"/>
    <col min="4387" max="4387" width="1.09765625" style="4" customWidth="1"/>
    <col min="4388" max="4388" width="0.296875" style="4" customWidth="1"/>
    <col min="4389" max="4389" width="1.19921875" style="4" customWidth="1"/>
    <col min="4390" max="4390" width="0.59765625" style="4" customWidth="1"/>
    <col min="4391" max="4391" width="2" style="4" customWidth="1"/>
    <col min="4392" max="4392" width="1.09765625" style="4" customWidth="1"/>
    <col min="4393" max="4393" width="1.5" style="4" customWidth="1"/>
    <col min="4394" max="4394" width="1.09765625" style="4" customWidth="1"/>
    <col min="4395" max="4395" width="1.5" style="4" customWidth="1"/>
    <col min="4396" max="4396" width="2.59765625" style="4" customWidth="1"/>
    <col min="4397" max="4397" width="1.3984375" style="4" customWidth="1"/>
    <col min="4398" max="4398" width="1.19921875" style="4" customWidth="1"/>
    <col min="4399" max="4400" width="2.59765625" style="4" customWidth="1"/>
    <col min="4401" max="4401" width="1.69921875" style="4" customWidth="1"/>
    <col min="4402" max="4403" width="0.8984375" style="4" customWidth="1"/>
    <col min="4404" max="4404" width="0.59765625" style="4" customWidth="1"/>
    <col min="4405" max="4405" width="1.09765625" style="4" customWidth="1"/>
    <col min="4406" max="4406" width="1.19921875" style="4" customWidth="1"/>
    <col min="4407" max="4407" width="1.3984375" style="4" customWidth="1"/>
    <col min="4408" max="4408" width="2.59765625" style="4" customWidth="1"/>
    <col min="4409" max="4409" width="1.09765625" style="4" customWidth="1"/>
    <col min="4410" max="4410" width="0.19921875" style="4" customWidth="1"/>
    <col min="4411" max="4411" width="0.296875" style="4" customWidth="1"/>
    <col min="4412" max="4412" width="1.09765625" style="4" customWidth="1"/>
    <col min="4413" max="4413" width="1.19921875" style="4" customWidth="1"/>
    <col min="4414" max="4414" width="0.296875" style="4" customWidth="1"/>
    <col min="4415" max="4415" width="4.5" style="4" customWidth="1"/>
    <col min="4416" max="4416" width="1.19921875" style="4" customWidth="1"/>
    <col min="4417" max="4417" width="1.09765625" style="4" customWidth="1"/>
    <col min="4418" max="4418" width="2.296875" style="4" customWidth="1"/>
    <col min="4419" max="4419" width="1.5" style="4" customWidth="1"/>
    <col min="4420" max="4420" width="0.796875" style="4" customWidth="1"/>
    <col min="4421" max="4421" width="0.59765625" style="4" customWidth="1"/>
    <col min="4422" max="4422" width="5.3984375" style="4" customWidth="1"/>
    <col min="4423" max="4423" width="2.09765625" style="4" customWidth="1"/>
    <col min="4424" max="4424" width="0.19921875" style="4" customWidth="1"/>
    <col min="4425" max="4425" width="0.5" style="4" customWidth="1"/>
    <col min="4426" max="4426" width="2.59765625" style="4" customWidth="1"/>
    <col min="4427" max="4427" width="3" style="4" customWidth="1"/>
    <col min="4428" max="4428" width="3.796875" style="4" customWidth="1"/>
    <col min="4429" max="4429" width="0.296875" style="4" customWidth="1"/>
    <col min="4430" max="4430" width="2" style="4" customWidth="1"/>
    <col min="4431" max="4431" width="0.296875" style="4" customWidth="1"/>
    <col min="4432" max="4608" width="8.796875" style="4"/>
    <col min="4609" max="4610" width="0.5" style="4" customWidth="1"/>
    <col min="4611" max="4612" width="0.19921875" style="4" customWidth="1"/>
    <col min="4613" max="4613" width="0.296875" style="4" customWidth="1"/>
    <col min="4614" max="4614" width="1.19921875" style="4" customWidth="1"/>
    <col min="4615" max="4615" width="7.3984375" style="4" customWidth="1"/>
    <col min="4616" max="4616" width="0.19921875" style="4" customWidth="1"/>
    <col min="4617" max="4617" width="5.69921875" style="4" customWidth="1"/>
    <col min="4618" max="4618" width="7.3984375" style="4" customWidth="1"/>
    <col min="4619" max="4619" width="0.796875" style="4" customWidth="1"/>
    <col min="4620" max="4620" width="1.796875" style="4" customWidth="1"/>
    <col min="4621" max="4622" width="2.59765625" style="4" customWidth="1"/>
    <col min="4623" max="4623" width="0.296875" style="4" customWidth="1"/>
    <col min="4624" max="4624" width="0.796875" style="4" customWidth="1"/>
    <col min="4625" max="4625" width="0.296875" style="4" customWidth="1"/>
    <col min="4626" max="4626" width="1.19921875" style="4" customWidth="1"/>
    <col min="4627" max="4627" width="1.5" style="4" customWidth="1"/>
    <col min="4628" max="4628" width="0.19921875" style="4" customWidth="1"/>
    <col min="4629" max="4629" width="0.8984375" style="4" customWidth="1"/>
    <col min="4630" max="4630" width="2.59765625" style="4" customWidth="1"/>
    <col min="4631" max="4631" width="1.19921875" style="4" customWidth="1"/>
    <col min="4632" max="4632" width="0.19921875" style="4" customWidth="1"/>
    <col min="4633" max="4633" width="1.19921875" style="4" customWidth="1"/>
    <col min="4634" max="4635" width="2.59765625" style="4" customWidth="1"/>
    <col min="4636" max="4636" width="2" style="4" customWidth="1"/>
    <col min="4637" max="4637" width="0.19921875" style="4" customWidth="1"/>
    <col min="4638" max="4638" width="0.5" style="4" customWidth="1"/>
    <col min="4639" max="4640" width="0.19921875" style="4" customWidth="1"/>
    <col min="4641" max="4641" width="2.296875" style="4" customWidth="1"/>
    <col min="4642" max="4642" width="2.59765625" style="4" customWidth="1"/>
    <col min="4643" max="4643" width="1.09765625" style="4" customWidth="1"/>
    <col min="4644" max="4644" width="0.296875" style="4" customWidth="1"/>
    <col min="4645" max="4645" width="1.19921875" style="4" customWidth="1"/>
    <col min="4646" max="4646" width="0.59765625" style="4" customWidth="1"/>
    <col min="4647" max="4647" width="2" style="4" customWidth="1"/>
    <col min="4648" max="4648" width="1.09765625" style="4" customWidth="1"/>
    <col min="4649" max="4649" width="1.5" style="4" customWidth="1"/>
    <col min="4650" max="4650" width="1.09765625" style="4" customWidth="1"/>
    <col min="4651" max="4651" width="1.5" style="4" customWidth="1"/>
    <col min="4652" max="4652" width="2.59765625" style="4" customWidth="1"/>
    <col min="4653" max="4653" width="1.3984375" style="4" customWidth="1"/>
    <col min="4654" max="4654" width="1.19921875" style="4" customWidth="1"/>
    <col min="4655" max="4656" width="2.59765625" style="4" customWidth="1"/>
    <col min="4657" max="4657" width="1.69921875" style="4" customWidth="1"/>
    <col min="4658" max="4659" width="0.8984375" style="4" customWidth="1"/>
    <col min="4660" max="4660" width="0.59765625" style="4" customWidth="1"/>
    <col min="4661" max="4661" width="1.09765625" style="4" customWidth="1"/>
    <col min="4662" max="4662" width="1.19921875" style="4" customWidth="1"/>
    <col min="4663" max="4663" width="1.3984375" style="4" customWidth="1"/>
    <col min="4664" max="4664" width="2.59765625" style="4" customWidth="1"/>
    <col min="4665" max="4665" width="1.09765625" style="4" customWidth="1"/>
    <col min="4666" max="4666" width="0.19921875" style="4" customWidth="1"/>
    <col min="4667" max="4667" width="0.296875" style="4" customWidth="1"/>
    <col min="4668" max="4668" width="1.09765625" style="4" customWidth="1"/>
    <col min="4669" max="4669" width="1.19921875" style="4" customWidth="1"/>
    <col min="4670" max="4670" width="0.296875" style="4" customWidth="1"/>
    <col min="4671" max="4671" width="4.5" style="4" customWidth="1"/>
    <col min="4672" max="4672" width="1.19921875" style="4" customWidth="1"/>
    <col min="4673" max="4673" width="1.09765625" style="4" customWidth="1"/>
    <col min="4674" max="4674" width="2.296875" style="4" customWidth="1"/>
    <col min="4675" max="4675" width="1.5" style="4" customWidth="1"/>
    <col min="4676" max="4676" width="0.796875" style="4" customWidth="1"/>
    <col min="4677" max="4677" width="0.59765625" style="4" customWidth="1"/>
    <col min="4678" max="4678" width="5.3984375" style="4" customWidth="1"/>
    <col min="4679" max="4679" width="2.09765625" style="4" customWidth="1"/>
    <col min="4680" max="4680" width="0.19921875" style="4" customWidth="1"/>
    <col min="4681" max="4681" width="0.5" style="4" customWidth="1"/>
    <col min="4682" max="4682" width="2.59765625" style="4" customWidth="1"/>
    <col min="4683" max="4683" width="3" style="4" customWidth="1"/>
    <col min="4684" max="4684" width="3.796875" style="4" customWidth="1"/>
    <col min="4685" max="4685" width="0.296875" style="4" customWidth="1"/>
    <col min="4686" max="4686" width="2" style="4" customWidth="1"/>
    <col min="4687" max="4687" width="0.296875" style="4" customWidth="1"/>
    <col min="4688" max="4864" width="8.796875" style="4"/>
    <col min="4865" max="4866" width="0.5" style="4" customWidth="1"/>
    <col min="4867" max="4868" width="0.19921875" style="4" customWidth="1"/>
    <col min="4869" max="4869" width="0.296875" style="4" customWidth="1"/>
    <col min="4870" max="4870" width="1.19921875" style="4" customWidth="1"/>
    <col min="4871" max="4871" width="7.3984375" style="4" customWidth="1"/>
    <col min="4872" max="4872" width="0.19921875" style="4" customWidth="1"/>
    <col min="4873" max="4873" width="5.69921875" style="4" customWidth="1"/>
    <col min="4874" max="4874" width="7.3984375" style="4" customWidth="1"/>
    <col min="4875" max="4875" width="0.796875" style="4" customWidth="1"/>
    <col min="4876" max="4876" width="1.796875" style="4" customWidth="1"/>
    <col min="4877" max="4878" width="2.59765625" style="4" customWidth="1"/>
    <col min="4879" max="4879" width="0.296875" style="4" customWidth="1"/>
    <col min="4880" max="4880" width="0.796875" style="4" customWidth="1"/>
    <col min="4881" max="4881" width="0.296875" style="4" customWidth="1"/>
    <col min="4882" max="4882" width="1.19921875" style="4" customWidth="1"/>
    <col min="4883" max="4883" width="1.5" style="4" customWidth="1"/>
    <col min="4884" max="4884" width="0.19921875" style="4" customWidth="1"/>
    <col min="4885" max="4885" width="0.8984375" style="4" customWidth="1"/>
    <col min="4886" max="4886" width="2.59765625" style="4" customWidth="1"/>
    <col min="4887" max="4887" width="1.19921875" style="4" customWidth="1"/>
    <col min="4888" max="4888" width="0.19921875" style="4" customWidth="1"/>
    <col min="4889" max="4889" width="1.19921875" style="4" customWidth="1"/>
    <col min="4890" max="4891" width="2.59765625" style="4" customWidth="1"/>
    <col min="4892" max="4892" width="2" style="4" customWidth="1"/>
    <col min="4893" max="4893" width="0.19921875" style="4" customWidth="1"/>
    <col min="4894" max="4894" width="0.5" style="4" customWidth="1"/>
    <col min="4895" max="4896" width="0.19921875" style="4" customWidth="1"/>
    <col min="4897" max="4897" width="2.296875" style="4" customWidth="1"/>
    <col min="4898" max="4898" width="2.59765625" style="4" customWidth="1"/>
    <col min="4899" max="4899" width="1.09765625" style="4" customWidth="1"/>
    <col min="4900" max="4900" width="0.296875" style="4" customWidth="1"/>
    <col min="4901" max="4901" width="1.19921875" style="4" customWidth="1"/>
    <col min="4902" max="4902" width="0.59765625" style="4" customWidth="1"/>
    <col min="4903" max="4903" width="2" style="4" customWidth="1"/>
    <col min="4904" max="4904" width="1.09765625" style="4" customWidth="1"/>
    <col min="4905" max="4905" width="1.5" style="4" customWidth="1"/>
    <col min="4906" max="4906" width="1.09765625" style="4" customWidth="1"/>
    <col min="4907" max="4907" width="1.5" style="4" customWidth="1"/>
    <col min="4908" max="4908" width="2.59765625" style="4" customWidth="1"/>
    <col min="4909" max="4909" width="1.3984375" style="4" customWidth="1"/>
    <col min="4910" max="4910" width="1.19921875" style="4" customWidth="1"/>
    <col min="4911" max="4912" width="2.59765625" style="4" customWidth="1"/>
    <col min="4913" max="4913" width="1.69921875" style="4" customWidth="1"/>
    <col min="4914" max="4915" width="0.8984375" style="4" customWidth="1"/>
    <col min="4916" max="4916" width="0.59765625" style="4" customWidth="1"/>
    <col min="4917" max="4917" width="1.09765625" style="4" customWidth="1"/>
    <col min="4918" max="4918" width="1.19921875" style="4" customWidth="1"/>
    <col min="4919" max="4919" width="1.3984375" style="4" customWidth="1"/>
    <col min="4920" max="4920" width="2.59765625" style="4" customWidth="1"/>
    <col min="4921" max="4921" width="1.09765625" style="4" customWidth="1"/>
    <col min="4922" max="4922" width="0.19921875" style="4" customWidth="1"/>
    <col min="4923" max="4923" width="0.296875" style="4" customWidth="1"/>
    <col min="4924" max="4924" width="1.09765625" style="4" customWidth="1"/>
    <col min="4925" max="4925" width="1.19921875" style="4" customWidth="1"/>
    <col min="4926" max="4926" width="0.296875" style="4" customWidth="1"/>
    <col min="4927" max="4927" width="4.5" style="4" customWidth="1"/>
    <col min="4928" max="4928" width="1.19921875" style="4" customWidth="1"/>
    <col min="4929" max="4929" width="1.09765625" style="4" customWidth="1"/>
    <col min="4930" max="4930" width="2.296875" style="4" customWidth="1"/>
    <col min="4931" max="4931" width="1.5" style="4" customWidth="1"/>
    <col min="4932" max="4932" width="0.796875" style="4" customWidth="1"/>
    <col min="4933" max="4933" width="0.59765625" style="4" customWidth="1"/>
    <col min="4934" max="4934" width="5.3984375" style="4" customWidth="1"/>
    <col min="4935" max="4935" width="2.09765625" style="4" customWidth="1"/>
    <col min="4936" max="4936" width="0.19921875" style="4" customWidth="1"/>
    <col min="4937" max="4937" width="0.5" style="4" customWidth="1"/>
    <col min="4938" max="4938" width="2.59765625" style="4" customWidth="1"/>
    <col min="4939" max="4939" width="3" style="4" customWidth="1"/>
    <col min="4940" max="4940" width="3.796875" style="4" customWidth="1"/>
    <col min="4941" max="4941" width="0.296875" style="4" customWidth="1"/>
    <col min="4942" max="4942" width="2" style="4" customWidth="1"/>
    <col min="4943" max="4943" width="0.296875" style="4" customWidth="1"/>
    <col min="4944" max="5120" width="8.796875" style="4"/>
    <col min="5121" max="5122" width="0.5" style="4" customWidth="1"/>
    <col min="5123" max="5124" width="0.19921875" style="4" customWidth="1"/>
    <col min="5125" max="5125" width="0.296875" style="4" customWidth="1"/>
    <col min="5126" max="5126" width="1.19921875" style="4" customWidth="1"/>
    <col min="5127" max="5127" width="7.3984375" style="4" customWidth="1"/>
    <col min="5128" max="5128" width="0.19921875" style="4" customWidth="1"/>
    <col min="5129" max="5129" width="5.69921875" style="4" customWidth="1"/>
    <col min="5130" max="5130" width="7.3984375" style="4" customWidth="1"/>
    <col min="5131" max="5131" width="0.796875" style="4" customWidth="1"/>
    <col min="5132" max="5132" width="1.796875" style="4" customWidth="1"/>
    <col min="5133" max="5134" width="2.59765625" style="4" customWidth="1"/>
    <col min="5135" max="5135" width="0.296875" style="4" customWidth="1"/>
    <col min="5136" max="5136" width="0.796875" style="4" customWidth="1"/>
    <col min="5137" max="5137" width="0.296875" style="4" customWidth="1"/>
    <col min="5138" max="5138" width="1.19921875" style="4" customWidth="1"/>
    <col min="5139" max="5139" width="1.5" style="4" customWidth="1"/>
    <col min="5140" max="5140" width="0.19921875" style="4" customWidth="1"/>
    <col min="5141" max="5141" width="0.8984375" style="4" customWidth="1"/>
    <col min="5142" max="5142" width="2.59765625" style="4" customWidth="1"/>
    <col min="5143" max="5143" width="1.19921875" style="4" customWidth="1"/>
    <col min="5144" max="5144" width="0.19921875" style="4" customWidth="1"/>
    <col min="5145" max="5145" width="1.19921875" style="4" customWidth="1"/>
    <col min="5146" max="5147" width="2.59765625" style="4" customWidth="1"/>
    <col min="5148" max="5148" width="2" style="4" customWidth="1"/>
    <col min="5149" max="5149" width="0.19921875" style="4" customWidth="1"/>
    <col min="5150" max="5150" width="0.5" style="4" customWidth="1"/>
    <col min="5151" max="5152" width="0.19921875" style="4" customWidth="1"/>
    <col min="5153" max="5153" width="2.296875" style="4" customWidth="1"/>
    <col min="5154" max="5154" width="2.59765625" style="4" customWidth="1"/>
    <col min="5155" max="5155" width="1.09765625" style="4" customWidth="1"/>
    <col min="5156" max="5156" width="0.296875" style="4" customWidth="1"/>
    <col min="5157" max="5157" width="1.19921875" style="4" customWidth="1"/>
    <col min="5158" max="5158" width="0.59765625" style="4" customWidth="1"/>
    <col min="5159" max="5159" width="2" style="4" customWidth="1"/>
    <col min="5160" max="5160" width="1.09765625" style="4" customWidth="1"/>
    <col min="5161" max="5161" width="1.5" style="4" customWidth="1"/>
    <col min="5162" max="5162" width="1.09765625" style="4" customWidth="1"/>
    <col min="5163" max="5163" width="1.5" style="4" customWidth="1"/>
    <col min="5164" max="5164" width="2.59765625" style="4" customWidth="1"/>
    <col min="5165" max="5165" width="1.3984375" style="4" customWidth="1"/>
    <col min="5166" max="5166" width="1.19921875" style="4" customWidth="1"/>
    <col min="5167" max="5168" width="2.59765625" style="4" customWidth="1"/>
    <col min="5169" max="5169" width="1.69921875" style="4" customWidth="1"/>
    <col min="5170" max="5171" width="0.8984375" style="4" customWidth="1"/>
    <col min="5172" max="5172" width="0.59765625" style="4" customWidth="1"/>
    <col min="5173" max="5173" width="1.09765625" style="4" customWidth="1"/>
    <col min="5174" max="5174" width="1.19921875" style="4" customWidth="1"/>
    <col min="5175" max="5175" width="1.3984375" style="4" customWidth="1"/>
    <col min="5176" max="5176" width="2.59765625" style="4" customWidth="1"/>
    <col min="5177" max="5177" width="1.09765625" style="4" customWidth="1"/>
    <col min="5178" max="5178" width="0.19921875" style="4" customWidth="1"/>
    <col min="5179" max="5179" width="0.296875" style="4" customWidth="1"/>
    <col min="5180" max="5180" width="1.09765625" style="4" customWidth="1"/>
    <col min="5181" max="5181" width="1.19921875" style="4" customWidth="1"/>
    <col min="5182" max="5182" width="0.296875" style="4" customWidth="1"/>
    <col min="5183" max="5183" width="4.5" style="4" customWidth="1"/>
    <col min="5184" max="5184" width="1.19921875" style="4" customWidth="1"/>
    <col min="5185" max="5185" width="1.09765625" style="4" customWidth="1"/>
    <col min="5186" max="5186" width="2.296875" style="4" customWidth="1"/>
    <col min="5187" max="5187" width="1.5" style="4" customWidth="1"/>
    <col min="5188" max="5188" width="0.796875" style="4" customWidth="1"/>
    <col min="5189" max="5189" width="0.59765625" style="4" customWidth="1"/>
    <col min="5190" max="5190" width="5.3984375" style="4" customWidth="1"/>
    <col min="5191" max="5191" width="2.09765625" style="4" customWidth="1"/>
    <col min="5192" max="5192" width="0.19921875" style="4" customWidth="1"/>
    <col min="5193" max="5193" width="0.5" style="4" customWidth="1"/>
    <col min="5194" max="5194" width="2.59765625" style="4" customWidth="1"/>
    <col min="5195" max="5195" width="3" style="4" customWidth="1"/>
    <col min="5196" max="5196" width="3.796875" style="4" customWidth="1"/>
    <col min="5197" max="5197" width="0.296875" style="4" customWidth="1"/>
    <col min="5198" max="5198" width="2" style="4" customWidth="1"/>
    <col min="5199" max="5199" width="0.296875" style="4" customWidth="1"/>
    <col min="5200" max="5376" width="8.796875" style="4"/>
    <col min="5377" max="5378" width="0.5" style="4" customWidth="1"/>
    <col min="5379" max="5380" width="0.19921875" style="4" customWidth="1"/>
    <col min="5381" max="5381" width="0.296875" style="4" customWidth="1"/>
    <col min="5382" max="5382" width="1.19921875" style="4" customWidth="1"/>
    <col min="5383" max="5383" width="7.3984375" style="4" customWidth="1"/>
    <col min="5384" max="5384" width="0.19921875" style="4" customWidth="1"/>
    <col min="5385" max="5385" width="5.69921875" style="4" customWidth="1"/>
    <col min="5386" max="5386" width="7.3984375" style="4" customWidth="1"/>
    <col min="5387" max="5387" width="0.796875" style="4" customWidth="1"/>
    <col min="5388" max="5388" width="1.796875" style="4" customWidth="1"/>
    <col min="5389" max="5390" width="2.59765625" style="4" customWidth="1"/>
    <col min="5391" max="5391" width="0.296875" style="4" customWidth="1"/>
    <col min="5392" max="5392" width="0.796875" style="4" customWidth="1"/>
    <col min="5393" max="5393" width="0.296875" style="4" customWidth="1"/>
    <col min="5394" max="5394" width="1.19921875" style="4" customWidth="1"/>
    <col min="5395" max="5395" width="1.5" style="4" customWidth="1"/>
    <col min="5396" max="5396" width="0.19921875" style="4" customWidth="1"/>
    <col min="5397" max="5397" width="0.8984375" style="4" customWidth="1"/>
    <col min="5398" max="5398" width="2.59765625" style="4" customWidth="1"/>
    <col min="5399" max="5399" width="1.19921875" style="4" customWidth="1"/>
    <col min="5400" max="5400" width="0.19921875" style="4" customWidth="1"/>
    <col min="5401" max="5401" width="1.19921875" style="4" customWidth="1"/>
    <col min="5402" max="5403" width="2.59765625" style="4" customWidth="1"/>
    <col min="5404" max="5404" width="2" style="4" customWidth="1"/>
    <col min="5405" max="5405" width="0.19921875" style="4" customWidth="1"/>
    <col min="5406" max="5406" width="0.5" style="4" customWidth="1"/>
    <col min="5407" max="5408" width="0.19921875" style="4" customWidth="1"/>
    <col min="5409" max="5409" width="2.296875" style="4" customWidth="1"/>
    <col min="5410" max="5410" width="2.59765625" style="4" customWidth="1"/>
    <col min="5411" max="5411" width="1.09765625" style="4" customWidth="1"/>
    <col min="5412" max="5412" width="0.296875" style="4" customWidth="1"/>
    <col min="5413" max="5413" width="1.19921875" style="4" customWidth="1"/>
    <col min="5414" max="5414" width="0.59765625" style="4" customWidth="1"/>
    <col min="5415" max="5415" width="2" style="4" customWidth="1"/>
    <col min="5416" max="5416" width="1.09765625" style="4" customWidth="1"/>
    <col min="5417" max="5417" width="1.5" style="4" customWidth="1"/>
    <col min="5418" max="5418" width="1.09765625" style="4" customWidth="1"/>
    <col min="5419" max="5419" width="1.5" style="4" customWidth="1"/>
    <col min="5420" max="5420" width="2.59765625" style="4" customWidth="1"/>
    <col min="5421" max="5421" width="1.3984375" style="4" customWidth="1"/>
    <col min="5422" max="5422" width="1.19921875" style="4" customWidth="1"/>
    <col min="5423" max="5424" width="2.59765625" style="4" customWidth="1"/>
    <col min="5425" max="5425" width="1.69921875" style="4" customWidth="1"/>
    <col min="5426" max="5427" width="0.8984375" style="4" customWidth="1"/>
    <col min="5428" max="5428" width="0.59765625" style="4" customWidth="1"/>
    <col min="5429" max="5429" width="1.09765625" style="4" customWidth="1"/>
    <col min="5430" max="5430" width="1.19921875" style="4" customWidth="1"/>
    <col min="5431" max="5431" width="1.3984375" style="4" customWidth="1"/>
    <col min="5432" max="5432" width="2.59765625" style="4" customWidth="1"/>
    <col min="5433" max="5433" width="1.09765625" style="4" customWidth="1"/>
    <col min="5434" max="5434" width="0.19921875" style="4" customWidth="1"/>
    <col min="5435" max="5435" width="0.296875" style="4" customWidth="1"/>
    <col min="5436" max="5436" width="1.09765625" style="4" customWidth="1"/>
    <col min="5437" max="5437" width="1.19921875" style="4" customWidth="1"/>
    <col min="5438" max="5438" width="0.296875" style="4" customWidth="1"/>
    <col min="5439" max="5439" width="4.5" style="4" customWidth="1"/>
    <col min="5440" max="5440" width="1.19921875" style="4" customWidth="1"/>
    <col min="5441" max="5441" width="1.09765625" style="4" customWidth="1"/>
    <col min="5442" max="5442" width="2.296875" style="4" customWidth="1"/>
    <col min="5443" max="5443" width="1.5" style="4" customWidth="1"/>
    <col min="5444" max="5444" width="0.796875" style="4" customWidth="1"/>
    <col min="5445" max="5445" width="0.59765625" style="4" customWidth="1"/>
    <col min="5446" max="5446" width="5.3984375" style="4" customWidth="1"/>
    <col min="5447" max="5447" width="2.09765625" style="4" customWidth="1"/>
    <col min="5448" max="5448" width="0.19921875" style="4" customWidth="1"/>
    <col min="5449" max="5449" width="0.5" style="4" customWidth="1"/>
    <col min="5450" max="5450" width="2.59765625" style="4" customWidth="1"/>
    <col min="5451" max="5451" width="3" style="4" customWidth="1"/>
    <col min="5452" max="5452" width="3.796875" style="4" customWidth="1"/>
    <col min="5453" max="5453" width="0.296875" style="4" customWidth="1"/>
    <col min="5454" max="5454" width="2" style="4" customWidth="1"/>
    <col min="5455" max="5455" width="0.296875" style="4" customWidth="1"/>
    <col min="5456" max="5632" width="8.796875" style="4"/>
    <col min="5633" max="5634" width="0.5" style="4" customWidth="1"/>
    <col min="5635" max="5636" width="0.19921875" style="4" customWidth="1"/>
    <col min="5637" max="5637" width="0.296875" style="4" customWidth="1"/>
    <col min="5638" max="5638" width="1.19921875" style="4" customWidth="1"/>
    <col min="5639" max="5639" width="7.3984375" style="4" customWidth="1"/>
    <col min="5640" max="5640" width="0.19921875" style="4" customWidth="1"/>
    <col min="5641" max="5641" width="5.69921875" style="4" customWidth="1"/>
    <col min="5642" max="5642" width="7.3984375" style="4" customWidth="1"/>
    <col min="5643" max="5643" width="0.796875" style="4" customWidth="1"/>
    <col min="5644" max="5644" width="1.796875" style="4" customWidth="1"/>
    <col min="5645" max="5646" width="2.59765625" style="4" customWidth="1"/>
    <col min="5647" max="5647" width="0.296875" style="4" customWidth="1"/>
    <col min="5648" max="5648" width="0.796875" style="4" customWidth="1"/>
    <col min="5649" max="5649" width="0.296875" style="4" customWidth="1"/>
    <col min="5650" max="5650" width="1.19921875" style="4" customWidth="1"/>
    <col min="5651" max="5651" width="1.5" style="4" customWidth="1"/>
    <col min="5652" max="5652" width="0.19921875" style="4" customWidth="1"/>
    <col min="5653" max="5653" width="0.8984375" style="4" customWidth="1"/>
    <col min="5654" max="5654" width="2.59765625" style="4" customWidth="1"/>
    <col min="5655" max="5655" width="1.19921875" style="4" customWidth="1"/>
    <col min="5656" max="5656" width="0.19921875" style="4" customWidth="1"/>
    <col min="5657" max="5657" width="1.19921875" style="4" customWidth="1"/>
    <col min="5658" max="5659" width="2.59765625" style="4" customWidth="1"/>
    <col min="5660" max="5660" width="2" style="4" customWidth="1"/>
    <col min="5661" max="5661" width="0.19921875" style="4" customWidth="1"/>
    <col min="5662" max="5662" width="0.5" style="4" customWidth="1"/>
    <col min="5663" max="5664" width="0.19921875" style="4" customWidth="1"/>
    <col min="5665" max="5665" width="2.296875" style="4" customWidth="1"/>
    <col min="5666" max="5666" width="2.59765625" style="4" customWidth="1"/>
    <col min="5667" max="5667" width="1.09765625" style="4" customWidth="1"/>
    <col min="5668" max="5668" width="0.296875" style="4" customWidth="1"/>
    <col min="5669" max="5669" width="1.19921875" style="4" customWidth="1"/>
    <col min="5670" max="5670" width="0.59765625" style="4" customWidth="1"/>
    <col min="5671" max="5671" width="2" style="4" customWidth="1"/>
    <col min="5672" max="5672" width="1.09765625" style="4" customWidth="1"/>
    <col min="5673" max="5673" width="1.5" style="4" customWidth="1"/>
    <col min="5674" max="5674" width="1.09765625" style="4" customWidth="1"/>
    <col min="5675" max="5675" width="1.5" style="4" customWidth="1"/>
    <col min="5676" max="5676" width="2.59765625" style="4" customWidth="1"/>
    <col min="5677" max="5677" width="1.3984375" style="4" customWidth="1"/>
    <col min="5678" max="5678" width="1.19921875" style="4" customWidth="1"/>
    <col min="5679" max="5680" width="2.59765625" style="4" customWidth="1"/>
    <col min="5681" max="5681" width="1.69921875" style="4" customWidth="1"/>
    <col min="5682" max="5683" width="0.8984375" style="4" customWidth="1"/>
    <col min="5684" max="5684" width="0.59765625" style="4" customWidth="1"/>
    <col min="5685" max="5685" width="1.09765625" style="4" customWidth="1"/>
    <col min="5686" max="5686" width="1.19921875" style="4" customWidth="1"/>
    <col min="5687" max="5687" width="1.3984375" style="4" customWidth="1"/>
    <col min="5688" max="5688" width="2.59765625" style="4" customWidth="1"/>
    <col min="5689" max="5689" width="1.09765625" style="4" customWidth="1"/>
    <col min="5690" max="5690" width="0.19921875" style="4" customWidth="1"/>
    <col min="5691" max="5691" width="0.296875" style="4" customWidth="1"/>
    <col min="5692" max="5692" width="1.09765625" style="4" customWidth="1"/>
    <col min="5693" max="5693" width="1.19921875" style="4" customWidth="1"/>
    <col min="5694" max="5694" width="0.296875" style="4" customWidth="1"/>
    <col min="5695" max="5695" width="4.5" style="4" customWidth="1"/>
    <col min="5696" max="5696" width="1.19921875" style="4" customWidth="1"/>
    <col min="5697" max="5697" width="1.09765625" style="4" customWidth="1"/>
    <col min="5698" max="5698" width="2.296875" style="4" customWidth="1"/>
    <col min="5699" max="5699" width="1.5" style="4" customWidth="1"/>
    <col min="5700" max="5700" width="0.796875" style="4" customWidth="1"/>
    <col min="5701" max="5701" width="0.59765625" style="4" customWidth="1"/>
    <col min="5702" max="5702" width="5.3984375" style="4" customWidth="1"/>
    <col min="5703" max="5703" width="2.09765625" style="4" customWidth="1"/>
    <col min="5704" max="5704" width="0.19921875" style="4" customWidth="1"/>
    <col min="5705" max="5705" width="0.5" style="4" customWidth="1"/>
    <col min="5706" max="5706" width="2.59765625" style="4" customWidth="1"/>
    <col min="5707" max="5707" width="3" style="4" customWidth="1"/>
    <col min="5708" max="5708" width="3.796875" style="4" customWidth="1"/>
    <col min="5709" max="5709" width="0.296875" style="4" customWidth="1"/>
    <col min="5710" max="5710" width="2" style="4" customWidth="1"/>
    <col min="5711" max="5711" width="0.296875" style="4" customWidth="1"/>
    <col min="5712" max="5888" width="8.796875" style="4"/>
    <col min="5889" max="5890" width="0.5" style="4" customWidth="1"/>
    <col min="5891" max="5892" width="0.19921875" style="4" customWidth="1"/>
    <col min="5893" max="5893" width="0.296875" style="4" customWidth="1"/>
    <col min="5894" max="5894" width="1.19921875" style="4" customWidth="1"/>
    <col min="5895" max="5895" width="7.3984375" style="4" customWidth="1"/>
    <col min="5896" max="5896" width="0.19921875" style="4" customWidth="1"/>
    <col min="5897" max="5897" width="5.69921875" style="4" customWidth="1"/>
    <col min="5898" max="5898" width="7.3984375" style="4" customWidth="1"/>
    <col min="5899" max="5899" width="0.796875" style="4" customWidth="1"/>
    <col min="5900" max="5900" width="1.796875" style="4" customWidth="1"/>
    <col min="5901" max="5902" width="2.59765625" style="4" customWidth="1"/>
    <col min="5903" max="5903" width="0.296875" style="4" customWidth="1"/>
    <col min="5904" max="5904" width="0.796875" style="4" customWidth="1"/>
    <col min="5905" max="5905" width="0.296875" style="4" customWidth="1"/>
    <col min="5906" max="5906" width="1.19921875" style="4" customWidth="1"/>
    <col min="5907" max="5907" width="1.5" style="4" customWidth="1"/>
    <col min="5908" max="5908" width="0.19921875" style="4" customWidth="1"/>
    <col min="5909" max="5909" width="0.8984375" style="4" customWidth="1"/>
    <col min="5910" max="5910" width="2.59765625" style="4" customWidth="1"/>
    <col min="5911" max="5911" width="1.19921875" style="4" customWidth="1"/>
    <col min="5912" max="5912" width="0.19921875" style="4" customWidth="1"/>
    <col min="5913" max="5913" width="1.19921875" style="4" customWidth="1"/>
    <col min="5914" max="5915" width="2.59765625" style="4" customWidth="1"/>
    <col min="5916" max="5916" width="2" style="4" customWidth="1"/>
    <col min="5917" max="5917" width="0.19921875" style="4" customWidth="1"/>
    <col min="5918" max="5918" width="0.5" style="4" customWidth="1"/>
    <col min="5919" max="5920" width="0.19921875" style="4" customWidth="1"/>
    <col min="5921" max="5921" width="2.296875" style="4" customWidth="1"/>
    <col min="5922" max="5922" width="2.59765625" style="4" customWidth="1"/>
    <col min="5923" max="5923" width="1.09765625" style="4" customWidth="1"/>
    <col min="5924" max="5924" width="0.296875" style="4" customWidth="1"/>
    <col min="5925" max="5925" width="1.19921875" style="4" customWidth="1"/>
    <col min="5926" max="5926" width="0.59765625" style="4" customWidth="1"/>
    <col min="5927" max="5927" width="2" style="4" customWidth="1"/>
    <col min="5928" max="5928" width="1.09765625" style="4" customWidth="1"/>
    <col min="5929" max="5929" width="1.5" style="4" customWidth="1"/>
    <col min="5930" max="5930" width="1.09765625" style="4" customWidth="1"/>
    <col min="5931" max="5931" width="1.5" style="4" customWidth="1"/>
    <col min="5932" max="5932" width="2.59765625" style="4" customWidth="1"/>
    <col min="5933" max="5933" width="1.3984375" style="4" customWidth="1"/>
    <col min="5934" max="5934" width="1.19921875" style="4" customWidth="1"/>
    <col min="5935" max="5936" width="2.59765625" style="4" customWidth="1"/>
    <col min="5937" max="5937" width="1.69921875" style="4" customWidth="1"/>
    <col min="5938" max="5939" width="0.8984375" style="4" customWidth="1"/>
    <col min="5940" max="5940" width="0.59765625" style="4" customWidth="1"/>
    <col min="5941" max="5941" width="1.09765625" style="4" customWidth="1"/>
    <col min="5942" max="5942" width="1.19921875" style="4" customWidth="1"/>
    <col min="5943" max="5943" width="1.3984375" style="4" customWidth="1"/>
    <col min="5944" max="5944" width="2.59765625" style="4" customWidth="1"/>
    <col min="5945" max="5945" width="1.09765625" style="4" customWidth="1"/>
    <col min="5946" max="5946" width="0.19921875" style="4" customWidth="1"/>
    <col min="5947" max="5947" width="0.296875" style="4" customWidth="1"/>
    <col min="5948" max="5948" width="1.09765625" style="4" customWidth="1"/>
    <col min="5949" max="5949" width="1.19921875" style="4" customWidth="1"/>
    <col min="5950" max="5950" width="0.296875" style="4" customWidth="1"/>
    <col min="5951" max="5951" width="4.5" style="4" customWidth="1"/>
    <col min="5952" max="5952" width="1.19921875" style="4" customWidth="1"/>
    <col min="5953" max="5953" width="1.09765625" style="4" customWidth="1"/>
    <col min="5954" max="5954" width="2.296875" style="4" customWidth="1"/>
    <col min="5955" max="5955" width="1.5" style="4" customWidth="1"/>
    <col min="5956" max="5956" width="0.796875" style="4" customWidth="1"/>
    <col min="5957" max="5957" width="0.59765625" style="4" customWidth="1"/>
    <col min="5958" max="5958" width="5.3984375" style="4" customWidth="1"/>
    <col min="5959" max="5959" width="2.09765625" style="4" customWidth="1"/>
    <col min="5960" max="5960" width="0.19921875" style="4" customWidth="1"/>
    <col min="5961" max="5961" width="0.5" style="4" customWidth="1"/>
    <col min="5962" max="5962" width="2.59765625" style="4" customWidth="1"/>
    <col min="5963" max="5963" width="3" style="4" customWidth="1"/>
    <col min="5964" max="5964" width="3.796875" style="4" customWidth="1"/>
    <col min="5965" max="5965" width="0.296875" style="4" customWidth="1"/>
    <col min="5966" max="5966" width="2" style="4" customWidth="1"/>
    <col min="5967" max="5967" width="0.296875" style="4" customWidth="1"/>
    <col min="5968" max="6144" width="8.796875" style="4"/>
    <col min="6145" max="6146" width="0.5" style="4" customWidth="1"/>
    <col min="6147" max="6148" width="0.19921875" style="4" customWidth="1"/>
    <col min="6149" max="6149" width="0.296875" style="4" customWidth="1"/>
    <col min="6150" max="6150" width="1.19921875" style="4" customWidth="1"/>
    <col min="6151" max="6151" width="7.3984375" style="4" customWidth="1"/>
    <col min="6152" max="6152" width="0.19921875" style="4" customWidth="1"/>
    <col min="6153" max="6153" width="5.69921875" style="4" customWidth="1"/>
    <col min="6154" max="6154" width="7.3984375" style="4" customWidth="1"/>
    <col min="6155" max="6155" width="0.796875" style="4" customWidth="1"/>
    <col min="6156" max="6156" width="1.796875" style="4" customWidth="1"/>
    <col min="6157" max="6158" width="2.59765625" style="4" customWidth="1"/>
    <col min="6159" max="6159" width="0.296875" style="4" customWidth="1"/>
    <col min="6160" max="6160" width="0.796875" style="4" customWidth="1"/>
    <col min="6161" max="6161" width="0.296875" style="4" customWidth="1"/>
    <col min="6162" max="6162" width="1.19921875" style="4" customWidth="1"/>
    <col min="6163" max="6163" width="1.5" style="4" customWidth="1"/>
    <col min="6164" max="6164" width="0.19921875" style="4" customWidth="1"/>
    <col min="6165" max="6165" width="0.8984375" style="4" customWidth="1"/>
    <col min="6166" max="6166" width="2.59765625" style="4" customWidth="1"/>
    <col min="6167" max="6167" width="1.19921875" style="4" customWidth="1"/>
    <col min="6168" max="6168" width="0.19921875" style="4" customWidth="1"/>
    <col min="6169" max="6169" width="1.19921875" style="4" customWidth="1"/>
    <col min="6170" max="6171" width="2.59765625" style="4" customWidth="1"/>
    <col min="6172" max="6172" width="2" style="4" customWidth="1"/>
    <col min="6173" max="6173" width="0.19921875" style="4" customWidth="1"/>
    <col min="6174" max="6174" width="0.5" style="4" customWidth="1"/>
    <col min="6175" max="6176" width="0.19921875" style="4" customWidth="1"/>
    <col min="6177" max="6177" width="2.296875" style="4" customWidth="1"/>
    <col min="6178" max="6178" width="2.59765625" style="4" customWidth="1"/>
    <col min="6179" max="6179" width="1.09765625" style="4" customWidth="1"/>
    <col min="6180" max="6180" width="0.296875" style="4" customWidth="1"/>
    <col min="6181" max="6181" width="1.19921875" style="4" customWidth="1"/>
    <col min="6182" max="6182" width="0.59765625" style="4" customWidth="1"/>
    <col min="6183" max="6183" width="2" style="4" customWidth="1"/>
    <col min="6184" max="6184" width="1.09765625" style="4" customWidth="1"/>
    <col min="6185" max="6185" width="1.5" style="4" customWidth="1"/>
    <col min="6186" max="6186" width="1.09765625" style="4" customWidth="1"/>
    <col min="6187" max="6187" width="1.5" style="4" customWidth="1"/>
    <col min="6188" max="6188" width="2.59765625" style="4" customWidth="1"/>
    <col min="6189" max="6189" width="1.3984375" style="4" customWidth="1"/>
    <col min="6190" max="6190" width="1.19921875" style="4" customWidth="1"/>
    <col min="6191" max="6192" width="2.59765625" style="4" customWidth="1"/>
    <col min="6193" max="6193" width="1.69921875" style="4" customWidth="1"/>
    <col min="6194" max="6195" width="0.8984375" style="4" customWidth="1"/>
    <col min="6196" max="6196" width="0.59765625" style="4" customWidth="1"/>
    <col min="6197" max="6197" width="1.09765625" style="4" customWidth="1"/>
    <col min="6198" max="6198" width="1.19921875" style="4" customWidth="1"/>
    <col min="6199" max="6199" width="1.3984375" style="4" customWidth="1"/>
    <col min="6200" max="6200" width="2.59765625" style="4" customWidth="1"/>
    <col min="6201" max="6201" width="1.09765625" style="4" customWidth="1"/>
    <col min="6202" max="6202" width="0.19921875" style="4" customWidth="1"/>
    <col min="6203" max="6203" width="0.296875" style="4" customWidth="1"/>
    <col min="6204" max="6204" width="1.09765625" style="4" customWidth="1"/>
    <col min="6205" max="6205" width="1.19921875" style="4" customWidth="1"/>
    <col min="6206" max="6206" width="0.296875" style="4" customWidth="1"/>
    <col min="6207" max="6207" width="4.5" style="4" customWidth="1"/>
    <col min="6208" max="6208" width="1.19921875" style="4" customWidth="1"/>
    <col min="6209" max="6209" width="1.09765625" style="4" customWidth="1"/>
    <col min="6210" max="6210" width="2.296875" style="4" customWidth="1"/>
    <col min="6211" max="6211" width="1.5" style="4" customWidth="1"/>
    <col min="6212" max="6212" width="0.796875" style="4" customWidth="1"/>
    <col min="6213" max="6213" width="0.59765625" style="4" customWidth="1"/>
    <col min="6214" max="6214" width="5.3984375" style="4" customWidth="1"/>
    <col min="6215" max="6215" width="2.09765625" style="4" customWidth="1"/>
    <col min="6216" max="6216" width="0.19921875" style="4" customWidth="1"/>
    <col min="6217" max="6217" width="0.5" style="4" customWidth="1"/>
    <col min="6218" max="6218" width="2.59765625" style="4" customWidth="1"/>
    <col min="6219" max="6219" width="3" style="4" customWidth="1"/>
    <col min="6220" max="6220" width="3.796875" style="4" customWidth="1"/>
    <col min="6221" max="6221" width="0.296875" style="4" customWidth="1"/>
    <col min="6222" max="6222" width="2" style="4" customWidth="1"/>
    <col min="6223" max="6223" width="0.296875" style="4" customWidth="1"/>
    <col min="6224" max="6400" width="8.796875" style="4"/>
    <col min="6401" max="6402" width="0.5" style="4" customWidth="1"/>
    <col min="6403" max="6404" width="0.19921875" style="4" customWidth="1"/>
    <col min="6405" max="6405" width="0.296875" style="4" customWidth="1"/>
    <col min="6406" max="6406" width="1.19921875" style="4" customWidth="1"/>
    <col min="6407" max="6407" width="7.3984375" style="4" customWidth="1"/>
    <col min="6408" max="6408" width="0.19921875" style="4" customWidth="1"/>
    <col min="6409" max="6409" width="5.69921875" style="4" customWidth="1"/>
    <col min="6410" max="6410" width="7.3984375" style="4" customWidth="1"/>
    <col min="6411" max="6411" width="0.796875" style="4" customWidth="1"/>
    <col min="6412" max="6412" width="1.796875" style="4" customWidth="1"/>
    <col min="6413" max="6414" width="2.59765625" style="4" customWidth="1"/>
    <col min="6415" max="6415" width="0.296875" style="4" customWidth="1"/>
    <col min="6416" max="6416" width="0.796875" style="4" customWidth="1"/>
    <col min="6417" max="6417" width="0.296875" style="4" customWidth="1"/>
    <col min="6418" max="6418" width="1.19921875" style="4" customWidth="1"/>
    <col min="6419" max="6419" width="1.5" style="4" customWidth="1"/>
    <col min="6420" max="6420" width="0.19921875" style="4" customWidth="1"/>
    <col min="6421" max="6421" width="0.8984375" style="4" customWidth="1"/>
    <col min="6422" max="6422" width="2.59765625" style="4" customWidth="1"/>
    <col min="6423" max="6423" width="1.19921875" style="4" customWidth="1"/>
    <col min="6424" max="6424" width="0.19921875" style="4" customWidth="1"/>
    <col min="6425" max="6425" width="1.19921875" style="4" customWidth="1"/>
    <col min="6426" max="6427" width="2.59765625" style="4" customWidth="1"/>
    <col min="6428" max="6428" width="2" style="4" customWidth="1"/>
    <col min="6429" max="6429" width="0.19921875" style="4" customWidth="1"/>
    <col min="6430" max="6430" width="0.5" style="4" customWidth="1"/>
    <col min="6431" max="6432" width="0.19921875" style="4" customWidth="1"/>
    <col min="6433" max="6433" width="2.296875" style="4" customWidth="1"/>
    <col min="6434" max="6434" width="2.59765625" style="4" customWidth="1"/>
    <col min="6435" max="6435" width="1.09765625" style="4" customWidth="1"/>
    <col min="6436" max="6436" width="0.296875" style="4" customWidth="1"/>
    <col min="6437" max="6437" width="1.19921875" style="4" customWidth="1"/>
    <col min="6438" max="6438" width="0.59765625" style="4" customWidth="1"/>
    <col min="6439" max="6439" width="2" style="4" customWidth="1"/>
    <col min="6440" max="6440" width="1.09765625" style="4" customWidth="1"/>
    <col min="6441" max="6441" width="1.5" style="4" customWidth="1"/>
    <col min="6442" max="6442" width="1.09765625" style="4" customWidth="1"/>
    <col min="6443" max="6443" width="1.5" style="4" customWidth="1"/>
    <col min="6444" max="6444" width="2.59765625" style="4" customWidth="1"/>
    <col min="6445" max="6445" width="1.3984375" style="4" customWidth="1"/>
    <col min="6446" max="6446" width="1.19921875" style="4" customWidth="1"/>
    <col min="6447" max="6448" width="2.59765625" style="4" customWidth="1"/>
    <col min="6449" max="6449" width="1.69921875" style="4" customWidth="1"/>
    <col min="6450" max="6451" width="0.8984375" style="4" customWidth="1"/>
    <col min="6452" max="6452" width="0.59765625" style="4" customWidth="1"/>
    <col min="6453" max="6453" width="1.09765625" style="4" customWidth="1"/>
    <col min="6454" max="6454" width="1.19921875" style="4" customWidth="1"/>
    <col min="6455" max="6455" width="1.3984375" style="4" customWidth="1"/>
    <col min="6456" max="6456" width="2.59765625" style="4" customWidth="1"/>
    <col min="6457" max="6457" width="1.09765625" style="4" customWidth="1"/>
    <col min="6458" max="6458" width="0.19921875" style="4" customWidth="1"/>
    <col min="6459" max="6459" width="0.296875" style="4" customWidth="1"/>
    <col min="6460" max="6460" width="1.09765625" style="4" customWidth="1"/>
    <col min="6461" max="6461" width="1.19921875" style="4" customWidth="1"/>
    <col min="6462" max="6462" width="0.296875" style="4" customWidth="1"/>
    <col min="6463" max="6463" width="4.5" style="4" customWidth="1"/>
    <col min="6464" max="6464" width="1.19921875" style="4" customWidth="1"/>
    <col min="6465" max="6465" width="1.09765625" style="4" customWidth="1"/>
    <col min="6466" max="6466" width="2.296875" style="4" customWidth="1"/>
    <col min="6467" max="6467" width="1.5" style="4" customWidth="1"/>
    <col min="6468" max="6468" width="0.796875" style="4" customWidth="1"/>
    <col min="6469" max="6469" width="0.59765625" style="4" customWidth="1"/>
    <col min="6470" max="6470" width="5.3984375" style="4" customWidth="1"/>
    <col min="6471" max="6471" width="2.09765625" style="4" customWidth="1"/>
    <col min="6472" max="6472" width="0.19921875" style="4" customWidth="1"/>
    <col min="6473" max="6473" width="0.5" style="4" customWidth="1"/>
    <col min="6474" max="6474" width="2.59765625" style="4" customWidth="1"/>
    <col min="6475" max="6475" width="3" style="4" customWidth="1"/>
    <col min="6476" max="6476" width="3.796875" style="4" customWidth="1"/>
    <col min="6477" max="6477" width="0.296875" style="4" customWidth="1"/>
    <col min="6478" max="6478" width="2" style="4" customWidth="1"/>
    <col min="6479" max="6479" width="0.296875" style="4" customWidth="1"/>
    <col min="6480" max="6656" width="8.796875" style="4"/>
    <col min="6657" max="6658" width="0.5" style="4" customWidth="1"/>
    <col min="6659" max="6660" width="0.19921875" style="4" customWidth="1"/>
    <col min="6661" max="6661" width="0.296875" style="4" customWidth="1"/>
    <col min="6662" max="6662" width="1.19921875" style="4" customWidth="1"/>
    <col min="6663" max="6663" width="7.3984375" style="4" customWidth="1"/>
    <col min="6664" max="6664" width="0.19921875" style="4" customWidth="1"/>
    <col min="6665" max="6665" width="5.69921875" style="4" customWidth="1"/>
    <col min="6666" max="6666" width="7.3984375" style="4" customWidth="1"/>
    <col min="6667" max="6667" width="0.796875" style="4" customWidth="1"/>
    <col min="6668" max="6668" width="1.796875" style="4" customWidth="1"/>
    <col min="6669" max="6670" width="2.59765625" style="4" customWidth="1"/>
    <col min="6671" max="6671" width="0.296875" style="4" customWidth="1"/>
    <col min="6672" max="6672" width="0.796875" style="4" customWidth="1"/>
    <col min="6673" max="6673" width="0.296875" style="4" customWidth="1"/>
    <col min="6674" max="6674" width="1.19921875" style="4" customWidth="1"/>
    <col min="6675" max="6675" width="1.5" style="4" customWidth="1"/>
    <col min="6676" max="6676" width="0.19921875" style="4" customWidth="1"/>
    <col min="6677" max="6677" width="0.8984375" style="4" customWidth="1"/>
    <col min="6678" max="6678" width="2.59765625" style="4" customWidth="1"/>
    <col min="6679" max="6679" width="1.19921875" style="4" customWidth="1"/>
    <col min="6680" max="6680" width="0.19921875" style="4" customWidth="1"/>
    <col min="6681" max="6681" width="1.19921875" style="4" customWidth="1"/>
    <col min="6682" max="6683" width="2.59765625" style="4" customWidth="1"/>
    <col min="6684" max="6684" width="2" style="4" customWidth="1"/>
    <col min="6685" max="6685" width="0.19921875" style="4" customWidth="1"/>
    <col min="6686" max="6686" width="0.5" style="4" customWidth="1"/>
    <col min="6687" max="6688" width="0.19921875" style="4" customWidth="1"/>
    <col min="6689" max="6689" width="2.296875" style="4" customWidth="1"/>
    <col min="6690" max="6690" width="2.59765625" style="4" customWidth="1"/>
    <col min="6691" max="6691" width="1.09765625" style="4" customWidth="1"/>
    <col min="6692" max="6692" width="0.296875" style="4" customWidth="1"/>
    <col min="6693" max="6693" width="1.19921875" style="4" customWidth="1"/>
    <col min="6694" max="6694" width="0.59765625" style="4" customWidth="1"/>
    <col min="6695" max="6695" width="2" style="4" customWidth="1"/>
    <col min="6696" max="6696" width="1.09765625" style="4" customWidth="1"/>
    <col min="6697" max="6697" width="1.5" style="4" customWidth="1"/>
    <col min="6698" max="6698" width="1.09765625" style="4" customWidth="1"/>
    <col min="6699" max="6699" width="1.5" style="4" customWidth="1"/>
    <col min="6700" max="6700" width="2.59765625" style="4" customWidth="1"/>
    <col min="6701" max="6701" width="1.3984375" style="4" customWidth="1"/>
    <col min="6702" max="6702" width="1.19921875" style="4" customWidth="1"/>
    <col min="6703" max="6704" width="2.59765625" style="4" customWidth="1"/>
    <col min="6705" max="6705" width="1.69921875" style="4" customWidth="1"/>
    <col min="6706" max="6707" width="0.8984375" style="4" customWidth="1"/>
    <col min="6708" max="6708" width="0.59765625" style="4" customWidth="1"/>
    <col min="6709" max="6709" width="1.09765625" style="4" customWidth="1"/>
    <col min="6710" max="6710" width="1.19921875" style="4" customWidth="1"/>
    <col min="6711" max="6711" width="1.3984375" style="4" customWidth="1"/>
    <col min="6712" max="6712" width="2.59765625" style="4" customWidth="1"/>
    <col min="6713" max="6713" width="1.09765625" style="4" customWidth="1"/>
    <col min="6714" max="6714" width="0.19921875" style="4" customWidth="1"/>
    <col min="6715" max="6715" width="0.296875" style="4" customWidth="1"/>
    <col min="6716" max="6716" width="1.09765625" style="4" customWidth="1"/>
    <col min="6717" max="6717" width="1.19921875" style="4" customWidth="1"/>
    <col min="6718" max="6718" width="0.296875" style="4" customWidth="1"/>
    <col min="6719" max="6719" width="4.5" style="4" customWidth="1"/>
    <col min="6720" max="6720" width="1.19921875" style="4" customWidth="1"/>
    <col min="6721" max="6721" width="1.09765625" style="4" customWidth="1"/>
    <col min="6722" max="6722" width="2.296875" style="4" customWidth="1"/>
    <col min="6723" max="6723" width="1.5" style="4" customWidth="1"/>
    <col min="6724" max="6724" width="0.796875" style="4" customWidth="1"/>
    <col min="6725" max="6725" width="0.59765625" style="4" customWidth="1"/>
    <col min="6726" max="6726" width="5.3984375" style="4" customWidth="1"/>
    <col min="6727" max="6727" width="2.09765625" style="4" customWidth="1"/>
    <col min="6728" max="6728" width="0.19921875" style="4" customWidth="1"/>
    <col min="6729" max="6729" width="0.5" style="4" customWidth="1"/>
    <col min="6730" max="6730" width="2.59765625" style="4" customWidth="1"/>
    <col min="6731" max="6731" width="3" style="4" customWidth="1"/>
    <col min="6732" max="6732" width="3.796875" style="4" customWidth="1"/>
    <col min="6733" max="6733" width="0.296875" style="4" customWidth="1"/>
    <col min="6734" max="6734" width="2" style="4" customWidth="1"/>
    <col min="6735" max="6735" width="0.296875" style="4" customWidth="1"/>
    <col min="6736" max="6912" width="8.796875" style="4"/>
    <col min="6913" max="6914" width="0.5" style="4" customWidth="1"/>
    <col min="6915" max="6916" width="0.19921875" style="4" customWidth="1"/>
    <col min="6917" max="6917" width="0.296875" style="4" customWidth="1"/>
    <col min="6918" max="6918" width="1.19921875" style="4" customWidth="1"/>
    <col min="6919" max="6919" width="7.3984375" style="4" customWidth="1"/>
    <col min="6920" max="6920" width="0.19921875" style="4" customWidth="1"/>
    <col min="6921" max="6921" width="5.69921875" style="4" customWidth="1"/>
    <col min="6922" max="6922" width="7.3984375" style="4" customWidth="1"/>
    <col min="6923" max="6923" width="0.796875" style="4" customWidth="1"/>
    <col min="6924" max="6924" width="1.796875" style="4" customWidth="1"/>
    <col min="6925" max="6926" width="2.59765625" style="4" customWidth="1"/>
    <col min="6927" max="6927" width="0.296875" style="4" customWidth="1"/>
    <col min="6928" max="6928" width="0.796875" style="4" customWidth="1"/>
    <col min="6929" max="6929" width="0.296875" style="4" customWidth="1"/>
    <col min="6930" max="6930" width="1.19921875" style="4" customWidth="1"/>
    <col min="6931" max="6931" width="1.5" style="4" customWidth="1"/>
    <col min="6932" max="6932" width="0.19921875" style="4" customWidth="1"/>
    <col min="6933" max="6933" width="0.8984375" style="4" customWidth="1"/>
    <col min="6934" max="6934" width="2.59765625" style="4" customWidth="1"/>
    <col min="6935" max="6935" width="1.19921875" style="4" customWidth="1"/>
    <col min="6936" max="6936" width="0.19921875" style="4" customWidth="1"/>
    <col min="6937" max="6937" width="1.19921875" style="4" customWidth="1"/>
    <col min="6938" max="6939" width="2.59765625" style="4" customWidth="1"/>
    <col min="6940" max="6940" width="2" style="4" customWidth="1"/>
    <col min="6941" max="6941" width="0.19921875" style="4" customWidth="1"/>
    <col min="6942" max="6942" width="0.5" style="4" customWidth="1"/>
    <col min="6943" max="6944" width="0.19921875" style="4" customWidth="1"/>
    <col min="6945" max="6945" width="2.296875" style="4" customWidth="1"/>
    <col min="6946" max="6946" width="2.59765625" style="4" customWidth="1"/>
    <col min="6947" max="6947" width="1.09765625" style="4" customWidth="1"/>
    <col min="6948" max="6948" width="0.296875" style="4" customWidth="1"/>
    <col min="6949" max="6949" width="1.19921875" style="4" customWidth="1"/>
    <col min="6950" max="6950" width="0.59765625" style="4" customWidth="1"/>
    <col min="6951" max="6951" width="2" style="4" customWidth="1"/>
    <col min="6952" max="6952" width="1.09765625" style="4" customWidth="1"/>
    <col min="6953" max="6953" width="1.5" style="4" customWidth="1"/>
    <col min="6954" max="6954" width="1.09765625" style="4" customWidth="1"/>
    <col min="6955" max="6955" width="1.5" style="4" customWidth="1"/>
    <col min="6956" max="6956" width="2.59765625" style="4" customWidth="1"/>
    <col min="6957" max="6957" width="1.3984375" style="4" customWidth="1"/>
    <col min="6958" max="6958" width="1.19921875" style="4" customWidth="1"/>
    <col min="6959" max="6960" width="2.59765625" style="4" customWidth="1"/>
    <col min="6961" max="6961" width="1.69921875" style="4" customWidth="1"/>
    <col min="6962" max="6963" width="0.8984375" style="4" customWidth="1"/>
    <col min="6964" max="6964" width="0.59765625" style="4" customWidth="1"/>
    <col min="6965" max="6965" width="1.09765625" style="4" customWidth="1"/>
    <col min="6966" max="6966" width="1.19921875" style="4" customWidth="1"/>
    <col min="6967" max="6967" width="1.3984375" style="4" customWidth="1"/>
    <col min="6968" max="6968" width="2.59765625" style="4" customWidth="1"/>
    <col min="6969" max="6969" width="1.09765625" style="4" customWidth="1"/>
    <col min="6970" max="6970" width="0.19921875" style="4" customWidth="1"/>
    <col min="6971" max="6971" width="0.296875" style="4" customWidth="1"/>
    <col min="6972" max="6972" width="1.09765625" style="4" customWidth="1"/>
    <col min="6973" max="6973" width="1.19921875" style="4" customWidth="1"/>
    <col min="6974" max="6974" width="0.296875" style="4" customWidth="1"/>
    <col min="6975" max="6975" width="4.5" style="4" customWidth="1"/>
    <col min="6976" max="6976" width="1.19921875" style="4" customWidth="1"/>
    <col min="6977" max="6977" width="1.09765625" style="4" customWidth="1"/>
    <col min="6978" max="6978" width="2.296875" style="4" customWidth="1"/>
    <col min="6979" max="6979" width="1.5" style="4" customWidth="1"/>
    <col min="6980" max="6980" width="0.796875" style="4" customWidth="1"/>
    <col min="6981" max="6981" width="0.59765625" style="4" customWidth="1"/>
    <col min="6982" max="6982" width="5.3984375" style="4" customWidth="1"/>
    <col min="6983" max="6983" width="2.09765625" style="4" customWidth="1"/>
    <col min="6984" max="6984" width="0.19921875" style="4" customWidth="1"/>
    <col min="6985" max="6985" width="0.5" style="4" customWidth="1"/>
    <col min="6986" max="6986" width="2.59765625" style="4" customWidth="1"/>
    <col min="6987" max="6987" width="3" style="4" customWidth="1"/>
    <col min="6988" max="6988" width="3.796875" style="4" customWidth="1"/>
    <col min="6989" max="6989" width="0.296875" style="4" customWidth="1"/>
    <col min="6990" max="6990" width="2" style="4" customWidth="1"/>
    <col min="6991" max="6991" width="0.296875" style="4" customWidth="1"/>
    <col min="6992" max="7168" width="8.796875" style="4"/>
    <col min="7169" max="7170" width="0.5" style="4" customWidth="1"/>
    <col min="7171" max="7172" width="0.19921875" style="4" customWidth="1"/>
    <col min="7173" max="7173" width="0.296875" style="4" customWidth="1"/>
    <col min="7174" max="7174" width="1.19921875" style="4" customWidth="1"/>
    <col min="7175" max="7175" width="7.3984375" style="4" customWidth="1"/>
    <col min="7176" max="7176" width="0.19921875" style="4" customWidth="1"/>
    <col min="7177" max="7177" width="5.69921875" style="4" customWidth="1"/>
    <col min="7178" max="7178" width="7.3984375" style="4" customWidth="1"/>
    <col min="7179" max="7179" width="0.796875" style="4" customWidth="1"/>
    <col min="7180" max="7180" width="1.796875" style="4" customWidth="1"/>
    <col min="7181" max="7182" width="2.59765625" style="4" customWidth="1"/>
    <col min="7183" max="7183" width="0.296875" style="4" customWidth="1"/>
    <col min="7184" max="7184" width="0.796875" style="4" customWidth="1"/>
    <col min="7185" max="7185" width="0.296875" style="4" customWidth="1"/>
    <col min="7186" max="7186" width="1.19921875" style="4" customWidth="1"/>
    <col min="7187" max="7187" width="1.5" style="4" customWidth="1"/>
    <col min="7188" max="7188" width="0.19921875" style="4" customWidth="1"/>
    <col min="7189" max="7189" width="0.8984375" style="4" customWidth="1"/>
    <col min="7190" max="7190" width="2.59765625" style="4" customWidth="1"/>
    <col min="7191" max="7191" width="1.19921875" style="4" customWidth="1"/>
    <col min="7192" max="7192" width="0.19921875" style="4" customWidth="1"/>
    <col min="7193" max="7193" width="1.19921875" style="4" customWidth="1"/>
    <col min="7194" max="7195" width="2.59765625" style="4" customWidth="1"/>
    <col min="7196" max="7196" width="2" style="4" customWidth="1"/>
    <col min="7197" max="7197" width="0.19921875" style="4" customWidth="1"/>
    <col min="7198" max="7198" width="0.5" style="4" customWidth="1"/>
    <col min="7199" max="7200" width="0.19921875" style="4" customWidth="1"/>
    <col min="7201" max="7201" width="2.296875" style="4" customWidth="1"/>
    <col min="7202" max="7202" width="2.59765625" style="4" customWidth="1"/>
    <col min="7203" max="7203" width="1.09765625" style="4" customWidth="1"/>
    <col min="7204" max="7204" width="0.296875" style="4" customWidth="1"/>
    <col min="7205" max="7205" width="1.19921875" style="4" customWidth="1"/>
    <col min="7206" max="7206" width="0.59765625" style="4" customWidth="1"/>
    <col min="7207" max="7207" width="2" style="4" customWidth="1"/>
    <col min="7208" max="7208" width="1.09765625" style="4" customWidth="1"/>
    <col min="7209" max="7209" width="1.5" style="4" customWidth="1"/>
    <col min="7210" max="7210" width="1.09765625" style="4" customWidth="1"/>
    <col min="7211" max="7211" width="1.5" style="4" customWidth="1"/>
    <col min="7212" max="7212" width="2.59765625" style="4" customWidth="1"/>
    <col min="7213" max="7213" width="1.3984375" style="4" customWidth="1"/>
    <col min="7214" max="7214" width="1.19921875" style="4" customWidth="1"/>
    <col min="7215" max="7216" width="2.59765625" style="4" customWidth="1"/>
    <col min="7217" max="7217" width="1.69921875" style="4" customWidth="1"/>
    <col min="7218" max="7219" width="0.8984375" style="4" customWidth="1"/>
    <col min="7220" max="7220" width="0.59765625" style="4" customWidth="1"/>
    <col min="7221" max="7221" width="1.09765625" style="4" customWidth="1"/>
    <col min="7222" max="7222" width="1.19921875" style="4" customWidth="1"/>
    <col min="7223" max="7223" width="1.3984375" style="4" customWidth="1"/>
    <col min="7224" max="7224" width="2.59765625" style="4" customWidth="1"/>
    <col min="7225" max="7225" width="1.09765625" style="4" customWidth="1"/>
    <col min="7226" max="7226" width="0.19921875" style="4" customWidth="1"/>
    <col min="7227" max="7227" width="0.296875" style="4" customWidth="1"/>
    <col min="7228" max="7228" width="1.09765625" style="4" customWidth="1"/>
    <col min="7229" max="7229" width="1.19921875" style="4" customWidth="1"/>
    <col min="7230" max="7230" width="0.296875" style="4" customWidth="1"/>
    <col min="7231" max="7231" width="4.5" style="4" customWidth="1"/>
    <col min="7232" max="7232" width="1.19921875" style="4" customWidth="1"/>
    <col min="7233" max="7233" width="1.09765625" style="4" customWidth="1"/>
    <col min="7234" max="7234" width="2.296875" style="4" customWidth="1"/>
    <col min="7235" max="7235" width="1.5" style="4" customWidth="1"/>
    <col min="7236" max="7236" width="0.796875" style="4" customWidth="1"/>
    <col min="7237" max="7237" width="0.59765625" style="4" customWidth="1"/>
    <col min="7238" max="7238" width="5.3984375" style="4" customWidth="1"/>
    <col min="7239" max="7239" width="2.09765625" style="4" customWidth="1"/>
    <col min="7240" max="7240" width="0.19921875" style="4" customWidth="1"/>
    <col min="7241" max="7241" width="0.5" style="4" customWidth="1"/>
    <col min="7242" max="7242" width="2.59765625" style="4" customWidth="1"/>
    <col min="7243" max="7243" width="3" style="4" customWidth="1"/>
    <col min="7244" max="7244" width="3.796875" style="4" customWidth="1"/>
    <col min="7245" max="7245" width="0.296875" style="4" customWidth="1"/>
    <col min="7246" max="7246" width="2" style="4" customWidth="1"/>
    <col min="7247" max="7247" width="0.296875" style="4" customWidth="1"/>
    <col min="7248" max="7424" width="8.796875" style="4"/>
    <col min="7425" max="7426" width="0.5" style="4" customWidth="1"/>
    <col min="7427" max="7428" width="0.19921875" style="4" customWidth="1"/>
    <col min="7429" max="7429" width="0.296875" style="4" customWidth="1"/>
    <col min="7430" max="7430" width="1.19921875" style="4" customWidth="1"/>
    <col min="7431" max="7431" width="7.3984375" style="4" customWidth="1"/>
    <col min="7432" max="7432" width="0.19921875" style="4" customWidth="1"/>
    <col min="7433" max="7433" width="5.69921875" style="4" customWidth="1"/>
    <col min="7434" max="7434" width="7.3984375" style="4" customWidth="1"/>
    <col min="7435" max="7435" width="0.796875" style="4" customWidth="1"/>
    <col min="7436" max="7436" width="1.796875" style="4" customWidth="1"/>
    <col min="7437" max="7438" width="2.59765625" style="4" customWidth="1"/>
    <col min="7439" max="7439" width="0.296875" style="4" customWidth="1"/>
    <col min="7440" max="7440" width="0.796875" style="4" customWidth="1"/>
    <col min="7441" max="7441" width="0.296875" style="4" customWidth="1"/>
    <col min="7442" max="7442" width="1.19921875" style="4" customWidth="1"/>
    <col min="7443" max="7443" width="1.5" style="4" customWidth="1"/>
    <col min="7444" max="7444" width="0.19921875" style="4" customWidth="1"/>
    <col min="7445" max="7445" width="0.8984375" style="4" customWidth="1"/>
    <col min="7446" max="7446" width="2.59765625" style="4" customWidth="1"/>
    <col min="7447" max="7447" width="1.19921875" style="4" customWidth="1"/>
    <col min="7448" max="7448" width="0.19921875" style="4" customWidth="1"/>
    <col min="7449" max="7449" width="1.19921875" style="4" customWidth="1"/>
    <col min="7450" max="7451" width="2.59765625" style="4" customWidth="1"/>
    <col min="7452" max="7452" width="2" style="4" customWidth="1"/>
    <col min="7453" max="7453" width="0.19921875" style="4" customWidth="1"/>
    <col min="7454" max="7454" width="0.5" style="4" customWidth="1"/>
    <col min="7455" max="7456" width="0.19921875" style="4" customWidth="1"/>
    <col min="7457" max="7457" width="2.296875" style="4" customWidth="1"/>
    <col min="7458" max="7458" width="2.59765625" style="4" customWidth="1"/>
    <col min="7459" max="7459" width="1.09765625" style="4" customWidth="1"/>
    <col min="7460" max="7460" width="0.296875" style="4" customWidth="1"/>
    <col min="7461" max="7461" width="1.19921875" style="4" customWidth="1"/>
    <col min="7462" max="7462" width="0.59765625" style="4" customWidth="1"/>
    <col min="7463" max="7463" width="2" style="4" customWidth="1"/>
    <col min="7464" max="7464" width="1.09765625" style="4" customWidth="1"/>
    <col min="7465" max="7465" width="1.5" style="4" customWidth="1"/>
    <col min="7466" max="7466" width="1.09765625" style="4" customWidth="1"/>
    <col min="7467" max="7467" width="1.5" style="4" customWidth="1"/>
    <col min="7468" max="7468" width="2.59765625" style="4" customWidth="1"/>
    <col min="7469" max="7469" width="1.3984375" style="4" customWidth="1"/>
    <col min="7470" max="7470" width="1.19921875" style="4" customWidth="1"/>
    <col min="7471" max="7472" width="2.59765625" style="4" customWidth="1"/>
    <col min="7473" max="7473" width="1.69921875" style="4" customWidth="1"/>
    <col min="7474" max="7475" width="0.8984375" style="4" customWidth="1"/>
    <col min="7476" max="7476" width="0.59765625" style="4" customWidth="1"/>
    <col min="7477" max="7477" width="1.09765625" style="4" customWidth="1"/>
    <col min="7478" max="7478" width="1.19921875" style="4" customWidth="1"/>
    <col min="7479" max="7479" width="1.3984375" style="4" customWidth="1"/>
    <col min="7480" max="7480" width="2.59765625" style="4" customWidth="1"/>
    <col min="7481" max="7481" width="1.09765625" style="4" customWidth="1"/>
    <col min="7482" max="7482" width="0.19921875" style="4" customWidth="1"/>
    <col min="7483" max="7483" width="0.296875" style="4" customWidth="1"/>
    <col min="7484" max="7484" width="1.09765625" style="4" customWidth="1"/>
    <col min="7485" max="7485" width="1.19921875" style="4" customWidth="1"/>
    <col min="7486" max="7486" width="0.296875" style="4" customWidth="1"/>
    <col min="7487" max="7487" width="4.5" style="4" customWidth="1"/>
    <col min="7488" max="7488" width="1.19921875" style="4" customWidth="1"/>
    <col min="7489" max="7489" width="1.09765625" style="4" customWidth="1"/>
    <col min="7490" max="7490" width="2.296875" style="4" customWidth="1"/>
    <col min="7491" max="7491" width="1.5" style="4" customWidth="1"/>
    <col min="7492" max="7492" width="0.796875" style="4" customWidth="1"/>
    <col min="7493" max="7493" width="0.59765625" style="4" customWidth="1"/>
    <col min="7494" max="7494" width="5.3984375" style="4" customWidth="1"/>
    <col min="7495" max="7495" width="2.09765625" style="4" customWidth="1"/>
    <col min="7496" max="7496" width="0.19921875" style="4" customWidth="1"/>
    <col min="7497" max="7497" width="0.5" style="4" customWidth="1"/>
    <col min="7498" max="7498" width="2.59765625" style="4" customWidth="1"/>
    <col min="7499" max="7499" width="3" style="4" customWidth="1"/>
    <col min="7500" max="7500" width="3.796875" style="4" customWidth="1"/>
    <col min="7501" max="7501" width="0.296875" style="4" customWidth="1"/>
    <col min="7502" max="7502" width="2" style="4" customWidth="1"/>
    <col min="7503" max="7503" width="0.296875" style="4" customWidth="1"/>
    <col min="7504" max="7680" width="8.796875" style="4"/>
    <col min="7681" max="7682" width="0.5" style="4" customWidth="1"/>
    <col min="7683" max="7684" width="0.19921875" style="4" customWidth="1"/>
    <col min="7685" max="7685" width="0.296875" style="4" customWidth="1"/>
    <col min="7686" max="7686" width="1.19921875" style="4" customWidth="1"/>
    <col min="7687" max="7687" width="7.3984375" style="4" customWidth="1"/>
    <col min="7688" max="7688" width="0.19921875" style="4" customWidth="1"/>
    <col min="7689" max="7689" width="5.69921875" style="4" customWidth="1"/>
    <col min="7690" max="7690" width="7.3984375" style="4" customWidth="1"/>
    <col min="7691" max="7691" width="0.796875" style="4" customWidth="1"/>
    <col min="7692" max="7692" width="1.796875" style="4" customWidth="1"/>
    <col min="7693" max="7694" width="2.59765625" style="4" customWidth="1"/>
    <col min="7695" max="7695" width="0.296875" style="4" customWidth="1"/>
    <col min="7696" max="7696" width="0.796875" style="4" customWidth="1"/>
    <col min="7697" max="7697" width="0.296875" style="4" customWidth="1"/>
    <col min="7698" max="7698" width="1.19921875" style="4" customWidth="1"/>
    <col min="7699" max="7699" width="1.5" style="4" customWidth="1"/>
    <col min="7700" max="7700" width="0.19921875" style="4" customWidth="1"/>
    <col min="7701" max="7701" width="0.8984375" style="4" customWidth="1"/>
    <col min="7702" max="7702" width="2.59765625" style="4" customWidth="1"/>
    <col min="7703" max="7703" width="1.19921875" style="4" customWidth="1"/>
    <col min="7704" max="7704" width="0.19921875" style="4" customWidth="1"/>
    <col min="7705" max="7705" width="1.19921875" style="4" customWidth="1"/>
    <col min="7706" max="7707" width="2.59765625" style="4" customWidth="1"/>
    <col min="7708" max="7708" width="2" style="4" customWidth="1"/>
    <col min="7709" max="7709" width="0.19921875" style="4" customWidth="1"/>
    <col min="7710" max="7710" width="0.5" style="4" customWidth="1"/>
    <col min="7711" max="7712" width="0.19921875" style="4" customWidth="1"/>
    <col min="7713" max="7713" width="2.296875" style="4" customWidth="1"/>
    <col min="7714" max="7714" width="2.59765625" style="4" customWidth="1"/>
    <col min="7715" max="7715" width="1.09765625" style="4" customWidth="1"/>
    <col min="7716" max="7716" width="0.296875" style="4" customWidth="1"/>
    <col min="7717" max="7717" width="1.19921875" style="4" customWidth="1"/>
    <col min="7718" max="7718" width="0.59765625" style="4" customWidth="1"/>
    <col min="7719" max="7719" width="2" style="4" customWidth="1"/>
    <col min="7720" max="7720" width="1.09765625" style="4" customWidth="1"/>
    <col min="7721" max="7721" width="1.5" style="4" customWidth="1"/>
    <col min="7722" max="7722" width="1.09765625" style="4" customWidth="1"/>
    <col min="7723" max="7723" width="1.5" style="4" customWidth="1"/>
    <col min="7724" max="7724" width="2.59765625" style="4" customWidth="1"/>
    <col min="7725" max="7725" width="1.3984375" style="4" customWidth="1"/>
    <col min="7726" max="7726" width="1.19921875" style="4" customWidth="1"/>
    <col min="7727" max="7728" width="2.59765625" style="4" customWidth="1"/>
    <col min="7729" max="7729" width="1.69921875" style="4" customWidth="1"/>
    <col min="7730" max="7731" width="0.8984375" style="4" customWidth="1"/>
    <col min="7732" max="7732" width="0.59765625" style="4" customWidth="1"/>
    <col min="7733" max="7733" width="1.09765625" style="4" customWidth="1"/>
    <col min="7734" max="7734" width="1.19921875" style="4" customWidth="1"/>
    <col min="7735" max="7735" width="1.3984375" style="4" customWidth="1"/>
    <col min="7736" max="7736" width="2.59765625" style="4" customWidth="1"/>
    <col min="7737" max="7737" width="1.09765625" style="4" customWidth="1"/>
    <col min="7738" max="7738" width="0.19921875" style="4" customWidth="1"/>
    <col min="7739" max="7739" width="0.296875" style="4" customWidth="1"/>
    <col min="7740" max="7740" width="1.09765625" style="4" customWidth="1"/>
    <col min="7741" max="7741" width="1.19921875" style="4" customWidth="1"/>
    <col min="7742" max="7742" width="0.296875" style="4" customWidth="1"/>
    <col min="7743" max="7743" width="4.5" style="4" customWidth="1"/>
    <col min="7744" max="7744" width="1.19921875" style="4" customWidth="1"/>
    <col min="7745" max="7745" width="1.09765625" style="4" customWidth="1"/>
    <col min="7746" max="7746" width="2.296875" style="4" customWidth="1"/>
    <col min="7747" max="7747" width="1.5" style="4" customWidth="1"/>
    <col min="7748" max="7748" width="0.796875" style="4" customWidth="1"/>
    <col min="7749" max="7749" width="0.59765625" style="4" customWidth="1"/>
    <col min="7750" max="7750" width="5.3984375" style="4" customWidth="1"/>
    <col min="7751" max="7751" width="2.09765625" style="4" customWidth="1"/>
    <col min="7752" max="7752" width="0.19921875" style="4" customWidth="1"/>
    <col min="7753" max="7753" width="0.5" style="4" customWidth="1"/>
    <col min="7754" max="7754" width="2.59765625" style="4" customWidth="1"/>
    <col min="7755" max="7755" width="3" style="4" customWidth="1"/>
    <col min="7756" max="7756" width="3.796875" style="4" customWidth="1"/>
    <col min="7757" max="7757" width="0.296875" style="4" customWidth="1"/>
    <col min="7758" max="7758" width="2" style="4" customWidth="1"/>
    <col min="7759" max="7759" width="0.296875" style="4" customWidth="1"/>
    <col min="7760" max="7936" width="8.796875" style="4"/>
    <col min="7937" max="7938" width="0.5" style="4" customWidth="1"/>
    <col min="7939" max="7940" width="0.19921875" style="4" customWidth="1"/>
    <col min="7941" max="7941" width="0.296875" style="4" customWidth="1"/>
    <col min="7942" max="7942" width="1.19921875" style="4" customWidth="1"/>
    <col min="7943" max="7943" width="7.3984375" style="4" customWidth="1"/>
    <col min="7944" max="7944" width="0.19921875" style="4" customWidth="1"/>
    <col min="7945" max="7945" width="5.69921875" style="4" customWidth="1"/>
    <col min="7946" max="7946" width="7.3984375" style="4" customWidth="1"/>
    <col min="7947" max="7947" width="0.796875" style="4" customWidth="1"/>
    <col min="7948" max="7948" width="1.796875" style="4" customWidth="1"/>
    <col min="7949" max="7950" width="2.59765625" style="4" customWidth="1"/>
    <col min="7951" max="7951" width="0.296875" style="4" customWidth="1"/>
    <col min="7952" max="7952" width="0.796875" style="4" customWidth="1"/>
    <col min="7953" max="7953" width="0.296875" style="4" customWidth="1"/>
    <col min="7954" max="7954" width="1.19921875" style="4" customWidth="1"/>
    <col min="7955" max="7955" width="1.5" style="4" customWidth="1"/>
    <col min="7956" max="7956" width="0.19921875" style="4" customWidth="1"/>
    <col min="7957" max="7957" width="0.8984375" style="4" customWidth="1"/>
    <col min="7958" max="7958" width="2.59765625" style="4" customWidth="1"/>
    <col min="7959" max="7959" width="1.19921875" style="4" customWidth="1"/>
    <col min="7960" max="7960" width="0.19921875" style="4" customWidth="1"/>
    <col min="7961" max="7961" width="1.19921875" style="4" customWidth="1"/>
    <col min="7962" max="7963" width="2.59765625" style="4" customWidth="1"/>
    <col min="7964" max="7964" width="2" style="4" customWidth="1"/>
    <col min="7965" max="7965" width="0.19921875" style="4" customWidth="1"/>
    <col min="7966" max="7966" width="0.5" style="4" customWidth="1"/>
    <col min="7967" max="7968" width="0.19921875" style="4" customWidth="1"/>
    <col min="7969" max="7969" width="2.296875" style="4" customWidth="1"/>
    <col min="7970" max="7970" width="2.59765625" style="4" customWidth="1"/>
    <col min="7971" max="7971" width="1.09765625" style="4" customWidth="1"/>
    <col min="7972" max="7972" width="0.296875" style="4" customWidth="1"/>
    <col min="7973" max="7973" width="1.19921875" style="4" customWidth="1"/>
    <col min="7974" max="7974" width="0.59765625" style="4" customWidth="1"/>
    <col min="7975" max="7975" width="2" style="4" customWidth="1"/>
    <col min="7976" max="7976" width="1.09765625" style="4" customWidth="1"/>
    <col min="7977" max="7977" width="1.5" style="4" customWidth="1"/>
    <col min="7978" max="7978" width="1.09765625" style="4" customWidth="1"/>
    <col min="7979" max="7979" width="1.5" style="4" customWidth="1"/>
    <col min="7980" max="7980" width="2.59765625" style="4" customWidth="1"/>
    <col min="7981" max="7981" width="1.3984375" style="4" customWidth="1"/>
    <col min="7982" max="7982" width="1.19921875" style="4" customWidth="1"/>
    <col min="7983" max="7984" width="2.59765625" style="4" customWidth="1"/>
    <col min="7985" max="7985" width="1.69921875" style="4" customWidth="1"/>
    <col min="7986" max="7987" width="0.8984375" style="4" customWidth="1"/>
    <col min="7988" max="7988" width="0.59765625" style="4" customWidth="1"/>
    <col min="7989" max="7989" width="1.09765625" style="4" customWidth="1"/>
    <col min="7990" max="7990" width="1.19921875" style="4" customWidth="1"/>
    <col min="7991" max="7991" width="1.3984375" style="4" customWidth="1"/>
    <col min="7992" max="7992" width="2.59765625" style="4" customWidth="1"/>
    <col min="7993" max="7993" width="1.09765625" style="4" customWidth="1"/>
    <col min="7994" max="7994" width="0.19921875" style="4" customWidth="1"/>
    <col min="7995" max="7995" width="0.296875" style="4" customWidth="1"/>
    <col min="7996" max="7996" width="1.09765625" style="4" customWidth="1"/>
    <col min="7997" max="7997" width="1.19921875" style="4" customWidth="1"/>
    <col min="7998" max="7998" width="0.296875" style="4" customWidth="1"/>
    <col min="7999" max="7999" width="4.5" style="4" customWidth="1"/>
    <col min="8000" max="8000" width="1.19921875" style="4" customWidth="1"/>
    <col min="8001" max="8001" width="1.09765625" style="4" customWidth="1"/>
    <col min="8002" max="8002" width="2.296875" style="4" customWidth="1"/>
    <col min="8003" max="8003" width="1.5" style="4" customWidth="1"/>
    <col min="8004" max="8004" width="0.796875" style="4" customWidth="1"/>
    <col min="8005" max="8005" width="0.59765625" style="4" customWidth="1"/>
    <col min="8006" max="8006" width="5.3984375" style="4" customWidth="1"/>
    <col min="8007" max="8007" width="2.09765625" style="4" customWidth="1"/>
    <col min="8008" max="8008" width="0.19921875" style="4" customWidth="1"/>
    <col min="8009" max="8009" width="0.5" style="4" customWidth="1"/>
    <col min="8010" max="8010" width="2.59765625" style="4" customWidth="1"/>
    <col min="8011" max="8011" width="3" style="4" customWidth="1"/>
    <col min="8012" max="8012" width="3.796875" style="4" customWidth="1"/>
    <col min="8013" max="8013" width="0.296875" style="4" customWidth="1"/>
    <col min="8014" max="8014" width="2" style="4" customWidth="1"/>
    <col min="8015" max="8015" width="0.296875" style="4" customWidth="1"/>
    <col min="8016" max="8192" width="8.796875" style="4"/>
    <col min="8193" max="8194" width="0.5" style="4" customWidth="1"/>
    <col min="8195" max="8196" width="0.19921875" style="4" customWidth="1"/>
    <col min="8197" max="8197" width="0.296875" style="4" customWidth="1"/>
    <col min="8198" max="8198" width="1.19921875" style="4" customWidth="1"/>
    <col min="8199" max="8199" width="7.3984375" style="4" customWidth="1"/>
    <col min="8200" max="8200" width="0.19921875" style="4" customWidth="1"/>
    <col min="8201" max="8201" width="5.69921875" style="4" customWidth="1"/>
    <col min="8202" max="8202" width="7.3984375" style="4" customWidth="1"/>
    <col min="8203" max="8203" width="0.796875" style="4" customWidth="1"/>
    <col min="8204" max="8204" width="1.796875" style="4" customWidth="1"/>
    <col min="8205" max="8206" width="2.59765625" style="4" customWidth="1"/>
    <col min="8207" max="8207" width="0.296875" style="4" customWidth="1"/>
    <col min="8208" max="8208" width="0.796875" style="4" customWidth="1"/>
    <col min="8209" max="8209" width="0.296875" style="4" customWidth="1"/>
    <col min="8210" max="8210" width="1.19921875" style="4" customWidth="1"/>
    <col min="8211" max="8211" width="1.5" style="4" customWidth="1"/>
    <col min="8212" max="8212" width="0.19921875" style="4" customWidth="1"/>
    <col min="8213" max="8213" width="0.8984375" style="4" customWidth="1"/>
    <col min="8214" max="8214" width="2.59765625" style="4" customWidth="1"/>
    <col min="8215" max="8215" width="1.19921875" style="4" customWidth="1"/>
    <col min="8216" max="8216" width="0.19921875" style="4" customWidth="1"/>
    <col min="8217" max="8217" width="1.19921875" style="4" customWidth="1"/>
    <col min="8218" max="8219" width="2.59765625" style="4" customWidth="1"/>
    <col min="8220" max="8220" width="2" style="4" customWidth="1"/>
    <col min="8221" max="8221" width="0.19921875" style="4" customWidth="1"/>
    <col min="8222" max="8222" width="0.5" style="4" customWidth="1"/>
    <col min="8223" max="8224" width="0.19921875" style="4" customWidth="1"/>
    <col min="8225" max="8225" width="2.296875" style="4" customWidth="1"/>
    <col min="8226" max="8226" width="2.59765625" style="4" customWidth="1"/>
    <col min="8227" max="8227" width="1.09765625" style="4" customWidth="1"/>
    <col min="8228" max="8228" width="0.296875" style="4" customWidth="1"/>
    <col min="8229" max="8229" width="1.19921875" style="4" customWidth="1"/>
    <col min="8230" max="8230" width="0.59765625" style="4" customWidth="1"/>
    <col min="8231" max="8231" width="2" style="4" customWidth="1"/>
    <col min="8232" max="8232" width="1.09765625" style="4" customWidth="1"/>
    <col min="8233" max="8233" width="1.5" style="4" customWidth="1"/>
    <col min="8234" max="8234" width="1.09765625" style="4" customWidth="1"/>
    <col min="8235" max="8235" width="1.5" style="4" customWidth="1"/>
    <col min="8236" max="8236" width="2.59765625" style="4" customWidth="1"/>
    <col min="8237" max="8237" width="1.3984375" style="4" customWidth="1"/>
    <col min="8238" max="8238" width="1.19921875" style="4" customWidth="1"/>
    <col min="8239" max="8240" width="2.59765625" style="4" customWidth="1"/>
    <col min="8241" max="8241" width="1.69921875" style="4" customWidth="1"/>
    <col min="8242" max="8243" width="0.8984375" style="4" customWidth="1"/>
    <col min="8244" max="8244" width="0.59765625" style="4" customWidth="1"/>
    <col min="8245" max="8245" width="1.09765625" style="4" customWidth="1"/>
    <col min="8246" max="8246" width="1.19921875" style="4" customWidth="1"/>
    <col min="8247" max="8247" width="1.3984375" style="4" customWidth="1"/>
    <col min="8248" max="8248" width="2.59765625" style="4" customWidth="1"/>
    <col min="8249" max="8249" width="1.09765625" style="4" customWidth="1"/>
    <col min="8250" max="8250" width="0.19921875" style="4" customWidth="1"/>
    <col min="8251" max="8251" width="0.296875" style="4" customWidth="1"/>
    <col min="8252" max="8252" width="1.09765625" style="4" customWidth="1"/>
    <col min="8253" max="8253" width="1.19921875" style="4" customWidth="1"/>
    <col min="8254" max="8254" width="0.296875" style="4" customWidth="1"/>
    <col min="8255" max="8255" width="4.5" style="4" customWidth="1"/>
    <col min="8256" max="8256" width="1.19921875" style="4" customWidth="1"/>
    <col min="8257" max="8257" width="1.09765625" style="4" customWidth="1"/>
    <col min="8258" max="8258" width="2.296875" style="4" customWidth="1"/>
    <col min="8259" max="8259" width="1.5" style="4" customWidth="1"/>
    <col min="8260" max="8260" width="0.796875" style="4" customWidth="1"/>
    <col min="8261" max="8261" width="0.59765625" style="4" customWidth="1"/>
    <col min="8262" max="8262" width="5.3984375" style="4" customWidth="1"/>
    <col min="8263" max="8263" width="2.09765625" style="4" customWidth="1"/>
    <col min="8264" max="8264" width="0.19921875" style="4" customWidth="1"/>
    <col min="8265" max="8265" width="0.5" style="4" customWidth="1"/>
    <col min="8266" max="8266" width="2.59765625" style="4" customWidth="1"/>
    <col min="8267" max="8267" width="3" style="4" customWidth="1"/>
    <col min="8268" max="8268" width="3.796875" style="4" customWidth="1"/>
    <col min="8269" max="8269" width="0.296875" style="4" customWidth="1"/>
    <col min="8270" max="8270" width="2" style="4" customWidth="1"/>
    <col min="8271" max="8271" width="0.296875" style="4" customWidth="1"/>
    <col min="8272" max="8448" width="8.796875" style="4"/>
    <col min="8449" max="8450" width="0.5" style="4" customWidth="1"/>
    <col min="8451" max="8452" width="0.19921875" style="4" customWidth="1"/>
    <col min="8453" max="8453" width="0.296875" style="4" customWidth="1"/>
    <col min="8454" max="8454" width="1.19921875" style="4" customWidth="1"/>
    <col min="8455" max="8455" width="7.3984375" style="4" customWidth="1"/>
    <col min="8456" max="8456" width="0.19921875" style="4" customWidth="1"/>
    <col min="8457" max="8457" width="5.69921875" style="4" customWidth="1"/>
    <col min="8458" max="8458" width="7.3984375" style="4" customWidth="1"/>
    <col min="8459" max="8459" width="0.796875" style="4" customWidth="1"/>
    <col min="8460" max="8460" width="1.796875" style="4" customWidth="1"/>
    <col min="8461" max="8462" width="2.59765625" style="4" customWidth="1"/>
    <col min="8463" max="8463" width="0.296875" style="4" customWidth="1"/>
    <col min="8464" max="8464" width="0.796875" style="4" customWidth="1"/>
    <col min="8465" max="8465" width="0.296875" style="4" customWidth="1"/>
    <col min="8466" max="8466" width="1.19921875" style="4" customWidth="1"/>
    <col min="8467" max="8467" width="1.5" style="4" customWidth="1"/>
    <col min="8468" max="8468" width="0.19921875" style="4" customWidth="1"/>
    <col min="8469" max="8469" width="0.8984375" style="4" customWidth="1"/>
    <col min="8470" max="8470" width="2.59765625" style="4" customWidth="1"/>
    <col min="8471" max="8471" width="1.19921875" style="4" customWidth="1"/>
    <col min="8472" max="8472" width="0.19921875" style="4" customWidth="1"/>
    <col min="8473" max="8473" width="1.19921875" style="4" customWidth="1"/>
    <col min="8474" max="8475" width="2.59765625" style="4" customWidth="1"/>
    <col min="8476" max="8476" width="2" style="4" customWidth="1"/>
    <col min="8477" max="8477" width="0.19921875" style="4" customWidth="1"/>
    <col min="8478" max="8478" width="0.5" style="4" customWidth="1"/>
    <col min="8479" max="8480" width="0.19921875" style="4" customWidth="1"/>
    <col min="8481" max="8481" width="2.296875" style="4" customWidth="1"/>
    <col min="8482" max="8482" width="2.59765625" style="4" customWidth="1"/>
    <col min="8483" max="8483" width="1.09765625" style="4" customWidth="1"/>
    <col min="8484" max="8484" width="0.296875" style="4" customWidth="1"/>
    <col min="8485" max="8485" width="1.19921875" style="4" customWidth="1"/>
    <col min="8486" max="8486" width="0.59765625" style="4" customWidth="1"/>
    <col min="8487" max="8487" width="2" style="4" customWidth="1"/>
    <col min="8488" max="8488" width="1.09765625" style="4" customWidth="1"/>
    <col min="8489" max="8489" width="1.5" style="4" customWidth="1"/>
    <col min="8490" max="8490" width="1.09765625" style="4" customWidth="1"/>
    <col min="8491" max="8491" width="1.5" style="4" customWidth="1"/>
    <col min="8492" max="8492" width="2.59765625" style="4" customWidth="1"/>
    <col min="8493" max="8493" width="1.3984375" style="4" customWidth="1"/>
    <col min="8494" max="8494" width="1.19921875" style="4" customWidth="1"/>
    <col min="8495" max="8496" width="2.59765625" style="4" customWidth="1"/>
    <col min="8497" max="8497" width="1.69921875" style="4" customWidth="1"/>
    <col min="8498" max="8499" width="0.8984375" style="4" customWidth="1"/>
    <col min="8500" max="8500" width="0.59765625" style="4" customWidth="1"/>
    <col min="8501" max="8501" width="1.09765625" style="4" customWidth="1"/>
    <col min="8502" max="8502" width="1.19921875" style="4" customWidth="1"/>
    <col min="8503" max="8503" width="1.3984375" style="4" customWidth="1"/>
    <col min="8504" max="8504" width="2.59765625" style="4" customWidth="1"/>
    <col min="8505" max="8505" width="1.09765625" style="4" customWidth="1"/>
    <col min="8506" max="8506" width="0.19921875" style="4" customWidth="1"/>
    <col min="8507" max="8507" width="0.296875" style="4" customWidth="1"/>
    <col min="8508" max="8508" width="1.09765625" style="4" customWidth="1"/>
    <col min="8509" max="8509" width="1.19921875" style="4" customWidth="1"/>
    <col min="8510" max="8510" width="0.296875" style="4" customWidth="1"/>
    <col min="8511" max="8511" width="4.5" style="4" customWidth="1"/>
    <col min="8512" max="8512" width="1.19921875" style="4" customWidth="1"/>
    <col min="8513" max="8513" width="1.09765625" style="4" customWidth="1"/>
    <col min="8514" max="8514" width="2.296875" style="4" customWidth="1"/>
    <col min="8515" max="8515" width="1.5" style="4" customWidth="1"/>
    <col min="8516" max="8516" width="0.796875" style="4" customWidth="1"/>
    <col min="8517" max="8517" width="0.59765625" style="4" customWidth="1"/>
    <col min="8518" max="8518" width="5.3984375" style="4" customWidth="1"/>
    <col min="8519" max="8519" width="2.09765625" style="4" customWidth="1"/>
    <col min="8520" max="8520" width="0.19921875" style="4" customWidth="1"/>
    <col min="8521" max="8521" width="0.5" style="4" customWidth="1"/>
    <col min="8522" max="8522" width="2.59765625" style="4" customWidth="1"/>
    <col min="8523" max="8523" width="3" style="4" customWidth="1"/>
    <col min="8524" max="8524" width="3.796875" style="4" customWidth="1"/>
    <col min="8525" max="8525" width="0.296875" style="4" customWidth="1"/>
    <col min="8526" max="8526" width="2" style="4" customWidth="1"/>
    <col min="8527" max="8527" width="0.296875" style="4" customWidth="1"/>
    <col min="8528" max="8704" width="8.796875" style="4"/>
    <col min="8705" max="8706" width="0.5" style="4" customWidth="1"/>
    <col min="8707" max="8708" width="0.19921875" style="4" customWidth="1"/>
    <col min="8709" max="8709" width="0.296875" style="4" customWidth="1"/>
    <col min="8710" max="8710" width="1.19921875" style="4" customWidth="1"/>
    <col min="8711" max="8711" width="7.3984375" style="4" customWidth="1"/>
    <col min="8712" max="8712" width="0.19921875" style="4" customWidth="1"/>
    <col min="8713" max="8713" width="5.69921875" style="4" customWidth="1"/>
    <col min="8714" max="8714" width="7.3984375" style="4" customWidth="1"/>
    <col min="8715" max="8715" width="0.796875" style="4" customWidth="1"/>
    <col min="8716" max="8716" width="1.796875" style="4" customWidth="1"/>
    <col min="8717" max="8718" width="2.59765625" style="4" customWidth="1"/>
    <col min="8719" max="8719" width="0.296875" style="4" customWidth="1"/>
    <col min="8720" max="8720" width="0.796875" style="4" customWidth="1"/>
    <col min="8721" max="8721" width="0.296875" style="4" customWidth="1"/>
    <col min="8722" max="8722" width="1.19921875" style="4" customWidth="1"/>
    <col min="8723" max="8723" width="1.5" style="4" customWidth="1"/>
    <col min="8724" max="8724" width="0.19921875" style="4" customWidth="1"/>
    <col min="8725" max="8725" width="0.8984375" style="4" customWidth="1"/>
    <col min="8726" max="8726" width="2.59765625" style="4" customWidth="1"/>
    <col min="8727" max="8727" width="1.19921875" style="4" customWidth="1"/>
    <col min="8728" max="8728" width="0.19921875" style="4" customWidth="1"/>
    <col min="8729" max="8729" width="1.19921875" style="4" customWidth="1"/>
    <col min="8730" max="8731" width="2.59765625" style="4" customWidth="1"/>
    <col min="8732" max="8732" width="2" style="4" customWidth="1"/>
    <col min="8733" max="8733" width="0.19921875" style="4" customWidth="1"/>
    <col min="8734" max="8734" width="0.5" style="4" customWidth="1"/>
    <col min="8735" max="8736" width="0.19921875" style="4" customWidth="1"/>
    <col min="8737" max="8737" width="2.296875" style="4" customWidth="1"/>
    <col min="8738" max="8738" width="2.59765625" style="4" customWidth="1"/>
    <col min="8739" max="8739" width="1.09765625" style="4" customWidth="1"/>
    <col min="8740" max="8740" width="0.296875" style="4" customWidth="1"/>
    <col min="8741" max="8741" width="1.19921875" style="4" customWidth="1"/>
    <col min="8742" max="8742" width="0.59765625" style="4" customWidth="1"/>
    <col min="8743" max="8743" width="2" style="4" customWidth="1"/>
    <col min="8744" max="8744" width="1.09765625" style="4" customWidth="1"/>
    <col min="8745" max="8745" width="1.5" style="4" customWidth="1"/>
    <col min="8746" max="8746" width="1.09765625" style="4" customWidth="1"/>
    <col min="8747" max="8747" width="1.5" style="4" customWidth="1"/>
    <col min="8748" max="8748" width="2.59765625" style="4" customWidth="1"/>
    <col min="8749" max="8749" width="1.3984375" style="4" customWidth="1"/>
    <col min="8750" max="8750" width="1.19921875" style="4" customWidth="1"/>
    <col min="8751" max="8752" width="2.59765625" style="4" customWidth="1"/>
    <col min="8753" max="8753" width="1.69921875" style="4" customWidth="1"/>
    <col min="8754" max="8755" width="0.8984375" style="4" customWidth="1"/>
    <col min="8756" max="8756" width="0.59765625" style="4" customWidth="1"/>
    <col min="8757" max="8757" width="1.09765625" style="4" customWidth="1"/>
    <col min="8758" max="8758" width="1.19921875" style="4" customWidth="1"/>
    <col min="8759" max="8759" width="1.3984375" style="4" customWidth="1"/>
    <col min="8760" max="8760" width="2.59765625" style="4" customWidth="1"/>
    <col min="8761" max="8761" width="1.09765625" style="4" customWidth="1"/>
    <col min="8762" max="8762" width="0.19921875" style="4" customWidth="1"/>
    <col min="8763" max="8763" width="0.296875" style="4" customWidth="1"/>
    <col min="8764" max="8764" width="1.09765625" style="4" customWidth="1"/>
    <col min="8765" max="8765" width="1.19921875" style="4" customWidth="1"/>
    <col min="8766" max="8766" width="0.296875" style="4" customWidth="1"/>
    <col min="8767" max="8767" width="4.5" style="4" customWidth="1"/>
    <col min="8768" max="8768" width="1.19921875" style="4" customWidth="1"/>
    <col min="8769" max="8769" width="1.09765625" style="4" customWidth="1"/>
    <col min="8770" max="8770" width="2.296875" style="4" customWidth="1"/>
    <col min="8771" max="8771" width="1.5" style="4" customWidth="1"/>
    <col min="8772" max="8772" width="0.796875" style="4" customWidth="1"/>
    <col min="8773" max="8773" width="0.59765625" style="4" customWidth="1"/>
    <col min="8774" max="8774" width="5.3984375" style="4" customWidth="1"/>
    <col min="8775" max="8775" width="2.09765625" style="4" customWidth="1"/>
    <col min="8776" max="8776" width="0.19921875" style="4" customWidth="1"/>
    <col min="8777" max="8777" width="0.5" style="4" customWidth="1"/>
    <col min="8778" max="8778" width="2.59765625" style="4" customWidth="1"/>
    <col min="8779" max="8779" width="3" style="4" customWidth="1"/>
    <col min="8780" max="8780" width="3.796875" style="4" customWidth="1"/>
    <col min="8781" max="8781" width="0.296875" style="4" customWidth="1"/>
    <col min="8782" max="8782" width="2" style="4" customWidth="1"/>
    <col min="8783" max="8783" width="0.296875" style="4" customWidth="1"/>
    <col min="8784" max="8960" width="8.796875" style="4"/>
    <col min="8961" max="8962" width="0.5" style="4" customWidth="1"/>
    <col min="8963" max="8964" width="0.19921875" style="4" customWidth="1"/>
    <col min="8965" max="8965" width="0.296875" style="4" customWidth="1"/>
    <col min="8966" max="8966" width="1.19921875" style="4" customWidth="1"/>
    <col min="8967" max="8967" width="7.3984375" style="4" customWidth="1"/>
    <col min="8968" max="8968" width="0.19921875" style="4" customWidth="1"/>
    <col min="8969" max="8969" width="5.69921875" style="4" customWidth="1"/>
    <col min="8970" max="8970" width="7.3984375" style="4" customWidth="1"/>
    <col min="8971" max="8971" width="0.796875" style="4" customWidth="1"/>
    <col min="8972" max="8972" width="1.796875" style="4" customWidth="1"/>
    <col min="8973" max="8974" width="2.59765625" style="4" customWidth="1"/>
    <col min="8975" max="8975" width="0.296875" style="4" customWidth="1"/>
    <col min="8976" max="8976" width="0.796875" style="4" customWidth="1"/>
    <col min="8977" max="8977" width="0.296875" style="4" customWidth="1"/>
    <col min="8978" max="8978" width="1.19921875" style="4" customWidth="1"/>
    <col min="8979" max="8979" width="1.5" style="4" customWidth="1"/>
    <col min="8980" max="8980" width="0.19921875" style="4" customWidth="1"/>
    <col min="8981" max="8981" width="0.8984375" style="4" customWidth="1"/>
    <col min="8982" max="8982" width="2.59765625" style="4" customWidth="1"/>
    <col min="8983" max="8983" width="1.19921875" style="4" customWidth="1"/>
    <col min="8984" max="8984" width="0.19921875" style="4" customWidth="1"/>
    <col min="8985" max="8985" width="1.19921875" style="4" customWidth="1"/>
    <col min="8986" max="8987" width="2.59765625" style="4" customWidth="1"/>
    <col min="8988" max="8988" width="2" style="4" customWidth="1"/>
    <col min="8989" max="8989" width="0.19921875" style="4" customWidth="1"/>
    <col min="8990" max="8990" width="0.5" style="4" customWidth="1"/>
    <col min="8991" max="8992" width="0.19921875" style="4" customWidth="1"/>
    <col min="8993" max="8993" width="2.296875" style="4" customWidth="1"/>
    <col min="8994" max="8994" width="2.59765625" style="4" customWidth="1"/>
    <col min="8995" max="8995" width="1.09765625" style="4" customWidth="1"/>
    <col min="8996" max="8996" width="0.296875" style="4" customWidth="1"/>
    <col min="8997" max="8997" width="1.19921875" style="4" customWidth="1"/>
    <col min="8998" max="8998" width="0.59765625" style="4" customWidth="1"/>
    <col min="8999" max="8999" width="2" style="4" customWidth="1"/>
    <col min="9000" max="9000" width="1.09765625" style="4" customWidth="1"/>
    <col min="9001" max="9001" width="1.5" style="4" customWidth="1"/>
    <col min="9002" max="9002" width="1.09765625" style="4" customWidth="1"/>
    <col min="9003" max="9003" width="1.5" style="4" customWidth="1"/>
    <col min="9004" max="9004" width="2.59765625" style="4" customWidth="1"/>
    <col min="9005" max="9005" width="1.3984375" style="4" customWidth="1"/>
    <col min="9006" max="9006" width="1.19921875" style="4" customWidth="1"/>
    <col min="9007" max="9008" width="2.59765625" style="4" customWidth="1"/>
    <col min="9009" max="9009" width="1.69921875" style="4" customWidth="1"/>
    <col min="9010" max="9011" width="0.8984375" style="4" customWidth="1"/>
    <col min="9012" max="9012" width="0.59765625" style="4" customWidth="1"/>
    <col min="9013" max="9013" width="1.09765625" style="4" customWidth="1"/>
    <col min="9014" max="9014" width="1.19921875" style="4" customWidth="1"/>
    <col min="9015" max="9015" width="1.3984375" style="4" customWidth="1"/>
    <col min="9016" max="9016" width="2.59765625" style="4" customWidth="1"/>
    <col min="9017" max="9017" width="1.09765625" style="4" customWidth="1"/>
    <col min="9018" max="9018" width="0.19921875" style="4" customWidth="1"/>
    <col min="9019" max="9019" width="0.296875" style="4" customWidth="1"/>
    <col min="9020" max="9020" width="1.09765625" style="4" customWidth="1"/>
    <col min="9021" max="9021" width="1.19921875" style="4" customWidth="1"/>
    <col min="9022" max="9022" width="0.296875" style="4" customWidth="1"/>
    <col min="9023" max="9023" width="4.5" style="4" customWidth="1"/>
    <col min="9024" max="9024" width="1.19921875" style="4" customWidth="1"/>
    <col min="9025" max="9025" width="1.09765625" style="4" customWidth="1"/>
    <col min="9026" max="9026" width="2.296875" style="4" customWidth="1"/>
    <col min="9027" max="9027" width="1.5" style="4" customWidth="1"/>
    <col min="9028" max="9028" width="0.796875" style="4" customWidth="1"/>
    <col min="9029" max="9029" width="0.59765625" style="4" customWidth="1"/>
    <col min="9030" max="9030" width="5.3984375" style="4" customWidth="1"/>
    <col min="9031" max="9031" width="2.09765625" style="4" customWidth="1"/>
    <col min="9032" max="9032" width="0.19921875" style="4" customWidth="1"/>
    <col min="9033" max="9033" width="0.5" style="4" customWidth="1"/>
    <col min="9034" max="9034" width="2.59765625" style="4" customWidth="1"/>
    <col min="9035" max="9035" width="3" style="4" customWidth="1"/>
    <col min="9036" max="9036" width="3.796875" style="4" customWidth="1"/>
    <col min="9037" max="9037" width="0.296875" style="4" customWidth="1"/>
    <col min="9038" max="9038" width="2" style="4" customWidth="1"/>
    <col min="9039" max="9039" width="0.296875" style="4" customWidth="1"/>
    <col min="9040" max="9216" width="8.796875" style="4"/>
    <col min="9217" max="9218" width="0.5" style="4" customWidth="1"/>
    <col min="9219" max="9220" width="0.19921875" style="4" customWidth="1"/>
    <col min="9221" max="9221" width="0.296875" style="4" customWidth="1"/>
    <col min="9222" max="9222" width="1.19921875" style="4" customWidth="1"/>
    <col min="9223" max="9223" width="7.3984375" style="4" customWidth="1"/>
    <col min="9224" max="9224" width="0.19921875" style="4" customWidth="1"/>
    <col min="9225" max="9225" width="5.69921875" style="4" customWidth="1"/>
    <col min="9226" max="9226" width="7.3984375" style="4" customWidth="1"/>
    <col min="9227" max="9227" width="0.796875" style="4" customWidth="1"/>
    <col min="9228" max="9228" width="1.796875" style="4" customWidth="1"/>
    <col min="9229" max="9230" width="2.59765625" style="4" customWidth="1"/>
    <col min="9231" max="9231" width="0.296875" style="4" customWidth="1"/>
    <col min="9232" max="9232" width="0.796875" style="4" customWidth="1"/>
    <col min="9233" max="9233" width="0.296875" style="4" customWidth="1"/>
    <col min="9234" max="9234" width="1.19921875" style="4" customWidth="1"/>
    <col min="9235" max="9235" width="1.5" style="4" customWidth="1"/>
    <col min="9236" max="9236" width="0.19921875" style="4" customWidth="1"/>
    <col min="9237" max="9237" width="0.8984375" style="4" customWidth="1"/>
    <col min="9238" max="9238" width="2.59765625" style="4" customWidth="1"/>
    <col min="9239" max="9239" width="1.19921875" style="4" customWidth="1"/>
    <col min="9240" max="9240" width="0.19921875" style="4" customWidth="1"/>
    <col min="9241" max="9241" width="1.19921875" style="4" customWidth="1"/>
    <col min="9242" max="9243" width="2.59765625" style="4" customWidth="1"/>
    <col min="9244" max="9244" width="2" style="4" customWidth="1"/>
    <col min="9245" max="9245" width="0.19921875" style="4" customWidth="1"/>
    <col min="9246" max="9246" width="0.5" style="4" customWidth="1"/>
    <col min="9247" max="9248" width="0.19921875" style="4" customWidth="1"/>
    <col min="9249" max="9249" width="2.296875" style="4" customWidth="1"/>
    <col min="9250" max="9250" width="2.59765625" style="4" customWidth="1"/>
    <col min="9251" max="9251" width="1.09765625" style="4" customWidth="1"/>
    <col min="9252" max="9252" width="0.296875" style="4" customWidth="1"/>
    <col min="9253" max="9253" width="1.19921875" style="4" customWidth="1"/>
    <col min="9254" max="9254" width="0.59765625" style="4" customWidth="1"/>
    <col min="9255" max="9255" width="2" style="4" customWidth="1"/>
    <col min="9256" max="9256" width="1.09765625" style="4" customWidth="1"/>
    <col min="9257" max="9257" width="1.5" style="4" customWidth="1"/>
    <col min="9258" max="9258" width="1.09765625" style="4" customWidth="1"/>
    <col min="9259" max="9259" width="1.5" style="4" customWidth="1"/>
    <col min="9260" max="9260" width="2.59765625" style="4" customWidth="1"/>
    <col min="9261" max="9261" width="1.3984375" style="4" customWidth="1"/>
    <col min="9262" max="9262" width="1.19921875" style="4" customWidth="1"/>
    <col min="9263" max="9264" width="2.59765625" style="4" customWidth="1"/>
    <col min="9265" max="9265" width="1.69921875" style="4" customWidth="1"/>
    <col min="9266" max="9267" width="0.8984375" style="4" customWidth="1"/>
    <col min="9268" max="9268" width="0.59765625" style="4" customWidth="1"/>
    <col min="9269" max="9269" width="1.09765625" style="4" customWidth="1"/>
    <col min="9270" max="9270" width="1.19921875" style="4" customWidth="1"/>
    <col min="9271" max="9271" width="1.3984375" style="4" customWidth="1"/>
    <col min="9272" max="9272" width="2.59765625" style="4" customWidth="1"/>
    <col min="9273" max="9273" width="1.09765625" style="4" customWidth="1"/>
    <col min="9274" max="9274" width="0.19921875" style="4" customWidth="1"/>
    <col min="9275" max="9275" width="0.296875" style="4" customWidth="1"/>
    <col min="9276" max="9276" width="1.09765625" style="4" customWidth="1"/>
    <col min="9277" max="9277" width="1.19921875" style="4" customWidth="1"/>
    <col min="9278" max="9278" width="0.296875" style="4" customWidth="1"/>
    <col min="9279" max="9279" width="4.5" style="4" customWidth="1"/>
    <col min="9280" max="9280" width="1.19921875" style="4" customWidth="1"/>
    <col min="9281" max="9281" width="1.09765625" style="4" customWidth="1"/>
    <col min="9282" max="9282" width="2.296875" style="4" customWidth="1"/>
    <col min="9283" max="9283" width="1.5" style="4" customWidth="1"/>
    <col min="9284" max="9284" width="0.796875" style="4" customWidth="1"/>
    <col min="9285" max="9285" width="0.59765625" style="4" customWidth="1"/>
    <col min="9286" max="9286" width="5.3984375" style="4" customWidth="1"/>
    <col min="9287" max="9287" width="2.09765625" style="4" customWidth="1"/>
    <col min="9288" max="9288" width="0.19921875" style="4" customWidth="1"/>
    <col min="9289" max="9289" width="0.5" style="4" customWidth="1"/>
    <col min="9290" max="9290" width="2.59765625" style="4" customWidth="1"/>
    <col min="9291" max="9291" width="3" style="4" customWidth="1"/>
    <col min="9292" max="9292" width="3.796875" style="4" customWidth="1"/>
    <col min="9293" max="9293" width="0.296875" style="4" customWidth="1"/>
    <col min="9294" max="9294" width="2" style="4" customWidth="1"/>
    <col min="9295" max="9295" width="0.296875" style="4" customWidth="1"/>
    <col min="9296" max="9472" width="8.796875" style="4"/>
    <col min="9473" max="9474" width="0.5" style="4" customWidth="1"/>
    <col min="9475" max="9476" width="0.19921875" style="4" customWidth="1"/>
    <col min="9477" max="9477" width="0.296875" style="4" customWidth="1"/>
    <col min="9478" max="9478" width="1.19921875" style="4" customWidth="1"/>
    <col min="9479" max="9479" width="7.3984375" style="4" customWidth="1"/>
    <col min="9480" max="9480" width="0.19921875" style="4" customWidth="1"/>
    <col min="9481" max="9481" width="5.69921875" style="4" customWidth="1"/>
    <col min="9482" max="9482" width="7.3984375" style="4" customWidth="1"/>
    <col min="9483" max="9483" width="0.796875" style="4" customWidth="1"/>
    <col min="9484" max="9484" width="1.796875" style="4" customWidth="1"/>
    <col min="9485" max="9486" width="2.59765625" style="4" customWidth="1"/>
    <col min="9487" max="9487" width="0.296875" style="4" customWidth="1"/>
    <col min="9488" max="9488" width="0.796875" style="4" customWidth="1"/>
    <col min="9489" max="9489" width="0.296875" style="4" customWidth="1"/>
    <col min="9490" max="9490" width="1.19921875" style="4" customWidth="1"/>
    <col min="9491" max="9491" width="1.5" style="4" customWidth="1"/>
    <col min="9492" max="9492" width="0.19921875" style="4" customWidth="1"/>
    <col min="9493" max="9493" width="0.8984375" style="4" customWidth="1"/>
    <col min="9494" max="9494" width="2.59765625" style="4" customWidth="1"/>
    <col min="9495" max="9495" width="1.19921875" style="4" customWidth="1"/>
    <col min="9496" max="9496" width="0.19921875" style="4" customWidth="1"/>
    <col min="9497" max="9497" width="1.19921875" style="4" customWidth="1"/>
    <col min="9498" max="9499" width="2.59765625" style="4" customWidth="1"/>
    <col min="9500" max="9500" width="2" style="4" customWidth="1"/>
    <col min="9501" max="9501" width="0.19921875" style="4" customWidth="1"/>
    <col min="9502" max="9502" width="0.5" style="4" customWidth="1"/>
    <col min="9503" max="9504" width="0.19921875" style="4" customWidth="1"/>
    <col min="9505" max="9505" width="2.296875" style="4" customWidth="1"/>
    <col min="9506" max="9506" width="2.59765625" style="4" customWidth="1"/>
    <col min="9507" max="9507" width="1.09765625" style="4" customWidth="1"/>
    <col min="9508" max="9508" width="0.296875" style="4" customWidth="1"/>
    <col min="9509" max="9509" width="1.19921875" style="4" customWidth="1"/>
    <col min="9510" max="9510" width="0.59765625" style="4" customWidth="1"/>
    <col min="9511" max="9511" width="2" style="4" customWidth="1"/>
    <col min="9512" max="9512" width="1.09765625" style="4" customWidth="1"/>
    <col min="9513" max="9513" width="1.5" style="4" customWidth="1"/>
    <col min="9514" max="9514" width="1.09765625" style="4" customWidth="1"/>
    <col min="9515" max="9515" width="1.5" style="4" customWidth="1"/>
    <col min="9516" max="9516" width="2.59765625" style="4" customWidth="1"/>
    <col min="9517" max="9517" width="1.3984375" style="4" customWidth="1"/>
    <col min="9518" max="9518" width="1.19921875" style="4" customWidth="1"/>
    <col min="9519" max="9520" width="2.59765625" style="4" customWidth="1"/>
    <col min="9521" max="9521" width="1.69921875" style="4" customWidth="1"/>
    <col min="9522" max="9523" width="0.8984375" style="4" customWidth="1"/>
    <col min="9524" max="9524" width="0.59765625" style="4" customWidth="1"/>
    <col min="9525" max="9525" width="1.09765625" style="4" customWidth="1"/>
    <col min="9526" max="9526" width="1.19921875" style="4" customWidth="1"/>
    <col min="9527" max="9527" width="1.3984375" style="4" customWidth="1"/>
    <col min="9528" max="9528" width="2.59765625" style="4" customWidth="1"/>
    <col min="9529" max="9529" width="1.09765625" style="4" customWidth="1"/>
    <col min="9530" max="9530" width="0.19921875" style="4" customWidth="1"/>
    <col min="9531" max="9531" width="0.296875" style="4" customWidth="1"/>
    <col min="9532" max="9532" width="1.09765625" style="4" customWidth="1"/>
    <col min="9533" max="9533" width="1.19921875" style="4" customWidth="1"/>
    <col min="9534" max="9534" width="0.296875" style="4" customWidth="1"/>
    <col min="9535" max="9535" width="4.5" style="4" customWidth="1"/>
    <col min="9536" max="9536" width="1.19921875" style="4" customWidth="1"/>
    <col min="9537" max="9537" width="1.09765625" style="4" customWidth="1"/>
    <col min="9538" max="9538" width="2.296875" style="4" customWidth="1"/>
    <col min="9539" max="9539" width="1.5" style="4" customWidth="1"/>
    <col min="9540" max="9540" width="0.796875" style="4" customWidth="1"/>
    <col min="9541" max="9541" width="0.59765625" style="4" customWidth="1"/>
    <col min="9542" max="9542" width="5.3984375" style="4" customWidth="1"/>
    <col min="9543" max="9543" width="2.09765625" style="4" customWidth="1"/>
    <col min="9544" max="9544" width="0.19921875" style="4" customWidth="1"/>
    <col min="9545" max="9545" width="0.5" style="4" customWidth="1"/>
    <col min="9546" max="9546" width="2.59765625" style="4" customWidth="1"/>
    <col min="9547" max="9547" width="3" style="4" customWidth="1"/>
    <col min="9548" max="9548" width="3.796875" style="4" customWidth="1"/>
    <col min="9549" max="9549" width="0.296875" style="4" customWidth="1"/>
    <col min="9550" max="9550" width="2" style="4" customWidth="1"/>
    <col min="9551" max="9551" width="0.296875" style="4" customWidth="1"/>
    <col min="9552" max="9728" width="8.796875" style="4"/>
    <col min="9729" max="9730" width="0.5" style="4" customWidth="1"/>
    <col min="9731" max="9732" width="0.19921875" style="4" customWidth="1"/>
    <col min="9733" max="9733" width="0.296875" style="4" customWidth="1"/>
    <col min="9734" max="9734" width="1.19921875" style="4" customWidth="1"/>
    <col min="9735" max="9735" width="7.3984375" style="4" customWidth="1"/>
    <col min="9736" max="9736" width="0.19921875" style="4" customWidth="1"/>
    <col min="9737" max="9737" width="5.69921875" style="4" customWidth="1"/>
    <col min="9738" max="9738" width="7.3984375" style="4" customWidth="1"/>
    <col min="9739" max="9739" width="0.796875" style="4" customWidth="1"/>
    <col min="9740" max="9740" width="1.796875" style="4" customWidth="1"/>
    <col min="9741" max="9742" width="2.59765625" style="4" customWidth="1"/>
    <col min="9743" max="9743" width="0.296875" style="4" customWidth="1"/>
    <col min="9744" max="9744" width="0.796875" style="4" customWidth="1"/>
    <col min="9745" max="9745" width="0.296875" style="4" customWidth="1"/>
    <col min="9746" max="9746" width="1.19921875" style="4" customWidth="1"/>
    <col min="9747" max="9747" width="1.5" style="4" customWidth="1"/>
    <col min="9748" max="9748" width="0.19921875" style="4" customWidth="1"/>
    <col min="9749" max="9749" width="0.8984375" style="4" customWidth="1"/>
    <col min="9750" max="9750" width="2.59765625" style="4" customWidth="1"/>
    <col min="9751" max="9751" width="1.19921875" style="4" customWidth="1"/>
    <col min="9752" max="9752" width="0.19921875" style="4" customWidth="1"/>
    <col min="9753" max="9753" width="1.19921875" style="4" customWidth="1"/>
    <col min="9754" max="9755" width="2.59765625" style="4" customWidth="1"/>
    <col min="9756" max="9756" width="2" style="4" customWidth="1"/>
    <col min="9757" max="9757" width="0.19921875" style="4" customWidth="1"/>
    <col min="9758" max="9758" width="0.5" style="4" customWidth="1"/>
    <col min="9759" max="9760" width="0.19921875" style="4" customWidth="1"/>
    <col min="9761" max="9761" width="2.296875" style="4" customWidth="1"/>
    <col min="9762" max="9762" width="2.59765625" style="4" customWidth="1"/>
    <col min="9763" max="9763" width="1.09765625" style="4" customWidth="1"/>
    <col min="9764" max="9764" width="0.296875" style="4" customWidth="1"/>
    <col min="9765" max="9765" width="1.19921875" style="4" customWidth="1"/>
    <col min="9766" max="9766" width="0.59765625" style="4" customWidth="1"/>
    <col min="9767" max="9767" width="2" style="4" customWidth="1"/>
    <col min="9768" max="9768" width="1.09765625" style="4" customWidth="1"/>
    <col min="9769" max="9769" width="1.5" style="4" customWidth="1"/>
    <col min="9770" max="9770" width="1.09765625" style="4" customWidth="1"/>
    <col min="9771" max="9771" width="1.5" style="4" customWidth="1"/>
    <col min="9772" max="9772" width="2.59765625" style="4" customWidth="1"/>
    <col min="9773" max="9773" width="1.3984375" style="4" customWidth="1"/>
    <col min="9774" max="9774" width="1.19921875" style="4" customWidth="1"/>
    <col min="9775" max="9776" width="2.59765625" style="4" customWidth="1"/>
    <col min="9777" max="9777" width="1.69921875" style="4" customWidth="1"/>
    <col min="9778" max="9779" width="0.8984375" style="4" customWidth="1"/>
    <col min="9780" max="9780" width="0.59765625" style="4" customWidth="1"/>
    <col min="9781" max="9781" width="1.09765625" style="4" customWidth="1"/>
    <col min="9782" max="9782" width="1.19921875" style="4" customWidth="1"/>
    <col min="9783" max="9783" width="1.3984375" style="4" customWidth="1"/>
    <col min="9784" max="9784" width="2.59765625" style="4" customWidth="1"/>
    <col min="9785" max="9785" width="1.09765625" style="4" customWidth="1"/>
    <col min="9786" max="9786" width="0.19921875" style="4" customWidth="1"/>
    <col min="9787" max="9787" width="0.296875" style="4" customWidth="1"/>
    <col min="9788" max="9788" width="1.09765625" style="4" customWidth="1"/>
    <col min="9789" max="9789" width="1.19921875" style="4" customWidth="1"/>
    <col min="9790" max="9790" width="0.296875" style="4" customWidth="1"/>
    <col min="9791" max="9791" width="4.5" style="4" customWidth="1"/>
    <col min="9792" max="9792" width="1.19921875" style="4" customWidth="1"/>
    <col min="9793" max="9793" width="1.09765625" style="4" customWidth="1"/>
    <col min="9794" max="9794" width="2.296875" style="4" customWidth="1"/>
    <col min="9795" max="9795" width="1.5" style="4" customWidth="1"/>
    <col min="9796" max="9796" width="0.796875" style="4" customWidth="1"/>
    <col min="9797" max="9797" width="0.59765625" style="4" customWidth="1"/>
    <col min="9798" max="9798" width="5.3984375" style="4" customWidth="1"/>
    <col min="9799" max="9799" width="2.09765625" style="4" customWidth="1"/>
    <col min="9800" max="9800" width="0.19921875" style="4" customWidth="1"/>
    <col min="9801" max="9801" width="0.5" style="4" customWidth="1"/>
    <col min="9802" max="9802" width="2.59765625" style="4" customWidth="1"/>
    <col min="9803" max="9803" width="3" style="4" customWidth="1"/>
    <col min="9804" max="9804" width="3.796875" style="4" customWidth="1"/>
    <col min="9805" max="9805" width="0.296875" style="4" customWidth="1"/>
    <col min="9806" max="9806" width="2" style="4" customWidth="1"/>
    <col min="9807" max="9807" width="0.296875" style="4" customWidth="1"/>
    <col min="9808" max="9984" width="8.796875" style="4"/>
    <col min="9985" max="9986" width="0.5" style="4" customWidth="1"/>
    <col min="9987" max="9988" width="0.19921875" style="4" customWidth="1"/>
    <col min="9989" max="9989" width="0.296875" style="4" customWidth="1"/>
    <col min="9990" max="9990" width="1.19921875" style="4" customWidth="1"/>
    <col min="9991" max="9991" width="7.3984375" style="4" customWidth="1"/>
    <col min="9992" max="9992" width="0.19921875" style="4" customWidth="1"/>
    <col min="9993" max="9993" width="5.69921875" style="4" customWidth="1"/>
    <col min="9994" max="9994" width="7.3984375" style="4" customWidth="1"/>
    <col min="9995" max="9995" width="0.796875" style="4" customWidth="1"/>
    <col min="9996" max="9996" width="1.796875" style="4" customWidth="1"/>
    <col min="9997" max="9998" width="2.59765625" style="4" customWidth="1"/>
    <col min="9999" max="9999" width="0.296875" style="4" customWidth="1"/>
    <col min="10000" max="10000" width="0.796875" style="4" customWidth="1"/>
    <col min="10001" max="10001" width="0.296875" style="4" customWidth="1"/>
    <col min="10002" max="10002" width="1.19921875" style="4" customWidth="1"/>
    <col min="10003" max="10003" width="1.5" style="4" customWidth="1"/>
    <col min="10004" max="10004" width="0.19921875" style="4" customWidth="1"/>
    <col min="10005" max="10005" width="0.8984375" style="4" customWidth="1"/>
    <col min="10006" max="10006" width="2.59765625" style="4" customWidth="1"/>
    <col min="10007" max="10007" width="1.19921875" style="4" customWidth="1"/>
    <col min="10008" max="10008" width="0.19921875" style="4" customWidth="1"/>
    <col min="10009" max="10009" width="1.19921875" style="4" customWidth="1"/>
    <col min="10010" max="10011" width="2.59765625" style="4" customWidth="1"/>
    <col min="10012" max="10012" width="2" style="4" customWidth="1"/>
    <col min="10013" max="10013" width="0.19921875" style="4" customWidth="1"/>
    <col min="10014" max="10014" width="0.5" style="4" customWidth="1"/>
    <col min="10015" max="10016" width="0.19921875" style="4" customWidth="1"/>
    <col min="10017" max="10017" width="2.296875" style="4" customWidth="1"/>
    <col min="10018" max="10018" width="2.59765625" style="4" customWidth="1"/>
    <col min="10019" max="10019" width="1.09765625" style="4" customWidth="1"/>
    <col min="10020" max="10020" width="0.296875" style="4" customWidth="1"/>
    <col min="10021" max="10021" width="1.19921875" style="4" customWidth="1"/>
    <col min="10022" max="10022" width="0.59765625" style="4" customWidth="1"/>
    <col min="10023" max="10023" width="2" style="4" customWidth="1"/>
    <col min="10024" max="10024" width="1.09765625" style="4" customWidth="1"/>
    <col min="10025" max="10025" width="1.5" style="4" customWidth="1"/>
    <col min="10026" max="10026" width="1.09765625" style="4" customWidth="1"/>
    <col min="10027" max="10027" width="1.5" style="4" customWidth="1"/>
    <col min="10028" max="10028" width="2.59765625" style="4" customWidth="1"/>
    <col min="10029" max="10029" width="1.3984375" style="4" customWidth="1"/>
    <col min="10030" max="10030" width="1.19921875" style="4" customWidth="1"/>
    <col min="10031" max="10032" width="2.59765625" style="4" customWidth="1"/>
    <col min="10033" max="10033" width="1.69921875" style="4" customWidth="1"/>
    <col min="10034" max="10035" width="0.8984375" style="4" customWidth="1"/>
    <col min="10036" max="10036" width="0.59765625" style="4" customWidth="1"/>
    <col min="10037" max="10037" width="1.09765625" style="4" customWidth="1"/>
    <col min="10038" max="10038" width="1.19921875" style="4" customWidth="1"/>
    <col min="10039" max="10039" width="1.3984375" style="4" customWidth="1"/>
    <col min="10040" max="10040" width="2.59765625" style="4" customWidth="1"/>
    <col min="10041" max="10041" width="1.09765625" style="4" customWidth="1"/>
    <col min="10042" max="10042" width="0.19921875" style="4" customWidth="1"/>
    <col min="10043" max="10043" width="0.296875" style="4" customWidth="1"/>
    <col min="10044" max="10044" width="1.09765625" style="4" customWidth="1"/>
    <col min="10045" max="10045" width="1.19921875" style="4" customWidth="1"/>
    <col min="10046" max="10046" width="0.296875" style="4" customWidth="1"/>
    <col min="10047" max="10047" width="4.5" style="4" customWidth="1"/>
    <col min="10048" max="10048" width="1.19921875" style="4" customWidth="1"/>
    <col min="10049" max="10049" width="1.09765625" style="4" customWidth="1"/>
    <col min="10050" max="10050" width="2.296875" style="4" customWidth="1"/>
    <col min="10051" max="10051" width="1.5" style="4" customWidth="1"/>
    <col min="10052" max="10052" width="0.796875" style="4" customWidth="1"/>
    <col min="10053" max="10053" width="0.59765625" style="4" customWidth="1"/>
    <col min="10054" max="10054" width="5.3984375" style="4" customWidth="1"/>
    <col min="10055" max="10055" width="2.09765625" style="4" customWidth="1"/>
    <col min="10056" max="10056" width="0.19921875" style="4" customWidth="1"/>
    <col min="10057" max="10057" width="0.5" style="4" customWidth="1"/>
    <col min="10058" max="10058" width="2.59765625" style="4" customWidth="1"/>
    <col min="10059" max="10059" width="3" style="4" customWidth="1"/>
    <col min="10060" max="10060" width="3.796875" style="4" customWidth="1"/>
    <col min="10061" max="10061" width="0.296875" style="4" customWidth="1"/>
    <col min="10062" max="10062" width="2" style="4" customWidth="1"/>
    <col min="10063" max="10063" width="0.296875" style="4" customWidth="1"/>
    <col min="10064" max="10240" width="8.796875" style="4"/>
    <col min="10241" max="10242" width="0.5" style="4" customWidth="1"/>
    <col min="10243" max="10244" width="0.19921875" style="4" customWidth="1"/>
    <col min="10245" max="10245" width="0.296875" style="4" customWidth="1"/>
    <col min="10246" max="10246" width="1.19921875" style="4" customWidth="1"/>
    <col min="10247" max="10247" width="7.3984375" style="4" customWidth="1"/>
    <col min="10248" max="10248" width="0.19921875" style="4" customWidth="1"/>
    <col min="10249" max="10249" width="5.69921875" style="4" customWidth="1"/>
    <col min="10250" max="10250" width="7.3984375" style="4" customWidth="1"/>
    <col min="10251" max="10251" width="0.796875" style="4" customWidth="1"/>
    <col min="10252" max="10252" width="1.796875" style="4" customWidth="1"/>
    <col min="10253" max="10254" width="2.59765625" style="4" customWidth="1"/>
    <col min="10255" max="10255" width="0.296875" style="4" customWidth="1"/>
    <col min="10256" max="10256" width="0.796875" style="4" customWidth="1"/>
    <col min="10257" max="10257" width="0.296875" style="4" customWidth="1"/>
    <col min="10258" max="10258" width="1.19921875" style="4" customWidth="1"/>
    <col min="10259" max="10259" width="1.5" style="4" customWidth="1"/>
    <col min="10260" max="10260" width="0.19921875" style="4" customWidth="1"/>
    <col min="10261" max="10261" width="0.8984375" style="4" customWidth="1"/>
    <col min="10262" max="10262" width="2.59765625" style="4" customWidth="1"/>
    <col min="10263" max="10263" width="1.19921875" style="4" customWidth="1"/>
    <col min="10264" max="10264" width="0.19921875" style="4" customWidth="1"/>
    <col min="10265" max="10265" width="1.19921875" style="4" customWidth="1"/>
    <col min="10266" max="10267" width="2.59765625" style="4" customWidth="1"/>
    <col min="10268" max="10268" width="2" style="4" customWidth="1"/>
    <col min="10269" max="10269" width="0.19921875" style="4" customWidth="1"/>
    <col min="10270" max="10270" width="0.5" style="4" customWidth="1"/>
    <col min="10271" max="10272" width="0.19921875" style="4" customWidth="1"/>
    <col min="10273" max="10273" width="2.296875" style="4" customWidth="1"/>
    <col min="10274" max="10274" width="2.59765625" style="4" customWidth="1"/>
    <col min="10275" max="10275" width="1.09765625" style="4" customWidth="1"/>
    <col min="10276" max="10276" width="0.296875" style="4" customWidth="1"/>
    <col min="10277" max="10277" width="1.19921875" style="4" customWidth="1"/>
    <col min="10278" max="10278" width="0.59765625" style="4" customWidth="1"/>
    <col min="10279" max="10279" width="2" style="4" customWidth="1"/>
    <col min="10280" max="10280" width="1.09765625" style="4" customWidth="1"/>
    <col min="10281" max="10281" width="1.5" style="4" customWidth="1"/>
    <col min="10282" max="10282" width="1.09765625" style="4" customWidth="1"/>
    <col min="10283" max="10283" width="1.5" style="4" customWidth="1"/>
    <col min="10284" max="10284" width="2.59765625" style="4" customWidth="1"/>
    <col min="10285" max="10285" width="1.3984375" style="4" customWidth="1"/>
    <col min="10286" max="10286" width="1.19921875" style="4" customWidth="1"/>
    <col min="10287" max="10288" width="2.59765625" style="4" customWidth="1"/>
    <col min="10289" max="10289" width="1.69921875" style="4" customWidth="1"/>
    <col min="10290" max="10291" width="0.8984375" style="4" customWidth="1"/>
    <col min="10292" max="10292" width="0.59765625" style="4" customWidth="1"/>
    <col min="10293" max="10293" width="1.09765625" style="4" customWidth="1"/>
    <col min="10294" max="10294" width="1.19921875" style="4" customWidth="1"/>
    <col min="10295" max="10295" width="1.3984375" style="4" customWidth="1"/>
    <col min="10296" max="10296" width="2.59765625" style="4" customWidth="1"/>
    <col min="10297" max="10297" width="1.09765625" style="4" customWidth="1"/>
    <col min="10298" max="10298" width="0.19921875" style="4" customWidth="1"/>
    <col min="10299" max="10299" width="0.296875" style="4" customWidth="1"/>
    <col min="10300" max="10300" width="1.09765625" style="4" customWidth="1"/>
    <col min="10301" max="10301" width="1.19921875" style="4" customWidth="1"/>
    <col min="10302" max="10302" width="0.296875" style="4" customWidth="1"/>
    <col min="10303" max="10303" width="4.5" style="4" customWidth="1"/>
    <col min="10304" max="10304" width="1.19921875" style="4" customWidth="1"/>
    <col min="10305" max="10305" width="1.09765625" style="4" customWidth="1"/>
    <col min="10306" max="10306" width="2.296875" style="4" customWidth="1"/>
    <col min="10307" max="10307" width="1.5" style="4" customWidth="1"/>
    <col min="10308" max="10308" width="0.796875" style="4" customWidth="1"/>
    <col min="10309" max="10309" width="0.59765625" style="4" customWidth="1"/>
    <col min="10310" max="10310" width="5.3984375" style="4" customWidth="1"/>
    <col min="10311" max="10311" width="2.09765625" style="4" customWidth="1"/>
    <col min="10312" max="10312" width="0.19921875" style="4" customWidth="1"/>
    <col min="10313" max="10313" width="0.5" style="4" customWidth="1"/>
    <col min="10314" max="10314" width="2.59765625" style="4" customWidth="1"/>
    <col min="10315" max="10315" width="3" style="4" customWidth="1"/>
    <col min="10316" max="10316" width="3.796875" style="4" customWidth="1"/>
    <col min="10317" max="10317" width="0.296875" style="4" customWidth="1"/>
    <col min="10318" max="10318" width="2" style="4" customWidth="1"/>
    <col min="10319" max="10319" width="0.296875" style="4" customWidth="1"/>
    <col min="10320" max="10496" width="8.796875" style="4"/>
    <col min="10497" max="10498" width="0.5" style="4" customWidth="1"/>
    <col min="10499" max="10500" width="0.19921875" style="4" customWidth="1"/>
    <col min="10501" max="10501" width="0.296875" style="4" customWidth="1"/>
    <col min="10502" max="10502" width="1.19921875" style="4" customWidth="1"/>
    <col min="10503" max="10503" width="7.3984375" style="4" customWidth="1"/>
    <col min="10504" max="10504" width="0.19921875" style="4" customWidth="1"/>
    <col min="10505" max="10505" width="5.69921875" style="4" customWidth="1"/>
    <col min="10506" max="10506" width="7.3984375" style="4" customWidth="1"/>
    <col min="10507" max="10507" width="0.796875" style="4" customWidth="1"/>
    <col min="10508" max="10508" width="1.796875" style="4" customWidth="1"/>
    <col min="10509" max="10510" width="2.59765625" style="4" customWidth="1"/>
    <col min="10511" max="10511" width="0.296875" style="4" customWidth="1"/>
    <col min="10512" max="10512" width="0.796875" style="4" customWidth="1"/>
    <col min="10513" max="10513" width="0.296875" style="4" customWidth="1"/>
    <col min="10514" max="10514" width="1.19921875" style="4" customWidth="1"/>
    <col min="10515" max="10515" width="1.5" style="4" customWidth="1"/>
    <col min="10516" max="10516" width="0.19921875" style="4" customWidth="1"/>
    <col min="10517" max="10517" width="0.8984375" style="4" customWidth="1"/>
    <col min="10518" max="10518" width="2.59765625" style="4" customWidth="1"/>
    <col min="10519" max="10519" width="1.19921875" style="4" customWidth="1"/>
    <col min="10520" max="10520" width="0.19921875" style="4" customWidth="1"/>
    <col min="10521" max="10521" width="1.19921875" style="4" customWidth="1"/>
    <col min="10522" max="10523" width="2.59765625" style="4" customWidth="1"/>
    <col min="10524" max="10524" width="2" style="4" customWidth="1"/>
    <col min="10525" max="10525" width="0.19921875" style="4" customWidth="1"/>
    <col min="10526" max="10526" width="0.5" style="4" customWidth="1"/>
    <col min="10527" max="10528" width="0.19921875" style="4" customWidth="1"/>
    <col min="10529" max="10529" width="2.296875" style="4" customWidth="1"/>
    <col min="10530" max="10530" width="2.59765625" style="4" customWidth="1"/>
    <col min="10531" max="10531" width="1.09765625" style="4" customWidth="1"/>
    <col min="10532" max="10532" width="0.296875" style="4" customWidth="1"/>
    <col min="10533" max="10533" width="1.19921875" style="4" customWidth="1"/>
    <col min="10534" max="10534" width="0.59765625" style="4" customWidth="1"/>
    <col min="10535" max="10535" width="2" style="4" customWidth="1"/>
    <col min="10536" max="10536" width="1.09765625" style="4" customWidth="1"/>
    <col min="10537" max="10537" width="1.5" style="4" customWidth="1"/>
    <col min="10538" max="10538" width="1.09765625" style="4" customWidth="1"/>
    <col min="10539" max="10539" width="1.5" style="4" customWidth="1"/>
    <col min="10540" max="10540" width="2.59765625" style="4" customWidth="1"/>
    <col min="10541" max="10541" width="1.3984375" style="4" customWidth="1"/>
    <col min="10542" max="10542" width="1.19921875" style="4" customWidth="1"/>
    <col min="10543" max="10544" width="2.59765625" style="4" customWidth="1"/>
    <col min="10545" max="10545" width="1.69921875" style="4" customWidth="1"/>
    <col min="10546" max="10547" width="0.8984375" style="4" customWidth="1"/>
    <col min="10548" max="10548" width="0.59765625" style="4" customWidth="1"/>
    <col min="10549" max="10549" width="1.09765625" style="4" customWidth="1"/>
    <col min="10550" max="10550" width="1.19921875" style="4" customWidth="1"/>
    <col min="10551" max="10551" width="1.3984375" style="4" customWidth="1"/>
    <col min="10552" max="10552" width="2.59765625" style="4" customWidth="1"/>
    <col min="10553" max="10553" width="1.09765625" style="4" customWidth="1"/>
    <col min="10554" max="10554" width="0.19921875" style="4" customWidth="1"/>
    <col min="10555" max="10555" width="0.296875" style="4" customWidth="1"/>
    <col min="10556" max="10556" width="1.09765625" style="4" customWidth="1"/>
    <col min="10557" max="10557" width="1.19921875" style="4" customWidth="1"/>
    <col min="10558" max="10558" width="0.296875" style="4" customWidth="1"/>
    <col min="10559" max="10559" width="4.5" style="4" customWidth="1"/>
    <col min="10560" max="10560" width="1.19921875" style="4" customWidth="1"/>
    <col min="10561" max="10561" width="1.09765625" style="4" customWidth="1"/>
    <col min="10562" max="10562" width="2.296875" style="4" customWidth="1"/>
    <col min="10563" max="10563" width="1.5" style="4" customWidth="1"/>
    <col min="10564" max="10564" width="0.796875" style="4" customWidth="1"/>
    <col min="10565" max="10565" width="0.59765625" style="4" customWidth="1"/>
    <col min="10566" max="10566" width="5.3984375" style="4" customWidth="1"/>
    <col min="10567" max="10567" width="2.09765625" style="4" customWidth="1"/>
    <col min="10568" max="10568" width="0.19921875" style="4" customWidth="1"/>
    <col min="10569" max="10569" width="0.5" style="4" customWidth="1"/>
    <col min="10570" max="10570" width="2.59765625" style="4" customWidth="1"/>
    <col min="10571" max="10571" width="3" style="4" customWidth="1"/>
    <col min="10572" max="10572" width="3.796875" style="4" customWidth="1"/>
    <col min="10573" max="10573" width="0.296875" style="4" customWidth="1"/>
    <col min="10574" max="10574" width="2" style="4" customWidth="1"/>
    <col min="10575" max="10575" width="0.296875" style="4" customWidth="1"/>
    <col min="10576" max="10752" width="8.796875" style="4"/>
    <col min="10753" max="10754" width="0.5" style="4" customWidth="1"/>
    <col min="10755" max="10756" width="0.19921875" style="4" customWidth="1"/>
    <col min="10757" max="10757" width="0.296875" style="4" customWidth="1"/>
    <col min="10758" max="10758" width="1.19921875" style="4" customWidth="1"/>
    <col min="10759" max="10759" width="7.3984375" style="4" customWidth="1"/>
    <col min="10760" max="10760" width="0.19921875" style="4" customWidth="1"/>
    <col min="10761" max="10761" width="5.69921875" style="4" customWidth="1"/>
    <col min="10762" max="10762" width="7.3984375" style="4" customWidth="1"/>
    <col min="10763" max="10763" width="0.796875" style="4" customWidth="1"/>
    <col min="10764" max="10764" width="1.796875" style="4" customWidth="1"/>
    <col min="10765" max="10766" width="2.59765625" style="4" customWidth="1"/>
    <col min="10767" max="10767" width="0.296875" style="4" customWidth="1"/>
    <col min="10768" max="10768" width="0.796875" style="4" customWidth="1"/>
    <col min="10769" max="10769" width="0.296875" style="4" customWidth="1"/>
    <col min="10770" max="10770" width="1.19921875" style="4" customWidth="1"/>
    <col min="10771" max="10771" width="1.5" style="4" customWidth="1"/>
    <col min="10772" max="10772" width="0.19921875" style="4" customWidth="1"/>
    <col min="10773" max="10773" width="0.8984375" style="4" customWidth="1"/>
    <col min="10774" max="10774" width="2.59765625" style="4" customWidth="1"/>
    <col min="10775" max="10775" width="1.19921875" style="4" customWidth="1"/>
    <col min="10776" max="10776" width="0.19921875" style="4" customWidth="1"/>
    <col min="10777" max="10777" width="1.19921875" style="4" customWidth="1"/>
    <col min="10778" max="10779" width="2.59765625" style="4" customWidth="1"/>
    <col min="10780" max="10780" width="2" style="4" customWidth="1"/>
    <col min="10781" max="10781" width="0.19921875" style="4" customWidth="1"/>
    <col min="10782" max="10782" width="0.5" style="4" customWidth="1"/>
    <col min="10783" max="10784" width="0.19921875" style="4" customWidth="1"/>
    <col min="10785" max="10785" width="2.296875" style="4" customWidth="1"/>
    <col min="10786" max="10786" width="2.59765625" style="4" customWidth="1"/>
    <col min="10787" max="10787" width="1.09765625" style="4" customWidth="1"/>
    <col min="10788" max="10788" width="0.296875" style="4" customWidth="1"/>
    <col min="10789" max="10789" width="1.19921875" style="4" customWidth="1"/>
    <col min="10790" max="10790" width="0.59765625" style="4" customWidth="1"/>
    <col min="10791" max="10791" width="2" style="4" customWidth="1"/>
    <col min="10792" max="10792" width="1.09765625" style="4" customWidth="1"/>
    <col min="10793" max="10793" width="1.5" style="4" customWidth="1"/>
    <col min="10794" max="10794" width="1.09765625" style="4" customWidth="1"/>
    <col min="10795" max="10795" width="1.5" style="4" customWidth="1"/>
    <col min="10796" max="10796" width="2.59765625" style="4" customWidth="1"/>
    <col min="10797" max="10797" width="1.3984375" style="4" customWidth="1"/>
    <col min="10798" max="10798" width="1.19921875" style="4" customWidth="1"/>
    <col min="10799" max="10800" width="2.59765625" style="4" customWidth="1"/>
    <col min="10801" max="10801" width="1.69921875" style="4" customWidth="1"/>
    <col min="10802" max="10803" width="0.8984375" style="4" customWidth="1"/>
    <col min="10804" max="10804" width="0.59765625" style="4" customWidth="1"/>
    <col min="10805" max="10805" width="1.09765625" style="4" customWidth="1"/>
    <col min="10806" max="10806" width="1.19921875" style="4" customWidth="1"/>
    <col min="10807" max="10807" width="1.3984375" style="4" customWidth="1"/>
    <col min="10808" max="10808" width="2.59765625" style="4" customWidth="1"/>
    <col min="10809" max="10809" width="1.09765625" style="4" customWidth="1"/>
    <col min="10810" max="10810" width="0.19921875" style="4" customWidth="1"/>
    <col min="10811" max="10811" width="0.296875" style="4" customWidth="1"/>
    <col min="10812" max="10812" width="1.09765625" style="4" customWidth="1"/>
    <col min="10813" max="10813" width="1.19921875" style="4" customWidth="1"/>
    <col min="10814" max="10814" width="0.296875" style="4" customWidth="1"/>
    <col min="10815" max="10815" width="4.5" style="4" customWidth="1"/>
    <col min="10816" max="10816" width="1.19921875" style="4" customWidth="1"/>
    <col min="10817" max="10817" width="1.09765625" style="4" customWidth="1"/>
    <col min="10818" max="10818" width="2.296875" style="4" customWidth="1"/>
    <col min="10819" max="10819" width="1.5" style="4" customWidth="1"/>
    <col min="10820" max="10820" width="0.796875" style="4" customWidth="1"/>
    <col min="10821" max="10821" width="0.59765625" style="4" customWidth="1"/>
    <col min="10822" max="10822" width="5.3984375" style="4" customWidth="1"/>
    <col min="10823" max="10823" width="2.09765625" style="4" customWidth="1"/>
    <col min="10824" max="10824" width="0.19921875" style="4" customWidth="1"/>
    <col min="10825" max="10825" width="0.5" style="4" customWidth="1"/>
    <col min="10826" max="10826" width="2.59765625" style="4" customWidth="1"/>
    <col min="10827" max="10827" width="3" style="4" customWidth="1"/>
    <col min="10828" max="10828" width="3.796875" style="4" customWidth="1"/>
    <col min="10829" max="10829" width="0.296875" style="4" customWidth="1"/>
    <col min="10830" max="10830" width="2" style="4" customWidth="1"/>
    <col min="10831" max="10831" width="0.296875" style="4" customWidth="1"/>
    <col min="10832" max="11008" width="8.796875" style="4"/>
    <col min="11009" max="11010" width="0.5" style="4" customWidth="1"/>
    <col min="11011" max="11012" width="0.19921875" style="4" customWidth="1"/>
    <col min="11013" max="11013" width="0.296875" style="4" customWidth="1"/>
    <col min="11014" max="11014" width="1.19921875" style="4" customWidth="1"/>
    <col min="11015" max="11015" width="7.3984375" style="4" customWidth="1"/>
    <col min="11016" max="11016" width="0.19921875" style="4" customWidth="1"/>
    <col min="11017" max="11017" width="5.69921875" style="4" customWidth="1"/>
    <col min="11018" max="11018" width="7.3984375" style="4" customWidth="1"/>
    <col min="11019" max="11019" width="0.796875" style="4" customWidth="1"/>
    <col min="11020" max="11020" width="1.796875" style="4" customWidth="1"/>
    <col min="11021" max="11022" width="2.59765625" style="4" customWidth="1"/>
    <col min="11023" max="11023" width="0.296875" style="4" customWidth="1"/>
    <col min="11024" max="11024" width="0.796875" style="4" customWidth="1"/>
    <col min="11025" max="11025" width="0.296875" style="4" customWidth="1"/>
    <col min="11026" max="11026" width="1.19921875" style="4" customWidth="1"/>
    <col min="11027" max="11027" width="1.5" style="4" customWidth="1"/>
    <col min="11028" max="11028" width="0.19921875" style="4" customWidth="1"/>
    <col min="11029" max="11029" width="0.8984375" style="4" customWidth="1"/>
    <col min="11030" max="11030" width="2.59765625" style="4" customWidth="1"/>
    <col min="11031" max="11031" width="1.19921875" style="4" customWidth="1"/>
    <col min="11032" max="11032" width="0.19921875" style="4" customWidth="1"/>
    <col min="11033" max="11033" width="1.19921875" style="4" customWidth="1"/>
    <col min="11034" max="11035" width="2.59765625" style="4" customWidth="1"/>
    <col min="11036" max="11036" width="2" style="4" customWidth="1"/>
    <col min="11037" max="11037" width="0.19921875" style="4" customWidth="1"/>
    <col min="11038" max="11038" width="0.5" style="4" customWidth="1"/>
    <col min="11039" max="11040" width="0.19921875" style="4" customWidth="1"/>
    <col min="11041" max="11041" width="2.296875" style="4" customWidth="1"/>
    <col min="11042" max="11042" width="2.59765625" style="4" customWidth="1"/>
    <col min="11043" max="11043" width="1.09765625" style="4" customWidth="1"/>
    <col min="11044" max="11044" width="0.296875" style="4" customWidth="1"/>
    <col min="11045" max="11045" width="1.19921875" style="4" customWidth="1"/>
    <col min="11046" max="11046" width="0.59765625" style="4" customWidth="1"/>
    <col min="11047" max="11047" width="2" style="4" customWidth="1"/>
    <col min="11048" max="11048" width="1.09765625" style="4" customWidth="1"/>
    <col min="11049" max="11049" width="1.5" style="4" customWidth="1"/>
    <col min="11050" max="11050" width="1.09765625" style="4" customWidth="1"/>
    <col min="11051" max="11051" width="1.5" style="4" customWidth="1"/>
    <col min="11052" max="11052" width="2.59765625" style="4" customWidth="1"/>
    <col min="11053" max="11053" width="1.3984375" style="4" customWidth="1"/>
    <col min="11054" max="11054" width="1.19921875" style="4" customWidth="1"/>
    <col min="11055" max="11056" width="2.59765625" style="4" customWidth="1"/>
    <col min="11057" max="11057" width="1.69921875" style="4" customWidth="1"/>
    <col min="11058" max="11059" width="0.8984375" style="4" customWidth="1"/>
    <col min="11060" max="11060" width="0.59765625" style="4" customWidth="1"/>
    <col min="11061" max="11061" width="1.09765625" style="4" customWidth="1"/>
    <col min="11062" max="11062" width="1.19921875" style="4" customWidth="1"/>
    <col min="11063" max="11063" width="1.3984375" style="4" customWidth="1"/>
    <col min="11064" max="11064" width="2.59765625" style="4" customWidth="1"/>
    <col min="11065" max="11065" width="1.09765625" style="4" customWidth="1"/>
    <col min="11066" max="11066" width="0.19921875" style="4" customWidth="1"/>
    <col min="11067" max="11067" width="0.296875" style="4" customWidth="1"/>
    <col min="11068" max="11068" width="1.09765625" style="4" customWidth="1"/>
    <col min="11069" max="11069" width="1.19921875" style="4" customWidth="1"/>
    <col min="11070" max="11070" width="0.296875" style="4" customWidth="1"/>
    <col min="11071" max="11071" width="4.5" style="4" customWidth="1"/>
    <col min="11072" max="11072" width="1.19921875" style="4" customWidth="1"/>
    <col min="11073" max="11073" width="1.09765625" style="4" customWidth="1"/>
    <col min="11074" max="11074" width="2.296875" style="4" customWidth="1"/>
    <col min="11075" max="11075" width="1.5" style="4" customWidth="1"/>
    <col min="11076" max="11076" width="0.796875" style="4" customWidth="1"/>
    <col min="11077" max="11077" width="0.59765625" style="4" customWidth="1"/>
    <col min="11078" max="11078" width="5.3984375" style="4" customWidth="1"/>
    <col min="11079" max="11079" width="2.09765625" style="4" customWidth="1"/>
    <col min="11080" max="11080" width="0.19921875" style="4" customWidth="1"/>
    <col min="11081" max="11081" width="0.5" style="4" customWidth="1"/>
    <col min="11082" max="11082" width="2.59765625" style="4" customWidth="1"/>
    <col min="11083" max="11083" width="3" style="4" customWidth="1"/>
    <col min="11084" max="11084" width="3.796875" style="4" customWidth="1"/>
    <col min="11085" max="11085" width="0.296875" style="4" customWidth="1"/>
    <col min="11086" max="11086" width="2" style="4" customWidth="1"/>
    <col min="11087" max="11087" width="0.296875" style="4" customWidth="1"/>
    <col min="11088" max="11264" width="8.796875" style="4"/>
    <col min="11265" max="11266" width="0.5" style="4" customWidth="1"/>
    <col min="11267" max="11268" width="0.19921875" style="4" customWidth="1"/>
    <col min="11269" max="11269" width="0.296875" style="4" customWidth="1"/>
    <col min="11270" max="11270" width="1.19921875" style="4" customWidth="1"/>
    <col min="11271" max="11271" width="7.3984375" style="4" customWidth="1"/>
    <col min="11272" max="11272" width="0.19921875" style="4" customWidth="1"/>
    <col min="11273" max="11273" width="5.69921875" style="4" customWidth="1"/>
    <col min="11274" max="11274" width="7.3984375" style="4" customWidth="1"/>
    <col min="11275" max="11275" width="0.796875" style="4" customWidth="1"/>
    <col min="11276" max="11276" width="1.796875" style="4" customWidth="1"/>
    <col min="11277" max="11278" width="2.59765625" style="4" customWidth="1"/>
    <col min="11279" max="11279" width="0.296875" style="4" customWidth="1"/>
    <col min="11280" max="11280" width="0.796875" style="4" customWidth="1"/>
    <col min="11281" max="11281" width="0.296875" style="4" customWidth="1"/>
    <col min="11282" max="11282" width="1.19921875" style="4" customWidth="1"/>
    <col min="11283" max="11283" width="1.5" style="4" customWidth="1"/>
    <col min="11284" max="11284" width="0.19921875" style="4" customWidth="1"/>
    <col min="11285" max="11285" width="0.8984375" style="4" customWidth="1"/>
    <col min="11286" max="11286" width="2.59765625" style="4" customWidth="1"/>
    <col min="11287" max="11287" width="1.19921875" style="4" customWidth="1"/>
    <col min="11288" max="11288" width="0.19921875" style="4" customWidth="1"/>
    <col min="11289" max="11289" width="1.19921875" style="4" customWidth="1"/>
    <col min="11290" max="11291" width="2.59765625" style="4" customWidth="1"/>
    <col min="11292" max="11292" width="2" style="4" customWidth="1"/>
    <col min="11293" max="11293" width="0.19921875" style="4" customWidth="1"/>
    <col min="11294" max="11294" width="0.5" style="4" customWidth="1"/>
    <col min="11295" max="11296" width="0.19921875" style="4" customWidth="1"/>
    <col min="11297" max="11297" width="2.296875" style="4" customWidth="1"/>
    <col min="11298" max="11298" width="2.59765625" style="4" customWidth="1"/>
    <col min="11299" max="11299" width="1.09765625" style="4" customWidth="1"/>
    <col min="11300" max="11300" width="0.296875" style="4" customWidth="1"/>
    <col min="11301" max="11301" width="1.19921875" style="4" customWidth="1"/>
    <col min="11302" max="11302" width="0.59765625" style="4" customWidth="1"/>
    <col min="11303" max="11303" width="2" style="4" customWidth="1"/>
    <col min="11304" max="11304" width="1.09765625" style="4" customWidth="1"/>
    <col min="11305" max="11305" width="1.5" style="4" customWidth="1"/>
    <col min="11306" max="11306" width="1.09765625" style="4" customWidth="1"/>
    <col min="11307" max="11307" width="1.5" style="4" customWidth="1"/>
    <col min="11308" max="11308" width="2.59765625" style="4" customWidth="1"/>
    <col min="11309" max="11309" width="1.3984375" style="4" customWidth="1"/>
    <col min="11310" max="11310" width="1.19921875" style="4" customWidth="1"/>
    <col min="11311" max="11312" width="2.59765625" style="4" customWidth="1"/>
    <col min="11313" max="11313" width="1.69921875" style="4" customWidth="1"/>
    <col min="11314" max="11315" width="0.8984375" style="4" customWidth="1"/>
    <col min="11316" max="11316" width="0.59765625" style="4" customWidth="1"/>
    <col min="11317" max="11317" width="1.09765625" style="4" customWidth="1"/>
    <col min="11318" max="11318" width="1.19921875" style="4" customWidth="1"/>
    <col min="11319" max="11319" width="1.3984375" style="4" customWidth="1"/>
    <col min="11320" max="11320" width="2.59765625" style="4" customWidth="1"/>
    <col min="11321" max="11321" width="1.09765625" style="4" customWidth="1"/>
    <col min="11322" max="11322" width="0.19921875" style="4" customWidth="1"/>
    <col min="11323" max="11323" width="0.296875" style="4" customWidth="1"/>
    <col min="11324" max="11324" width="1.09765625" style="4" customWidth="1"/>
    <col min="11325" max="11325" width="1.19921875" style="4" customWidth="1"/>
    <col min="11326" max="11326" width="0.296875" style="4" customWidth="1"/>
    <col min="11327" max="11327" width="4.5" style="4" customWidth="1"/>
    <col min="11328" max="11328" width="1.19921875" style="4" customWidth="1"/>
    <col min="11329" max="11329" width="1.09765625" style="4" customWidth="1"/>
    <col min="11330" max="11330" width="2.296875" style="4" customWidth="1"/>
    <col min="11331" max="11331" width="1.5" style="4" customWidth="1"/>
    <col min="11332" max="11332" width="0.796875" style="4" customWidth="1"/>
    <col min="11333" max="11333" width="0.59765625" style="4" customWidth="1"/>
    <col min="11334" max="11334" width="5.3984375" style="4" customWidth="1"/>
    <col min="11335" max="11335" width="2.09765625" style="4" customWidth="1"/>
    <col min="11336" max="11336" width="0.19921875" style="4" customWidth="1"/>
    <col min="11337" max="11337" width="0.5" style="4" customWidth="1"/>
    <col min="11338" max="11338" width="2.59765625" style="4" customWidth="1"/>
    <col min="11339" max="11339" width="3" style="4" customWidth="1"/>
    <col min="11340" max="11340" width="3.796875" style="4" customWidth="1"/>
    <col min="11341" max="11341" width="0.296875" style="4" customWidth="1"/>
    <col min="11342" max="11342" width="2" style="4" customWidth="1"/>
    <col min="11343" max="11343" width="0.296875" style="4" customWidth="1"/>
    <col min="11344" max="11520" width="8.796875" style="4"/>
    <col min="11521" max="11522" width="0.5" style="4" customWidth="1"/>
    <col min="11523" max="11524" width="0.19921875" style="4" customWidth="1"/>
    <col min="11525" max="11525" width="0.296875" style="4" customWidth="1"/>
    <col min="11526" max="11526" width="1.19921875" style="4" customWidth="1"/>
    <col min="11527" max="11527" width="7.3984375" style="4" customWidth="1"/>
    <col min="11528" max="11528" width="0.19921875" style="4" customWidth="1"/>
    <col min="11529" max="11529" width="5.69921875" style="4" customWidth="1"/>
    <col min="11530" max="11530" width="7.3984375" style="4" customWidth="1"/>
    <col min="11531" max="11531" width="0.796875" style="4" customWidth="1"/>
    <col min="11532" max="11532" width="1.796875" style="4" customWidth="1"/>
    <col min="11533" max="11534" width="2.59765625" style="4" customWidth="1"/>
    <col min="11535" max="11535" width="0.296875" style="4" customWidth="1"/>
    <col min="11536" max="11536" width="0.796875" style="4" customWidth="1"/>
    <col min="11537" max="11537" width="0.296875" style="4" customWidth="1"/>
    <col min="11538" max="11538" width="1.19921875" style="4" customWidth="1"/>
    <col min="11539" max="11539" width="1.5" style="4" customWidth="1"/>
    <col min="11540" max="11540" width="0.19921875" style="4" customWidth="1"/>
    <col min="11541" max="11541" width="0.8984375" style="4" customWidth="1"/>
    <col min="11542" max="11542" width="2.59765625" style="4" customWidth="1"/>
    <col min="11543" max="11543" width="1.19921875" style="4" customWidth="1"/>
    <col min="11544" max="11544" width="0.19921875" style="4" customWidth="1"/>
    <col min="11545" max="11545" width="1.19921875" style="4" customWidth="1"/>
    <col min="11546" max="11547" width="2.59765625" style="4" customWidth="1"/>
    <col min="11548" max="11548" width="2" style="4" customWidth="1"/>
    <col min="11549" max="11549" width="0.19921875" style="4" customWidth="1"/>
    <col min="11550" max="11550" width="0.5" style="4" customWidth="1"/>
    <col min="11551" max="11552" width="0.19921875" style="4" customWidth="1"/>
    <col min="11553" max="11553" width="2.296875" style="4" customWidth="1"/>
    <col min="11554" max="11554" width="2.59765625" style="4" customWidth="1"/>
    <col min="11555" max="11555" width="1.09765625" style="4" customWidth="1"/>
    <col min="11556" max="11556" width="0.296875" style="4" customWidth="1"/>
    <col min="11557" max="11557" width="1.19921875" style="4" customWidth="1"/>
    <col min="11558" max="11558" width="0.59765625" style="4" customWidth="1"/>
    <col min="11559" max="11559" width="2" style="4" customWidth="1"/>
    <col min="11560" max="11560" width="1.09765625" style="4" customWidth="1"/>
    <col min="11561" max="11561" width="1.5" style="4" customWidth="1"/>
    <col min="11562" max="11562" width="1.09765625" style="4" customWidth="1"/>
    <col min="11563" max="11563" width="1.5" style="4" customWidth="1"/>
    <col min="11564" max="11564" width="2.59765625" style="4" customWidth="1"/>
    <col min="11565" max="11565" width="1.3984375" style="4" customWidth="1"/>
    <col min="11566" max="11566" width="1.19921875" style="4" customWidth="1"/>
    <col min="11567" max="11568" width="2.59765625" style="4" customWidth="1"/>
    <col min="11569" max="11569" width="1.69921875" style="4" customWidth="1"/>
    <col min="11570" max="11571" width="0.8984375" style="4" customWidth="1"/>
    <col min="11572" max="11572" width="0.59765625" style="4" customWidth="1"/>
    <col min="11573" max="11573" width="1.09765625" style="4" customWidth="1"/>
    <col min="11574" max="11574" width="1.19921875" style="4" customWidth="1"/>
    <col min="11575" max="11575" width="1.3984375" style="4" customWidth="1"/>
    <col min="11576" max="11576" width="2.59765625" style="4" customWidth="1"/>
    <col min="11577" max="11577" width="1.09765625" style="4" customWidth="1"/>
    <col min="11578" max="11578" width="0.19921875" style="4" customWidth="1"/>
    <col min="11579" max="11579" width="0.296875" style="4" customWidth="1"/>
    <col min="11580" max="11580" width="1.09765625" style="4" customWidth="1"/>
    <col min="11581" max="11581" width="1.19921875" style="4" customWidth="1"/>
    <col min="11582" max="11582" width="0.296875" style="4" customWidth="1"/>
    <col min="11583" max="11583" width="4.5" style="4" customWidth="1"/>
    <col min="11584" max="11584" width="1.19921875" style="4" customWidth="1"/>
    <col min="11585" max="11585" width="1.09765625" style="4" customWidth="1"/>
    <col min="11586" max="11586" width="2.296875" style="4" customWidth="1"/>
    <col min="11587" max="11587" width="1.5" style="4" customWidth="1"/>
    <col min="11588" max="11588" width="0.796875" style="4" customWidth="1"/>
    <col min="11589" max="11589" width="0.59765625" style="4" customWidth="1"/>
    <col min="11590" max="11590" width="5.3984375" style="4" customWidth="1"/>
    <col min="11591" max="11591" width="2.09765625" style="4" customWidth="1"/>
    <col min="11592" max="11592" width="0.19921875" style="4" customWidth="1"/>
    <col min="11593" max="11593" width="0.5" style="4" customWidth="1"/>
    <col min="11594" max="11594" width="2.59765625" style="4" customWidth="1"/>
    <col min="11595" max="11595" width="3" style="4" customWidth="1"/>
    <col min="11596" max="11596" width="3.796875" style="4" customWidth="1"/>
    <col min="11597" max="11597" width="0.296875" style="4" customWidth="1"/>
    <col min="11598" max="11598" width="2" style="4" customWidth="1"/>
    <col min="11599" max="11599" width="0.296875" style="4" customWidth="1"/>
    <col min="11600" max="11776" width="8.796875" style="4"/>
    <col min="11777" max="11778" width="0.5" style="4" customWidth="1"/>
    <col min="11779" max="11780" width="0.19921875" style="4" customWidth="1"/>
    <col min="11781" max="11781" width="0.296875" style="4" customWidth="1"/>
    <col min="11782" max="11782" width="1.19921875" style="4" customWidth="1"/>
    <col min="11783" max="11783" width="7.3984375" style="4" customWidth="1"/>
    <col min="11784" max="11784" width="0.19921875" style="4" customWidth="1"/>
    <col min="11785" max="11785" width="5.69921875" style="4" customWidth="1"/>
    <col min="11786" max="11786" width="7.3984375" style="4" customWidth="1"/>
    <col min="11787" max="11787" width="0.796875" style="4" customWidth="1"/>
    <col min="11788" max="11788" width="1.796875" style="4" customWidth="1"/>
    <col min="11789" max="11790" width="2.59765625" style="4" customWidth="1"/>
    <col min="11791" max="11791" width="0.296875" style="4" customWidth="1"/>
    <col min="11792" max="11792" width="0.796875" style="4" customWidth="1"/>
    <col min="11793" max="11793" width="0.296875" style="4" customWidth="1"/>
    <col min="11794" max="11794" width="1.19921875" style="4" customWidth="1"/>
    <col min="11795" max="11795" width="1.5" style="4" customWidth="1"/>
    <col min="11796" max="11796" width="0.19921875" style="4" customWidth="1"/>
    <col min="11797" max="11797" width="0.8984375" style="4" customWidth="1"/>
    <col min="11798" max="11798" width="2.59765625" style="4" customWidth="1"/>
    <col min="11799" max="11799" width="1.19921875" style="4" customWidth="1"/>
    <col min="11800" max="11800" width="0.19921875" style="4" customWidth="1"/>
    <col min="11801" max="11801" width="1.19921875" style="4" customWidth="1"/>
    <col min="11802" max="11803" width="2.59765625" style="4" customWidth="1"/>
    <col min="11804" max="11804" width="2" style="4" customWidth="1"/>
    <col min="11805" max="11805" width="0.19921875" style="4" customWidth="1"/>
    <col min="11806" max="11806" width="0.5" style="4" customWidth="1"/>
    <col min="11807" max="11808" width="0.19921875" style="4" customWidth="1"/>
    <col min="11809" max="11809" width="2.296875" style="4" customWidth="1"/>
    <col min="11810" max="11810" width="2.59765625" style="4" customWidth="1"/>
    <col min="11811" max="11811" width="1.09765625" style="4" customWidth="1"/>
    <col min="11812" max="11812" width="0.296875" style="4" customWidth="1"/>
    <col min="11813" max="11813" width="1.19921875" style="4" customWidth="1"/>
    <col min="11814" max="11814" width="0.59765625" style="4" customWidth="1"/>
    <col min="11815" max="11815" width="2" style="4" customWidth="1"/>
    <col min="11816" max="11816" width="1.09765625" style="4" customWidth="1"/>
    <col min="11817" max="11817" width="1.5" style="4" customWidth="1"/>
    <col min="11818" max="11818" width="1.09765625" style="4" customWidth="1"/>
    <col min="11819" max="11819" width="1.5" style="4" customWidth="1"/>
    <col min="11820" max="11820" width="2.59765625" style="4" customWidth="1"/>
    <col min="11821" max="11821" width="1.3984375" style="4" customWidth="1"/>
    <col min="11822" max="11822" width="1.19921875" style="4" customWidth="1"/>
    <col min="11823" max="11824" width="2.59765625" style="4" customWidth="1"/>
    <col min="11825" max="11825" width="1.69921875" style="4" customWidth="1"/>
    <col min="11826" max="11827" width="0.8984375" style="4" customWidth="1"/>
    <col min="11828" max="11828" width="0.59765625" style="4" customWidth="1"/>
    <col min="11829" max="11829" width="1.09765625" style="4" customWidth="1"/>
    <col min="11830" max="11830" width="1.19921875" style="4" customWidth="1"/>
    <col min="11831" max="11831" width="1.3984375" style="4" customWidth="1"/>
    <col min="11832" max="11832" width="2.59765625" style="4" customWidth="1"/>
    <col min="11833" max="11833" width="1.09765625" style="4" customWidth="1"/>
    <col min="11834" max="11834" width="0.19921875" style="4" customWidth="1"/>
    <col min="11835" max="11835" width="0.296875" style="4" customWidth="1"/>
    <col min="11836" max="11836" width="1.09765625" style="4" customWidth="1"/>
    <col min="11837" max="11837" width="1.19921875" style="4" customWidth="1"/>
    <col min="11838" max="11838" width="0.296875" style="4" customWidth="1"/>
    <col min="11839" max="11839" width="4.5" style="4" customWidth="1"/>
    <col min="11840" max="11840" width="1.19921875" style="4" customWidth="1"/>
    <col min="11841" max="11841" width="1.09765625" style="4" customWidth="1"/>
    <col min="11842" max="11842" width="2.296875" style="4" customWidth="1"/>
    <col min="11843" max="11843" width="1.5" style="4" customWidth="1"/>
    <col min="11844" max="11844" width="0.796875" style="4" customWidth="1"/>
    <col min="11845" max="11845" width="0.59765625" style="4" customWidth="1"/>
    <col min="11846" max="11846" width="5.3984375" style="4" customWidth="1"/>
    <col min="11847" max="11847" width="2.09765625" style="4" customWidth="1"/>
    <col min="11848" max="11848" width="0.19921875" style="4" customWidth="1"/>
    <col min="11849" max="11849" width="0.5" style="4" customWidth="1"/>
    <col min="11850" max="11850" width="2.59765625" style="4" customWidth="1"/>
    <col min="11851" max="11851" width="3" style="4" customWidth="1"/>
    <col min="11852" max="11852" width="3.796875" style="4" customWidth="1"/>
    <col min="11853" max="11853" width="0.296875" style="4" customWidth="1"/>
    <col min="11854" max="11854" width="2" style="4" customWidth="1"/>
    <col min="11855" max="11855" width="0.296875" style="4" customWidth="1"/>
    <col min="11856" max="12032" width="8.796875" style="4"/>
    <col min="12033" max="12034" width="0.5" style="4" customWidth="1"/>
    <col min="12035" max="12036" width="0.19921875" style="4" customWidth="1"/>
    <col min="12037" max="12037" width="0.296875" style="4" customWidth="1"/>
    <col min="12038" max="12038" width="1.19921875" style="4" customWidth="1"/>
    <col min="12039" max="12039" width="7.3984375" style="4" customWidth="1"/>
    <col min="12040" max="12040" width="0.19921875" style="4" customWidth="1"/>
    <col min="12041" max="12041" width="5.69921875" style="4" customWidth="1"/>
    <col min="12042" max="12042" width="7.3984375" style="4" customWidth="1"/>
    <col min="12043" max="12043" width="0.796875" style="4" customWidth="1"/>
    <col min="12044" max="12044" width="1.796875" style="4" customWidth="1"/>
    <col min="12045" max="12046" width="2.59765625" style="4" customWidth="1"/>
    <col min="12047" max="12047" width="0.296875" style="4" customWidth="1"/>
    <col min="12048" max="12048" width="0.796875" style="4" customWidth="1"/>
    <col min="12049" max="12049" width="0.296875" style="4" customWidth="1"/>
    <col min="12050" max="12050" width="1.19921875" style="4" customWidth="1"/>
    <col min="12051" max="12051" width="1.5" style="4" customWidth="1"/>
    <col min="12052" max="12052" width="0.19921875" style="4" customWidth="1"/>
    <col min="12053" max="12053" width="0.8984375" style="4" customWidth="1"/>
    <col min="12054" max="12054" width="2.59765625" style="4" customWidth="1"/>
    <col min="12055" max="12055" width="1.19921875" style="4" customWidth="1"/>
    <col min="12056" max="12056" width="0.19921875" style="4" customWidth="1"/>
    <col min="12057" max="12057" width="1.19921875" style="4" customWidth="1"/>
    <col min="12058" max="12059" width="2.59765625" style="4" customWidth="1"/>
    <col min="12060" max="12060" width="2" style="4" customWidth="1"/>
    <col min="12061" max="12061" width="0.19921875" style="4" customWidth="1"/>
    <col min="12062" max="12062" width="0.5" style="4" customWidth="1"/>
    <col min="12063" max="12064" width="0.19921875" style="4" customWidth="1"/>
    <col min="12065" max="12065" width="2.296875" style="4" customWidth="1"/>
    <col min="12066" max="12066" width="2.59765625" style="4" customWidth="1"/>
    <col min="12067" max="12067" width="1.09765625" style="4" customWidth="1"/>
    <col min="12068" max="12068" width="0.296875" style="4" customWidth="1"/>
    <col min="12069" max="12069" width="1.19921875" style="4" customWidth="1"/>
    <col min="12070" max="12070" width="0.59765625" style="4" customWidth="1"/>
    <col min="12071" max="12071" width="2" style="4" customWidth="1"/>
    <col min="12072" max="12072" width="1.09765625" style="4" customWidth="1"/>
    <col min="12073" max="12073" width="1.5" style="4" customWidth="1"/>
    <col min="12074" max="12074" width="1.09765625" style="4" customWidth="1"/>
    <col min="12075" max="12075" width="1.5" style="4" customWidth="1"/>
    <col min="12076" max="12076" width="2.59765625" style="4" customWidth="1"/>
    <col min="12077" max="12077" width="1.3984375" style="4" customWidth="1"/>
    <col min="12078" max="12078" width="1.19921875" style="4" customWidth="1"/>
    <col min="12079" max="12080" width="2.59765625" style="4" customWidth="1"/>
    <col min="12081" max="12081" width="1.69921875" style="4" customWidth="1"/>
    <col min="12082" max="12083" width="0.8984375" style="4" customWidth="1"/>
    <col min="12084" max="12084" width="0.59765625" style="4" customWidth="1"/>
    <col min="12085" max="12085" width="1.09765625" style="4" customWidth="1"/>
    <col min="12086" max="12086" width="1.19921875" style="4" customWidth="1"/>
    <col min="12087" max="12087" width="1.3984375" style="4" customWidth="1"/>
    <col min="12088" max="12088" width="2.59765625" style="4" customWidth="1"/>
    <col min="12089" max="12089" width="1.09765625" style="4" customWidth="1"/>
    <col min="12090" max="12090" width="0.19921875" style="4" customWidth="1"/>
    <col min="12091" max="12091" width="0.296875" style="4" customWidth="1"/>
    <col min="12092" max="12092" width="1.09765625" style="4" customWidth="1"/>
    <col min="12093" max="12093" width="1.19921875" style="4" customWidth="1"/>
    <col min="12094" max="12094" width="0.296875" style="4" customWidth="1"/>
    <col min="12095" max="12095" width="4.5" style="4" customWidth="1"/>
    <col min="12096" max="12096" width="1.19921875" style="4" customWidth="1"/>
    <col min="12097" max="12097" width="1.09765625" style="4" customWidth="1"/>
    <col min="12098" max="12098" width="2.296875" style="4" customWidth="1"/>
    <col min="12099" max="12099" width="1.5" style="4" customWidth="1"/>
    <col min="12100" max="12100" width="0.796875" style="4" customWidth="1"/>
    <col min="12101" max="12101" width="0.59765625" style="4" customWidth="1"/>
    <col min="12102" max="12102" width="5.3984375" style="4" customWidth="1"/>
    <col min="12103" max="12103" width="2.09765625" style="4" customWidth="1"/>
    <col min="12104" max="12104" width="0.19921875" style="4" customWidth="1"/>
    <col min="12105" max="12105" width="0.5" style="4" customWidth="1"/>
    <col min="12106" max="12106" width="2.59765625" style="4" customWidth="1"/>
    <col min="12107" max="12107" width="3" style="4" customWidth="1"/>
    <col min="12108" max="12108" width="3.796875" style="4" customWidth="1"/>
    <col min="12109" max="12109" width="0.296875" style="4" customWidth="1"/>
    <col min="12110" max="12110" width="2" style="4" customWidth="1"/>
    <col min="12111" max="12111" width="0.296875" style="4" customWidth="1"/>
    <col min="12112" max="12288" width="8.796875" style="4"/>
    <col min="12289" max="12290" width="0.5" style="4" customWidth="1"/>
    <col min="12291" max="12292" width="0.19921875" style="4" customWidth="1"/>
    <col min="12293" max="12293" width="0.296875" style="4" customWidth="1"/>
    <col min="12294" max="12294" width="1.19921875" style="4" customWidth="1"/>
    <col min="12295" max="12295" width="7.3984375" style="4" customWidth="1"/>
    <col min="12296" max="12296" width="0.19921875" style="4" customWidth="1"/>
    <col min="12297" max="12297" width="5.69921875" style="4" customWidth="1"/>
    <col min="12298" max="12298" width="7.3984375" style="4" customWidth="1"/>
    <col min="12299" max="12299" width="0.796875" style="4" customWidth="1"/>
    <col min="12300" max="12300" width="1.796875" style="4" customWidth="1"/>
    <col min="12301" max="12302" width="2.59765625" style="4" customWidth="1"/>
    <col min="12303" max="12303" width="0.296875" style="4" customWidth="1"/>
    <col min="12304" max="12304" width="0.796875" style="4" customWidth="1"/>
    <col min="12305" max="12305" width="0.296875" style="4" customWidth="1"/>
    <col min="12306" max="12306" width="1.19921875" style="4" customWidth="1"/>
    <col min="12307" max="12307" width="1.5" style="4" customWidth="1"/>
    <col min="12308" max="12308" width="0.19921875" style="4" customWidth="1"/>
    <col min="12309" max="12309" width="0.8984375" style="4" customWidth="1"/>
    <col min="12310" max="12310" width="2.59765625" style="4" customWidth="1"/>
    <col min="12311" max="12311" width="1.19921875" style="4" customWidth="1"/>
    <col min="12312" max="12312" width="0.19921875" style="4" customWidth="1"/>
    <col min="12313" max="12313" width="1.19921875" style="4" customWidth="1"/>
    <col min="12314" max="12315" width="2.59765625" style="4" customWidth="1"/>
    <col min="12316" max="12316" width="2" style="4" customWidth="1"/>
    <col min="12317" max="12317" width="0.19921875" style="4" customWidth="1"/>
    <col min="12318" max="12318" width="0.5" style="4" customWidth="1"/>
    <col min="12319" max="12320" width="0.19921875" style="4" customWidth="1"/>
    <col min="12321" max="12321" width="2.296875" style="4" customWidth="1"/>
    <col min="12322" max="12322" width="2.59765625" style="4" customWidth="1"/>
    <col min="12323" max="12323" width="1.09765625" style="4" customWidth="1"/>
    <col min="12324" max="12324" width="0.296875" style="4" customWidth="1"/>
    <col min="12325" max="12325" width="1.19921875" style="4" customWidth="1"/>
    <col min="12326" max="12326" width="0.59765625" style="4" customWidth="1"/>
    <col min="12327" max="12327" width="2" style="4" customWidth="1"/>
    <col min="12328" max="12328" width="1.09765625" style="4" customWidth="1"/>
    <col min="12329" max="12329" width="1.5" style="4" customWidth="1"/>
    <col min="12330" max="12330" width="1.09765625" style="4" customWidth="1"/>
    <col min="12331" max="12331" width="1.5" style="4" customWidth="1"/>
    <col min="12332" max="12332" width="2.59765625" style="4" customWidth="1"/>
    <col min="12333" max="12333" width="1.3984375" style="4" customWidth="1"/>
    <col min="12334" max="12334" width="1.19921875" style="4" customWidth="1"/>
    <col min="12335" max="12336" width="2.59765625" style="4" customWidth="1"/>
    <col min="12337" max="12337" width="1.69921875" style="4" customWidth="1"/>
    <col min="12338" max="12339" width="0.8984375" style="4" customWidth="1"/>
    <col min="12340" max="12340" width="0.59765625" style="4" customWidth="1"/>
    <col min="12341" max="12341" width="1.09765625" style="4" customWidth="1"/>
    <col min="12342" max="12342" width="1.19921875" style="4" customWidth="1"/>
    <col min="12343" max="12343" width="1.3984375" style="4" customWidth="1"/>
    <col min="12344" max="12344" width="2.59765625" style="4" customWidth="1"/>
    <col min="12345" max="12345" width="1.09765625" style="4" customWidth="1"/>
    <col min="12346" max="12346" width="0.19921875" style="4" customWidth="1"/>
    <col min="12347" max="12347" width="0.296875" style="4" customWidth="1"/>
    <col min="12348" max="12348" width="1.09765625" style="4" customWidth="1"/>
    <col min="12349" max="12349" width="1.19921875" style="4" customWidth="1"/>
    <col min="12350" max="12350" width="0.296875" style="4" customWidth="1"/>
    <col min="12351" max="12351" width="4.5" style="4" customWidth="1"/>
    <col min="12352" max="12352" width="1.19921875" style="4" customWidth="1"/>
    <col min="12353" max="12353" width="1.09765625" style="4" customWidth="1"/>
    <col min="12354" max="12354" width="2.296875" style="4" customWidth="1"/>
    <col min="12355" max="12355" width="1.5" style="4" customWidth="1"/>
    <col min="12356" max="12356" width="0.796875" style="4" customWidth="1"/>
    <col min="12357" max="12357" width="0.59765625" style="4" customWidth="1"/>
    <col min="12358" max="12358" width="5.3984375" style="4" customWidth="1"/>
    <col min="12359" max="12359" width="2.09765625" style="4" customWidth="1"/>
    <col min="12360" max="12360" width="0.19921875" style="4" customWidth="1"/>
    <col min="12361" max="12361" width="0.5" style="4" customWidth="1"/>
    <col min="12362" max="12362" width="2.59765625" style="4" customWidth="1"/>
    <col min="12363" max="12363" width="3" style="4" customWidth="1"/>
    <col min="12364" max="12364" width="3.796875" style="4" customWidth="1"/>
    <col min="12365" max="12365" width="0.296875" style="4" customWidth="1"/>
    <col min="12366" max="12366" width="2" style="4" customWidth="1"/>
    <col min="12367" max="12367" width="0.296875" style="4" customWidth="1"/>
    <col min="12368" max="12544" width="8.796875" style="4"/>
    <col min="12545" max="12546" width="0.5" style="4" customWidth="1"/>
    <col min="12547" max="12548" width="0.19921875" style="4" customWidth="1"/>
    <col min="12549" max="12549" width="0.296875" style="4" customWidth="1"/>
    <col min="12550" max="12550" width="1.19921875" style="4" customWidth="1"/>
    <col min="12551" max="12551" width="7.3984375" style="4" customWidth="1"/>
    <col min="12552" max="12552" width="0.19921875" style="4" customWidth="1"/>
    <col min="12553" max="12553" width="5.69921875" style="4" customWidth="1"/>
    <col min="12554" max="12554" width="7.3984375" style="4" customWidth="1"/>
    <col min="12555" max="12555" width="0.796875" style="4" customWidth="1"/>
    <col min="12556" max="12556" width="1.796875" style="4" customWidth="1"/>
    <col min="12557" max="12558" width="2.59765625" style="4" customWidth="1"/>
    <col min="12559" max="12559" width="0.296875" style="4" customWidth="1"/>
    <col min="12560" max="12560" width="0.796875" style="4" customWidth="1"/>
    <col min="12561" max="12561" width="0.296875" style="4" customWidth="1"/>
    <col min="12562" max="12562" width="1.19921875" style="4" customWidth="1"/>
    <col min="12563" max="12563" width="1.5" style="4" customWidth="1"/>
    <col min="12564" max="12564" width="0.19921875" style="4" customWidth="1"/>
    <col min="12565" max="12565" width="0.8984375" style="4" customWidth="1"/>
    <col min="12566" max="12566" width="2.59765625" style="4" customWidth="1"/>
    <col min="12567" max="12567" width="1.19921875" style="4" customWidth="1"/>
    <col min="12568" max="12568" width="0.19921875" style="4" customWidth="1"/>
    <col min="12569" max="12569" width="1.19921875" style="4" customWidth="1"/>
    <col min="12570" max="12571" width="2.59765625" style="4" customWidth="1"/>
    <col min="12572" max="12572" width="2" style="4" customWidth="1"/>
    <col min="12573" max="12573" width="0.19921875" style="4" customWidth="1"/>
    <col min="12574" max="12574" width="0.5" style="4" customWidth="1"/>
    <col min="12575" max="12576" width="0.19921875" style="4" customWidth="1"/>
    <col min="12577" max="12577" width="2.296875" style="4" customWidth="1"/>
    <col min="12578" max="12578" width="2.59765625" style="4" customWidth="1"/>
    <col min="12579" max="12579" width="1.09765625" style="4" customWidth="1"/>
    <col min="12580" max="12580" width="0.296875" style="4" customWidth="1"/>
    <col min="12581" max="12581" width="1.19921875" style="4" customWidth="1"/>
    <col min="12582" max="12582" width="0.59765625" style="4" customWidth="1"/>
    <col min="12583" max="12583" width="2" style="4" customWidth="1"/>
    <col min="12584" max="12584" width="1.09765625" style="4" customWidth="1"/>
    <col min="12585" max="12585" width="1.5" style="4" customWidth="1"/>
    <col min="12586" max="12586" width="1.09765625" style="4" customWidth="1"/>
    <col min="12587" max="12587" width="1.5" style="4" customWidth="1"/>
    <col min="12588" max="12588" width="2.59765625" style="4" customWidth="1"/>
    <col min="12589" max="12589" width="1.3984375" style="4" customWidth="1"/>
    <col min="12590" max="12590" width="1.19921875" style="4" customWidth="1"/>
    <col min="12591" max="12592" width="2.59765625" style="4" customWidth="1"/>
    <col min="12593" max="12593" width="1.69921875" style="4" customWidth="1"/>
    <col min="12594" max="12595" width="0.8984375" style="4" customWidth="1"/>
    <col min="12596" max="12596" width="0.59765625" style="4" customWidth="1"/>
    <col min="12597" max="12597" width="1.09765625" style="4" customWidth="1"/>
    <col min="12598" max="12598" width="1.19921875" style="4" customWidth="1"/>
    <col min="12599" max="12599" width="1.3984375" style="4" customWidth="1"/>
    <col min="12600" max="12600" width="2.59765625" style="4" customWidth="1"/>
    <col min="12601" max="12601" width="1.09765625" style="4" customWidth="1"/>
    <col min="12602" max="12602" width="0.19921875" style="4" customWidth="1"/>
    <col min="12603" max="12603" width="0.296875" style="4" customWidth="1"/>
    <col min="12604" max="12604" width="1.09765625" style="4" customWidth="1"/>
    <col min="12605" max="12605" width="1.19921875" style="4" customWidth="1"/>
    <col min="12606" max="12606" width="0.296875" style="4" customWidth="1"/>
    <col min="12607" max="12607" width="4.5" style="4" customWidth="1"/>
    <col min="12608" max="12608" width="1.19921875" style="4" customWidth="1"/>
    <col min="12609" max="12609" width="1.09765625" style="4" customWidth="1"/>
    <col min="12610" max="12610" width="2.296875" style="4" customWidth="1"/>
    <col min="12611" max="12611" width="1.5" style="4" customWidth="1"/>
    <col min="12612" max="12612" width="0.796875" style="4" customWidth="1"/>
    <col min="12613" max="12613" width="0.59765625" style="4" customWidth="1"/>
    <col min="12614" max="12614" width="5.3984375" style="4" customWidth="1"/>
    <col min="12615" max="12615" width="2.09765625" style="4" customWidth="1"/>
    <col min="12616" max="12616" width="0.19921875" style="4" customWidth="1"/>
    <col min="12617" max="12617" width="0.5" style="4" customWidth="1"/>
    <col min="12618" max="12618" width="2.59765625" style="4" customWidth="1"/>
    <col min="12619" max="12619" width="3" style="4" customWidth="1"/>
    <col min="12620" max="12620" width="3.796875" style="4" customWidth="1"/>
    <col min="12621" max="12621" width="0.296875" style="4" customWidth="1"/>
    <col min="12622" max="12622" width="2" style="4" customWidth="1"/>
    <col min="12623" max="12623" width="0.296875" style="4" customWidth="1"/>
    <col min="12624" max="12800" width="8.796875" style="4"/>
    <col min="12801" max="12802" width="0.5" style="4" customWidth="1"/>
    <col min="12803" max="12804" width="0.19921875" style="4" customWidth="1"/>
    <col min="12805" max="12805" width="0.296875" style="4" customWidth="1"/>
    <col min="12806" max="12806" width="1.19921875" style="4" customWidth="1"/>
    <col min="12807" max="12807" width="7.3984375" style="4" customWidth="1"/>
    <col min="12808" max="12808" width="0.19921875" style="4" customWidth="1"/>
    <col min="12809" max="12809" width="5.69921875" style="4" customWidth="1"/>
    <col min="12810" max="12810" width="7.3984375" style="4" customWidth="1"/>
    <col min="12811" max="12811" width="0.796875" style="4" customWidth="1"/>
    <col min="12812" max="12812" width="1.796875" style="4" customWidth="1"/>
    <col min="12813" max="12814" width="2.59765625" style="4" customWidth="1"/>
    <col min="12815" max="12815" width="0.296875" style="4" customWidth="1"/>
    <col min="12816" max="12816" width="0.796875" style="4" customWidth="1"/>
    <col min="12817" max="12817" width="0.296875" style="4" customWidth="1"/>
    <col min="12818" max="12818" width="1.19921875" style="4" customWidth="1"/>
    <col min="12819" max="12819" width="1.5" style="4" customWidth="1"/>
    <col min="12820" max="12820" width="0.19921875" style="4" customWidth="1"/>
    <col min="12821" max="12821" width="0.8984375" style="4" customWidth="1"/>
    <col min="12822" max="12822" width="2.59765625" style="4" customWidth="1"/>
    <col min="12823" max="12823" width="1.19921875" style="4" customWidth="1"/>
    <col min="12824" max="12824" width="0.19921875" style="4" customWidth="1"/>
    <col min="12825" max="12825" width="1.19921875" style="4" customWidth="1"/>
    <col min="12826" max="12827" width="2.59765625" style="4" customWidth="1"/>
    <col min="12828" max="12828" width="2" style="4" customWidth="1"/>
    <col min="12829" max="12829" width="0.19921875" style="4" customWidth="1"/>
    <col min="12830" max="12830" width="0.5" style="4" customWidth="1"/>
    <col min="12831" max="12832" width="0.19921875" style="4" customWidth="1"/>
    <col min="12833" max="12833" width="2.296875" style="4" customWidth="1"/>
    <col min="12834" max="12834" width="2.59765625" style="4" customWidth="1"/>
    <col min="12835" max="12835" width="1.09765625" style="4" customWidth="1"/>
    <col min="12836" max="12836" width="0.296875" style="4" customWidth="1"/>
    <col min="12837" max="12837" width="1.19921875" style="4" customWidth="1"/>
    <col min="12838" max="12838" width="0.59765625" style="4" customWidth="1"/>
    <col min="12839" max="12839" width="2" style="4" customWidth="1"/>
    <col min="12840" max="12840" width="1.09765625" style="4" customWidth="1"/>
    <col min="12841" max="12841" width="1.5" style="4" customWidth="1"/>
    <col min="12842" max="12842" width="1.09765625" style="4" customWidth="1"/>
    <col min="12843" max="12843" width="1.5" style="4" customWidth="1"/>
    <col min="12844" max="12844" width="2.59765625" style="4" customWidth="1"/>
    <col min="12845" max="12845" width="1.3984375" style="4" customWidth="1"/>
    <col min="12846" max="12846" width="1.19921875" style="4" customWidth="1"/>
    <col min="12847" max="12848" width="2.59765625" style="4" customWidth="1"/>
    <col min="12849" max="12849" width="1.69921875" style="4" customWidth="1"/>
    <col min="12850" max="12851" width="0.8984375" style="4" customWidth="1"/>
    <col min="12852" max="12852" width="0.59765625" style="4" customWidth="1"/>
    <col min="12853" max="12853" width="1.09765625" style="4" customWidth="1"/>
    <col min="12854" max="12854" width="1.19921875" style="4" customWidth="1"/>
    <col min="12855" max="12855" width="1.3984375" style="4" customWidth="1"/>
    <col min="12856" max="12856" width="2.59765625" style="4" customWidth="1"/>
    <col min="12857" max="12857" width="1.09765625" style="4" customWidth="1"/>
    <col min="12858" max="12858" width="0.19921875" style="4" customWidth="1"/>
    <col min="12859" max="12859" width="0.296875" style="4" customWidth="1"/>
    <col min="12860" max="12860" width="1.09765625" style="4" customWidth="1"/>
    <col min="12861" max="12861" width="1.19921875" style="4" customWidth="1"/>
    <col min="12862" max="12862" width="0.296875" style="4" customWidth="1"/>
    <col min="12863" max="12863" width="4.5" style="4" customWidth="1"/>
    <col min="12864" max="12864" width="1.19921875" style="4" customWidth="1"/>
    <col min="12865" max="12865" width="1.09765625" style="4" customWidth="1"/>
    <col min="12866" max="12866" width="2.296875" style="4" customWidth="1"/>
    <col min="12867" max="12867" width="1.5" style="4" customWidth="1"/>
    <col min="12868" max="12868" width="0.796875" style="4" customWidth="1"/>
    <col min="12869" max="12869" width="0.59765625" style="4" customWidth="1"/>
    <col min="12870" max="12870" width="5.3984375" style="4" customWidth="1"/>
    <col min="12871" max="12871" width="2.09765625" style="4" customWidth="1"/>
    <col min="12872" max="12872" width="0.19921875" style="4" customWidth="1"/>
    <col min="12873" max="12873" width="0.5" style="4" customWidth="1"/>
    <col min="12874" max="12874" width="2.59765625" style="4" customWidth="1"/>
    <col min="12875" max="12875" width="3" style="4" customWidth="1"/>
    <col min="12876" max="12876" width="3.796875" style="4" customWidth="1"/>
    <col min="12877" max="12877" width="0.296875" style="4" customWidth="1"/>
    <col min="12878" max="12878" width="2" style="4" customWidth="1"/>
    <col min="12879" max="12879" width="0.296875" style="4" customWidth="1"/>
    <col min="12880" max="13056" width="8.796875" style="4"/>
    <col min="13057" max="13058" width="0.5" style="4" customWidth="1"/>
    <col min="13059" max="13060" width="0.19921875" style="4" customWidth="1"/>
    <col min="13061" max="13061" width="0.296875" style="4" customWidth="1"/>
    <col min="13062" max="13062" width="1.19921875" style="4" customWidth="1"/>
    <col min="13063" max="13063" width="7.3984375" style="4" customWidth="1"/>
    <col min="13064" max="13064" width="0.19921875" style="4" customWidth="1"/>
    <col min="13065" max="13065" width="5.69921875" style="4" customWidth="1"/>
    <col min="13066" max="13066" width="7.3984375" style="4" customWidth="1"/>
    <col min="13067" max="13067" width="0.796875" style="4" customWidth="1"/>
    <col min="13068" max="13068" width="1.796875" style="4" customWidth="1"/>
    <col min="13069" max="13070" width="2.59765625" style="4" customWidth="1"/>
    <col min="13071" max="13071" width="0.296875" style="4" customWidth="1"/>
    <col min="13072" max="13072" width="0.796875" style="4" customWidth="1"/>
    <col min="13073" max="13073" width="0.296875" style="4" customWidth="1"/>
    <col min="13074" max="13074" width="1.19921875" style="4" customWidth="1"/>
    <col min="13075" max="13075" width="1.5" style="4" customWidth="1"/>
    <col min="13076" max="13076" width="0.19921875" style="4" customWidth="1"/>
    <col min="13077" max="13077" width="0.8984375" style="4" customWidth="1"/>
    <col min="13078" max="13078" width="2.59765625" style="4" customWidth="1"/>
    <col min="13079" max="13079" width="1.19921875" style="4" customWidth="1"/>
    <col min="13080" max="13080" width="0.19921875" style="4" customWidth="1"/>
    <col min="13081" max="13081" width="1.19921875" style="4" customWidth="1"/>
    <col min="13082" max="13083" width="2.59765625" style="4" customWidth="1"/>
    <col min="13084" max="13084" width="2" style="4" customWidth="1"/>
    <col min="13085" max="13085" width="0.19921875" style="4" customWidth="1"/>
    <col min="13086" max="13086" width="0.5" style="4" customWidth="1"/>
    <col min="13087" max="13088" width="0.19921875" style="4" customWidth="1"/>
    <col min="13089" max="13089" width="2.296875" style="4" customWidth="1"/>
    <col min="13090" max="13090" width="2.59765625" style="4" customWidth="1"/>
    <col min="13091" max="13091" width="1.09765625" style="4" customWidth="1"/>
    <col min="13092" max="13092" width="0.296875" style="4" customWidth="1"/>
    <col min="13093" max="13093" width="1.19921875" style="4" customWidth="1"/>
    <col min="13094" max="13094" width="0.59765625" style="4" customWidth="1"/>
    <col min="13095" max="13095" width="2" style="4" customWidth="1"/>
    <col min="13096" max="13096" width="1.09765625" style="4" customWidth="1"/>
    <col min="13097" max="13097" width="1.5" style="4" customWidth="1"/>
    <col min="13098" max="13098" width="1.09765625" style="4" customWidth="1"/>
    <col min="13099" max="13099" width="1.5" style="4" customWidth="1"/>
    <col min="13100" max="13100" width="2.59765625" style="4" customWidth="1"/>
    <col min="13101" max="13101" width="1.3984375" style="4" customWidth="1"/>
    <col min="13102" max="13102" width="1.19921875" style="4" customWidth="1"/>
    <col min="13103" max="13104" width="2.59765625" style="4" customWidth="1"/>
    <col min="13105" max="13105" width="1.69921875" style="4" customWidth="1"/>
    <col min="13106" max="13107" width="0.8984375" style="4" customWidth="1"/>
    <col min="13108" max="13108" width="0.59765625" style="4" customWidth="1"/>
    <col min="13109" max="13109" width="1.09765625" style="4" customWidth="1"/>
    <col min="13110" max="13110" width="1.19921875" style="4" customWidth="1"/>
    <col min="13111" max="13111" width="1.3984375" style="4" customWidth="1"/>
    <col min="13112" max="13112" width="2.59765625" style="4" customWidth="1"/>
    <col min="13113" max="13113" width="1.09765625" style="4" customWidth="1"/>
    <col min="13114" max="13114" width="0.19921875" style="4" customWidth="1"/>
    <col min="13115" max="13115" width="0.296875" style="4" customWidth="1"/>
    <col min="13116" max="13116" width="1.09765625" style="4" customWidth="1"/>
    <col min="13117" max="13117" width="1.19921875" style="4" customWidth="1"/>
    <col min="13118" max="13118" width="0.296875" style="4" customWidth="1"/>
    <col min="13119" max="13119" width="4.5" style="4" customWidth="1"/>
    <col min="13120" max="13120" width="1.19921875" style="4" customWidth="1"/>
    <col min="13121" max="13121" width="1.09765625" style="4" customWidth="1"/>
    <col min="13122" max="13122" width="2.296875" style="4" customWidth="1"/>
    <col min="13123" max="13123" width="1.5" style="4" customWidth="1"/>
    <col min="13124" max="13124" width="0.796875" style="4" customWidth="1"/>
    <col min="13125" max="13125" width="0.59765625" style="4" customWidth="1"/>
    <col min="13126" max="13126" width="5.3984375" style="4" customWidth="1"/>
    <col min="13127" max="13127" width="2.09765625" style="4" customWidth="1"/>
    <col min="13128" max="13128" width="0.19921875" style="4" customWidth="1"/>
    <col min="13129" max="13129" width="0.5" style="4" customWidth="1"/>
    <col min="13130" max="13130" width="2.59765625" style="4" customWidth="1"/>
    <col min="13131" max="13131" width="3" style="4" customWidth="1"/>
    <col min="13132" max="13132" width="3.796875" style="4" customWidth="1"/>
    <col min="13133" max="13133" width="0.296875" style="4" customWidth="1"/>
    <col min="13134" max="13134" width="2" style="4" customWidth="1"/>
    <col min="13135" max="13135" width="0.296875" style="4" customWidth="1"/>
    <col min="13136" max="13312" width="8.796875" style="4"/>
    <col min="13313" max="13314" width="0.5" style="4" customWidth="1"/>
    <col min="13315" max="13316" width="0.19921875" style="4" customWidth="1"/>
    <col min="13317" max="13317" width="0.296875" style="4" customWidth="1"/>
    <col min="13318" max="13318" width="1.19921875" style="4" customWidth="1"/>
    <col min="13319" max="13319" width="7.3984375" style="4" customWidth="1"/>
    <col min="13320" max="13320" width="0.19921875" style="4" customWidth="1"/>
    <col min="13321" max="13321" width="5.69921875" style="4" customWidth="1"/>
    <col min="13322" max="13322" width="7.3984375" style="4" customWidth="1"/>
    <col min="13323" max="13323" width="0.796875" style="4" customWidth="1"/>
    <col min="13324" max="13324" width="1.796875" style="4" customWidth="1"/>
    <col min="13325" max="13326" width="2.59765625" style="4" customWidth="1"/>
    <col min="13327" max="13327" width="0.296875" style="4" customWidth="1"/>
    <col min="13328" max="13328" width="0.796875" style="4" customWidth="1"/>
    <col min="13329" max="13329" width="0.296875" style="4" customWidth="1"/>
    <col min="13330" max="13330" width="1.19921875" style="4" customWidth="1"/>
    <col min="13331" max="13331" width="1.5" style="4" customWidth="1"/>
    <col min="13332" max="13332" width="0.19921875" style="4" customWidth="1"/>
    <col min="13333" max="13333" width="0.8984375" style="4" customWidth="1"/>
    <col min="13334" max="13334" width="2.59765625" style="4" customWidth="1"/>
    <col min="13335" max="13335" width="1.19921875" style="4" customWidth="1"/>
    <col min="13336" max="13336" width="0.19921875" style="4" customWidth="1"/>
    <col min="13337" max="13337" width="1.19921875" style="4" customWidth="1"/>
    <col min="13338" max="13339" width="2.59765625" style="4" customWidth="1"/>
    <col min="13340" max="13340" width="2" style="4" customWidth="1"/>
    <col min="13341" max="13341" width="0.19921875" style="4" customWidth="1"/>
    <col min="13342" max="13342" width="0.5" style="4" customWidth="1"/>
    <col min="13343" max="13344" width="0.19921875" style="4" customWidth="1"/>
    <col min="13345" max="13345" width="2.296875" style="4" customWidth="1"/>
    <col min="13346" max="13346" width="2.59765625" style="4" customWidth="1"/>
    <col min="13347" max="13347" width="1.09765625" style="4" customWidth="1"/>
    <col min="13348" max="13348" width="0.296875" style="4" customWidth="1"/>
    <col min="13349" max="13349" width="1.19921875" style="4" customWidth="1"/>
    <col min="13350" max="13350" width="0.59765625" style="4" customWidth="1"/>
    <col min="13351" max="13351" width="2" style="4" customWidth="1"/>
    <col min="13352" max="13352" width="1.09765625" style="4" customWidth="1"/>
    <col min="13353" max="13353" width="1.5" style="4" customWidth="1"/>
    <col min="13354" max="13354" width="1.09765625" style="4" customWidth="1"/>
    <col min="13355" max="13355" width="1.5" style="4" customWidth="1"/>
    <col min="13356" max="13356" width="2.59765625" style="4" customWidth="1"/>
    <col min="13357" max="13357" width="1.3984375" style="4" customWidth="1"/>
    <col min="13358" max="13358" width="1.19921875" style="4" customWidth="1"/>
    <col min="13359" max="13360" width="2.59765625" style="4" customWidth="1"/>
    <col min="13361" max="13361" width="1.69921875" style="4" customWidth="1"/>
    <col min="13362" max="13363" width="0.8984375" style="4" customWidth="1"/>
    <col min="13364" max="13364" width="0.59765625" style="4" customWidth="1"/>
    <col min="13365" max="13365" width="1.09765625" style="4" customWidth="1"/>
    <col min="13366" max="13366" width="1.19921875" style="4" customWidth="1"/>
    <col min="13367" max="13367" width="1.3984375" style="4" customWidth="1"/>
    <col min="13368" max="13368" width="2.59765625" style="4" customWidth="1"/>
    <col min="13369" max="13369" width="1.09765625" style="4" customWidth="1"/>
    <col min="13370" max="13370" width="0.19921875" style="4" customWidth="1"/>
    <col min="13371" max="13371" width="0.296875" style="4" customWidth="1"/>
    <col min="13372" max="13372" width="1.09765625" style="4" customWidth="1"/>
    <col min="13373" max="13373" width="1.19921875" style="4" customWidth="1"/>
    <col min="13374" max="13374" width="0.296875" style="4" customWidth="1"/>
    <col min="13375" max="13375" width="4.5" style="4" customWidth="1"/>
    <col min="13376" max="13376" width="1.19921875" style="4" customWidth="1"/>
    <col min="13377" max="13377" width="1.09765625" style="4" customWidth="1"/>
    <col min="13378" max="13378" width="2.296875" style="4" customWidth="1"/>
    <col min="13379" max="13379" width="1.5" style="4" customWidth="1"/>
    <col min="13380" max="13380" width="0.796875" style="4" customWidth="1"/>
    <col min="13381" max="13381" width="0.59765625" style="4" customWidth="1"/>
    <col min="13382" max="13382" width="5.3984375" style="4" customWidth="1"/>
    <col min="13383" max="13383" width="2.09765625" style="4" customWidth="1"/>
    <col min="13384" max="13384" width="0.19921875" style="4" customWidth="1"/>
    <col min="13385" max="13385" width="0.5" style="4" customWidth="1"/>
    <col min="13386" max="13386" width="2.59765625" style="4" customWidth="1"/>
    <col min="13387" max="13387" width="3" style="4" customWidth="1"/>
    <col min="13388" max="13388" width="3.796875" style="4" customWidth="1"/>
    <col min="13389" max="13389" width="0.296875" style="4" customWidth="1"/>
    <col min="13390" max="13390" width="2" style="4" customWidth="1"/>
    <col min="13391" max="13391" width="0.296875" style="4" customWidth="1"/>
    <col min="13392" max="13568" width="8.796875" style="4"/>
    <col min="13569" max="13570" width="0.5" style="4" customWidth="1"/>
    <col min="13571" max="13572" width="0.19921875" style="4" customWidth="1"/>
    <col min="13573" max="13573" width="0.296875" style="4" customWidth="1"/>
    <col min="13574" max="13574" width="1.19921875" style="4" customWidth="1"/>
    <col min="13575" max="13575" width="7.3984375" style="4" customWidth="1"/>
    <col min="13576" max="13576" width="0.19921875" style="4" customWidth="1"/>
    <col min="13577" max="13577" width="5.69921875" style="4" customWidth="1"/>
    <col min="13578" max="13578" width="7.3984375" style="4" customWidth="1"/>
    <col min="13579" max="13579" width="0.796875" style="4" customWidth="1"/>
    <col min="13580" max="13580" width="1.796875" style="4" customWidth="1"/>
    <col min="13581" max="13582" width="2.59765625" style="4" customWidth="1"/>
    <col min="13583" max="13583" width="0.296875" style="4" customWidth="1"/>
    <col min="13584" max="13584" width="0.796875" style="4" customWidth="1"/>
    <col min="13585" max="13585" width="0.296875" style="4" customWidth="1"/>
    <col min="13586" max="13586" width="1.19921875" style="4" customWidth="1"/>
    <col min="13587" max="13587" width="1.5" style="4" customWidth="1"/>
    <col min="13588" max="13588" width="0.19921875" style="4" customWidth="1"/>
    <col min="13589" max="13589" width="0.8984375" style="4" customWidth="1"/>
    <col min="13590" max="13590" width="2.59765625" style="4" customWidth="1"/>
    <col min="13591" max="13591" width="1.19921875" style="4" customWidth="1"/>
    <col min="13592" max="13592" width="0.19921875" style="4" customWidth="1"/>
    <col min="13593" max="13593" width="1.19921875" style="4" customWidth="1"/>
    <col min="13594" max="13595" width="2.59765625" style="4" customWidth="1"/>
    <col min="13596" max="13596" width="2" style="4" customWidth="1"/>
    <col min="13597" max="13597" width="0.19921875" style="4" customWidth="1"/>
    <col min="13598" max="13598" width="0.5" style="4" customWidth="1"/>
    <col min="13599" max="13600" width="0.19921875" style="4" customWidth="1"/>
    <col min="13601" max="13601" width="2.296875" style="4" customWidth="1"/>
    <col min="13602" max="13602" width="2.59765625" style="4" customWidth="1"/>
    <col min="13603" max="13603" width="1.09765625" style="4" customWidth="1"/>
    <col min="13604" max="13604" width="0.296875" style="4" customWidth="1"/>
    <col min="13605" max="13605" width="1.19921875" style="4" customWidth="1"/>
    <col min="13606" max="13606" width="0.59765625" style="4" customWidth="1"/>
    <col min="13607" max="13607" width="2" style="4" customWidth="1"/>
    <col min="13608" max="13608" width="1.09765625" style="4" customWidth="1"/>
    <col min="13609" max="13609" width="1.5" style="4" customWidth="1"/>
    <col min="13610" max="13610" width="1.09765625" style="4" customWidth="1"/>
    <col min="13611" max="13611" width="1.5" style="4" customWidth="1"/>
    <col min="13612" max="13612" width="2.59765625" style="4" customWidth="1"/>
    <col min="13613" max="13613" width="1.3984375" style="4" customWidth="1"/>
    <col min="13614" max="13614" width="1.19921875" style="4" customWidth="1"/>
    <col min="13615" max="13616" width="2.59765625" style="4" customWidth="1"/>
    <col min="13617" max="13617" width="1.69921875" style="4" customWidth="1"/>
    <col min="13618" max="13619" width="0.8984375" style="4" customWidth="1"/>
    <col min="13620" max="13620" width="0.59765625" style="4" customWidth="1"/>
    <col min="13621" max="13621" width="1.09765625" style="4" customWidth="1"/>
    <col min="13622" max="13622" width="1.19921875" style="4" customWidth="1"/>
    <col min="13623" max="13623" width="1.3984375" style="4" customWidth="1"/>
    <col min="13624" max="13624" width="2.59765625" style="4" customWidth="1"/>
    <col min="13625" max="13625" width="1.09765625" style="4" customWidth="1"/>
    <col min="13626" max="13626" width="0.19921875" style="4" customWidth="1"/>
    <col min="13627" max="13627" width="0.296875" style="4" customWidth="1"/>
    <col min="13628" max="13628" width="1.09765625" style="4" customWidth="1"/>
    <col min="13629" max="13629" width="1.19921875" style="4" customWidth="1"/>
    <col min="13630" max="13630" width="0.296875" style="4" customWidth="1"/>
    <col min="13631" max="13631" width="4.5" style="4" customWidth="1"/>
    <col min="13632" max="13632" width="1.19921875" style="4" customWidth="1"/>
    <col min="13633" max="13633" width="1.09765625" style="4" customWidth="1"/>
    <col min="13634" max="13634" width="2.296875" style="4" customWidth="1"/>
    <col min="13635" max="13635" width="1.5" style="4" customWidth="1"/>
    <col min="13636" max="13636" width="0.796875" style="4" customWidth="1"/>
    <col min="13637" max="13637" width="0.59765625" style="4" customWidth="1"/>
    <col min="13638" max="13638" width="5.3984375" style="4" customWidth="1"/>
    <col min="13639" max="13639" width="2.09765625" style="4" customWidth="1"/>
    <col min="13640" max="13640" width="0.19921875" style="4" customWidth="1"/>
    <col min="13641" max="13641" width="0.5" style="4" customWidth="1"/>
    <col min="13642" max="13642" width="2.59765625" style="4" customWidth="1"/>
    <col min="13643" max="13643" width="3" style="4" customWidth="1"/>
    <col min="13644" max="13644" width="3.796875" style="4" customWidth="1"/>
    <col min="13645" max="13645" width="0.296875" style="4" customWidth="1"/>
    <col min="13646" max="13646" width="2" style="4" customWidth="1"/>
    <col min="13647" max="13647" width="0.296875" style="4" customWidth="1"/>
    <col min="13648" max="13824" width="8.796875" style="4"/>
    <col min="13825" max="13826" width="0.5" style="4" customWidth="1"/>
    <col min="13827" max="13828" width="0.19921875" style="4" customWidth="1"/>
    <col min="13829" max="13829" width="0.296875" style="4" customWidth="1"/>
    <col min="13830" max="13830" width="1.19921875" style="4" customWidth="1"/>
    <col min="13831" max="13831" width="7.3984375" style="4" customWidth="1"/>
    <col min="13832" max="13832" width="0.19921875" style="4" customWidth="1"/>
    <col min="13833" max="13833" width="5.69921875" style="4" customWidth="1"/>
    <col min="13834" max="13834" width="7.3984375" style="4" customWidth="1"/>
    <col min="13835" max="13835" width="0.796875" style="4" customWidth="1"/>
    <col min="13836" max="13836" width="1.796875" style="4" customWidth="1"/>
    <col min="13837" max="13838" width="2.59765625" style="4" customWidth="1"/>
    <col min="13839" max="13839" width="0.296875" style="4" customWidth="1"/>
    <col min="13840" max="13840" width="0.796875" style="4" customWidth="1"/>
    <col min="13841" max="13841" width="0.296875" style="4" customWidth="1"/>
    <col min="13842" max="13842" width="1.19921875" style="4" customWidth="1"/>
    <col min="13843" max="13843" width="1.5" style="4" customWidth="1"/>
    <col min="13844" max="13844" width="0.19921875" style="4" customWidth="1"/>
    <col min="13845" max="13845" width="0.8984375" style="4" customWidth="1"/>
    <col min="13846" max="13846" width="2.59765625" style="4" customWidth="1"/>
    <col min="13847" max="13847" width="1.19921875" style="4" customWidth="1"/>
    <col min="13848" max="13848" width="0.19921875" style="4" customWidth="1"/>
    <col min="13849" max="13849" width="1.19921875" style="4" customWidth="1"/>
    <col min="13850" max="13851" width="2.59765625" style="4" customWidth="1"/>
    <col min="13852" max="13852" width="2" style="4" customWidth="1"/>
    <col min="13853" max="13853" width="0.19921875" style="4" customWidth="1"/>
    <col min="13854" max="13854" width="0.5" style="4" customWidth="1"/>
    <col min="13855" max="13856" width="0.19921875" style="4" customWidth="1"/>
    <col min="13857" max="13857" width="2.296875" style="4" customWidth="1"/>
    <col min="13858" max="13858" width="2.59765625" style="4" customWidth="1"/>
    <col min="13859" max="13859" width="1.09765625" style="4" customWidth="1"/>
    <col min="13860" max="13860" width="0.296875" style="4" customWidth="1"/>
    <col min="13861" max="13861" width="1.19921875" style="4" customWidth="1"/>
    <col min="13862" max="13862" width="0.59765625" style="4" customWidth="1"/>
    <col min="13863" max="13863" width="2" style="4" customWidth="1"/>
    <col min="13864" max="13864" width="1.09765625" style="4" customWidth="1"/>
    <col min="13865" max="13865" width="1.5" style="4" customWidth="1"/>
    <col min="13866" max="13866" width="1.09765625" style="4" customWidth="1"/>
    <col min="13867" max="13867" width="1.5" style="4" customWidth="1"/>
    <col min="13868" max="13868" width="2.59765625" style="4" customWidth="1"/>
    <col min="13869" max="13869" width="1.3984375" style="4" customWidth="1"/>
    <col min="13870" max="13870" width="1.19921875" style="4" customWidth="1"/>
    <col min="13871" max="13872" width="2.59765625" style="4" customWidth="1"/>
    <col min="13873" max="13873" width="1.69921875" style="4" customWidth="1"/>
    <col min="13874" max="13875" width="0.8984375" style="4" customWidth="1"/>
    <col min="13876" max="13876" width="0.59765625" style="4" customWidth="1"/>
    <col min="13877" max="13877" width="1.09765625" style="4" customWidth="1"/>
    <col min="13878" max="13878" width="1.19921875" style="4" customWidth="1"/>
    <col min="13879" max="13879" width="1.3984375" style="4" customWidth="1"/>
    <col min="13880" max="13880" width="2.59765625" style="4" customWidth="1"/>
    <col min="13881" max="13881" width="1.09765625" style="4" customWidth="1"/>
    <col min="13882" max="13882" width="0.19921875" style="4" customWidth="1"/>
    <col min="13883" max="13883" width="0.296875" style="4" customWidth="1"/>
    <col min="13884" max="13884" width="1.09765625" style="4" customWidth="1"/>
    <col min="13885" max="13885" width="1.19921875" style="4" customWidth="1"/>
    <col min="13886" max="13886" width="0.296875" style="4" customWidth="1"/>
    <col min="13887" max="13887" width="4.5" style="4" customWidth="1"/>
    <col min="13888" max="13888" width="1.19921875" style="4" customWidth="1"/>
    <col min="13889" max="13889" width="1.09765625" style="4" customWidth="1"/>
    <col min="13890" max="13890" width="2.296875" style="4" customWidth="1"/>
    <col min="13891" max="13891" width="1.5" style="4" customWidth="1"/>
    <col min="13892" max="13892" width="0.796875" style="4" customWidth="1"/>
    <col min="13893" max="13893" width="0.59765625" style="4" customWidth="1"/>
    <col min="13894" max="13894" width="5.3984375" style="4" customWidth="1"/>
    <col min="13895" max="13895" width="2.09765625" style="4" customWidth="1"/>
    <col min="13896" max="13896" width="0.19921875" style="4" customWidth="1"/>
    <col min="13897" max="13897" width="0.5" style="4" customWidth="1"/>
    <col min="13898" max="13898" width="2.59765625" style="4" customWidth="1"/>
    <col min="13899" max="13899" width="3" style="4" customWidth="1"/>
    <col min="13900" max="13900" width="3.796875" style="4" customWidth="1"/>
    <col min="13901" max="13901" width="0.296875" style="4" customWidth="1"/>
    <col min="13902" max="13902" width="2" style="4" customWidth="1"/>
    <col min="13903" max="13903" width="0.296875" style="4" customWidth="1"/>
    <col min="13904" max="14080" width="8.796875" style="4"/>
    <col min="14081" max="14082" width="0.5" style="4" customWidth="1"/>
    <col min="14083" max="14084" width="0.19921875" style="4" customWidth="1"/>
    <col min="14085" max="14085" width="0.296875" style="4" customWidth="1"/>
    <col min="14086" max="14086" width="1.19921875" style="4" customWidth="1"/>
    <col min="14087" max="14087" width="7.3984375" style="4" customWidth="1"/>
    <col min="14088" max="14088" width="0.19921875" style="4" customWidth="1"/>
    <col min="14089" max="14089" width="5.69921875" style="4" customWidth="1"/>
    <col min="14090" max="14090" width="7.3984375" style="4" customWidth="1"/>
    <col min="14091" max="14091" width="0.796875" style="4" customWidth="1"/>
    <col min="14092" max="14092" width="1.796875" style="4" customWidth="1"/>
    <col min="14093" max="14094" width="2.59765625" style="4" customWidth="1"/>
    <col min="14095" max="14095" width="0.296875" style="4" customWidth="1"/>
    <col min="14096" max="14096" width="0.796875" style="4" customWidth="1"/>
    <col min="14097" max="14097" width="0.296875" style="4" customWidth="1"/>
    <col min="14098" max="14098" width="1.19921875" style="4" customWidth="1"/>
    <col min="14099" max="14099" width="1.5" style="4" customWidth="1"/>
    <col min="14100" max="14100" width="0.19921875" style="4" customWidth="1"/>
    <col min="14101" max="14101" width="0.8984375" style="4" customWidth="1"/>
    <col min="14102" max="14102" width="2.59765625" style="4" customWidth="1"/>
    <col min="14103" max="14103" width="1.19921875" style="4" customWidth="1"/>
    <col min="14104" max="14104" width="0.19921875" style="4" customWidth="1"/>
    <col min="14105" max="14105" width="1.19921875" style="4" customWidth="1"/>
    <col min="14106" max="14107" width="2.59765625" style="4" customWidth="1"/>
    <col min="14108" max="14108" width="2" style="4" customWidth="1"/>
    <col min="14109" max="14109" width="0.19921875" style="4" customWidth="1"/>
    <col min="14110" max="14110" width="0.5" style="4" customWidth="1"/>
    <col min="14111" max="14112" width="0.19921875" style="4" customWidth="1"/>
    <col min="14113" max="14113" width="2.296875" style="4" customWidth="1"/>
    <col min="14114" max="14114" width="2.59765625" style="4" customWidth="1"/>
    <col min="14115" max="14115" width="1.09765625" style="4" customWidth="1"/>
    <col min="14116" max="14116" width="0.296875" style="4" customWidth="1"/>
    <col min="14117" max="14117" width="1.19921875" style="4" customWidth="1"/>
    <col min="14118" max="14118" width="0.59765625" style="4" customWidth="1"/>
    <col min="14119" max="14119" width="2" style="4" customWidth="1"/>
    <col min="14120" max="14120" width="1.09765625" style="4" customWidth="1"/>
    <col min="14121" max="14121" width="1.5" style="4" customWidth="1"/>
    <col min="14122" max="14122" width="1.09765625" style="4" customWidth="1"/>
    <col min="14123" max="14123" width="1.5" style="4" customWidth="1"/>
    <col min="14124" max="14124" width="2.59765625" style="4" customWidth="1"/>
    <col min="14125" max="14125" width="1.3984375" style="4" customWidth="1"/>
    <col min="14126" max="14126" width="1.19921875" style="4" customWidth="1"/>
    <col min="14127" max="14128" width="2.59765625" style="4" customWidth="1"/>
    <col min="14129" max="14129" width="1.69921875" style="4" customWidth="1"/>
    <col min="14130" max="14131" width="0.8984375" style="4" customWidth="1"/>
    <col min="14132" max="14132" width="0.59765625" style="4" customWidth="1"/>
    <col min="14133" max="14133" width="1.09765625" style="4" customWidth="1"/>
    <col min="14134" max="14134" width="1.19921875" style="4" customWidth="1"/>
    <col min="14135" max="14135" width="1.3984375" style="4" customWidth="1"/>
    <col min="14136" max="14136" width="2.59765625" style="4" customWidth="1"/>
    <col min="14137" max="14137" width="1.09765625" style="4" customWidth="1"/>
    <col min="14138" max="14138" width="0.19921875" style="4" customWidth="1"/>
    <col min="14139" max="14139" width="0.296875" style="4" customWidth="1"/>
    <col min="14140" max="14140" width="1.09765625" style="4" customWidth="1"/>
    <col min="14141" max="14141" width="1.19921875" style="4" customWidth="1"/>
    <col min="14142" max="14142" width="0.296875" style="4" customWidth="1"/>
    <col min="14143" max="14143" width="4.5" style="4" customWidth="1"/>
    <col min="14144" max="14144" width="1.19921875" style="4" customWidth="1"/>
    <col min="14145" max="14145" width="1.09765625" style="4" customWidth="1"/>
    <col min="14146" max="14146" width="2.296875" style="4" customWidth="1"/>
    <col min="14147" max="14147" width="1.5" style="4" customWidth="1"/>
    <col min="14148" max="14148" width="0.796875" style="4" customWidth="1"/>
    <col min="14149" max="14149" width="0.59765625" style="4" customWidth="1"/>
    <col min="14150" max="14150" width="5.3984375" style="4" customWidth="1"/>
    <col min="14151" max="14151" width="2.09765625" style="4" customWidth="1"/>
    <col min="14152" max="14152" width="0.19921875" style="4" customWidth="1"/>
    <col min="14153" max="14153" width="0.5" style="4" customWidth="1"/>
    <col min="14154" max="14154" width="2.59765625" style="4" customWidth="1"/>
    <col min="14155" max="14155" width="3" style="4" customWidth="1"/>
    <col min="14156" max="14156" width="3.796875" style="4" customWidth="1"/>
    <col min="14157" max="14157" width="0.296875" style="4" customWidth="1"/>
    <col min="14158" max="14158" width="2" style="4" customWidth="1"/>
    <col min="14159" max="14159" width="0.296875" style="4" customWidth="1"/>
    <col min="14160" max="14336" width="8.796875" style="4"/>
    <col min="14337" max="14338" width="0.5" style="4" customWidth="1"/>
    <col min="14339" max="14340" width="0.19921875" style="4" customWidth="1"/>
    <col min="14341" max="14341" width="0.296875" style="4" customWidth="1"/>
    <col min="14342" max="14342" width="1.19921875" style="4" customWidth="1"/>
    <col min="14343" max="14343" width="7.3984375" style="4" customWidth="1"/>
    <col min="14344" max="14344" width="0.19921875" style="4" customWidth="1"/>
    <col min="14345" max="14345" width="5.69921875" style="4" customWidth="1"/>
    <col min="14346" max="14346" width="7.3984375" style="4" customWidth="1"/>
    <col min="14347" max="14347" width="0.796875" style="4" customWidth="1"/>
    <col min="14348" max="14348" width="1.796875" style="4" customWidth="1"/>
    <col min="14349" max="14350" width="2.59765625" style="4" customWidth="1"/>
    <col min="14351" max="14351" width="0.296875" style="4" customWidth="1"/>
    <col min="14352" max="14352" width="0.796875" style="4" customWidth="1"/>
    <col min="14353" max="14353" width="0.296875" style="4" customWidth="1"/>
    <col min="14354" max="14354" width="1.19921875" style="4" customWidth="1"/>
    <col min="14355" max="14355" width="1.5" style="4" customWidth="1"/>
    <col min="14356" max="14356" width="0.19921875" style="4" customWidth="1"/>
    <col min="14357" max="14357" width="0.8984375" style="4" customWidth="1"/>
    <col min="14358" max="14358" width="2.59765625" style="4" customWidth="1"/>
    <col min="14359" max="14359" width="1.19921875" style="4" customWidth="1"/>
    <col min="14360" max="14360" width="0.19921875" style="4" customWidth="1"/>
    <col min="14361" max="14361" width="1.19921875" style="4" customWidth="1"/>
    <col min="14362" max="14363" width="2.59765625" style="4" customWidth="1"/>
    <col min="14364" max="14364" width="2" style="4" customWidth="1"/>
    <col min="14365" max="14365" width="0.19921875" style="4" customWidth="1"/>
    <col min="14366" max="14366" width="0.5" style="4" customWidth="1"/>
    <col min="14367" max="14368" width="0.19921875" style="4" customWidth="1"/>
    <col min="14369" max="14369" width="2.296875" style="4" customWidth="1"/>
    <col min="14370" max="14370" width="2.59765625" style="4" customWidth="1"/>
    <col min="14371" max="14371" width="1.09765625" style="4" customWidth="1"/>
    <col min="14372" max="14372" width="0.296875" style="4" customWidth="1"/>
    <col min="14373" max="14373" width="1.19921875" style="4" customWidth="1"/>
    <col min="14374" max="14374" width="0.59765625" style="4" customWidth="1"/>
    <col min="14375" max="14375" width="2" style="4" customWidth="1"/>
    <col min="14376" max="14376" width="1.09765625" style="4" customWidth="1"/>
    <col min="14377" max="14377" width="1.5" style="4" customWidth="1"/>
    <col min="14378" max="14378" width="1.09765625" style="4" customWidth="1"/>
    <col min="14379" max="14379" width="1.5" style="4" customWidth="1"/>
    <col min="14380" max="14380" width="2.59765625" style="4" customWidth="1"/>
    <col min="14381" max="14381" width="1.3984375" style="4" customWidth="1"/>
    <col min="14382" max="14382" width="1.19921875" style="4" customWidth="1"/>
    <col min="14383" max="14384" width="2.59765625" style="4" customWidth="1"/>
    <col min="14385" max="14385" width="1.69921875" style="4" customWidth="1"/>
    <col min="14386" max="14387" width="0.8984375" style="4" customWidth="1"/>
    <col min="14388" max="14388" width="0.59765625" style="4" customWidth="1"/>
    <col min="14389" max="14389" width="1.09765625" style="4" customWidth="1"/>
    <col min="14390" max="14390" width="1.19921875" style="4" customWidth="1"/>
    <col min="14391" max="14391" width="1.3984375" style="4" customWidth="1"/>
    <col min="14392" max="14392" width="2.59765625" style="4" customWidth="1"/>
    <col min="14393" max="14393" width="1.09765625" style="4" customWidth="1"/>
    <col min="14394" max="14394" width="0.19921875" style="4" customWidth="1"/>
    <col min="14395" max="14395" width="0.296875" style="4" customWidth="1"/>
    <col min="14396" max="14396" width="1.09765625" style="4" customWidth="1"/>
    <col min="14397" max="14397" width="1.19921875" style="4" customWidth="1"/>
    <col min="14398" max="14398" width="0.296875" style="4" customWidth="1"/>
    <col min="14399" max="14399" width="4.5" style="4" customWidth="1"/>
    <col min="14400" max="14400" width="1.19921875" style="4" customWidth="1"/>
    <col min="14401" max="14401" width="1.09765625" style="4" customWidth="1"/>
    <col min="14402" max="14402" width="2.296875" style="4" customWidth="1"/>
    <col min="14403" max="14403" width="1.5" style="4" customWidth="1"/>
    <col min="14404" max="14404" width="0.796875" style="4" customWidth="1"/>
    <col min="14405" max="14405" width="0.59765625" style="4" customWidth="1"/>
    <col min="14406" max="14406" width="5.3984375" style="4" customWidth="1"/>
    <col min="14407" max="14407" width="2.09765625" style="4" customWidth="1"/>
    <col min="14408" max="14408" width="0.19921875" style="4" customWidth="1"/>
    <col min="14409" max="14409" width="0.5" style="4" customWidth="1"/>
    <col min="14410" max="14410" width="2.59765625" style="4" customWidth="1"/>
    <col min="14411" max="14411" width="3" style="4" customWidth="1"/>
    <col min="14412" max="14412" width="3.796875" style="4" customWidth="1"/>
    <col min="14413" max="14413" width="0.296875" style="4" customWidth="1"/>
    <col min="14414" max="14414" width="2" style="4" customWidth="1"/>
    <col min="14415" max="14415" width="0.296875" style="4" customWidth="1"/>
    <col min="14416" max="14592" width="8.796875" style="4"/>
    <col min="14593" max="14594" width="0.5" style="4" customWidth="1"/>
    <col min="14595" max="14596" width="0.19921875" style="4" customWidth="1"/>
    <col min="14597" max="14597" width="0.296875" style="4" customWidth="1"/>
    <col min="14598" max="14598" width="1.19921875" style="4" customWidth="1"/>
    <col min="14599" max="14599" width="7.3984375" style="4" customWidth="1"/>
    <col min="14600" max="14600" width="0.19921875" style="4" customWidth="1"/>
    <col min="14601" max="14601" width="5.69921875" style="4" customWidth="1"/>
    <col min="14602" max="14602" width="7.3984375" style="4" customWidth="1"/>
    <col min="14603" max="14603" width="0.796875" style="4" customWidth="1"/>
    <col min="14604" max="14604" width="1.796875" style="4" customWidth="1"/>
    <col min="14605" max="14606" width="2.59765625" style="4" customWidth="1"/>
    <col min="14607" max="14607" width="0.296875" style="4" customWidth="1"/>
    <col min="14608" max="14608" width="0.796875" style="4" customWidth="1"/>
    <col min="14609" max="14609" width="0.296875" style="4" customWidth="1"/>
    <col min="14610" max="14610" width="1.19921875" style="4" customWidth="1"/>
    <col min="14611" max="14611" width="1.5" style="4" customWidth="1"/>
    <col min="14612" max="14612" width="0.19921875" style="4" customWidth="1"/>
    <col min="14613" max="14613" width="0.8984375" style="4" customWidth="1"/>
    <col min="14614" max="14614" width="2.59765625" style="4" customWidth="1"/>
    <col min="14615" max="14615" width="1.19921875" style="4" customWidth="1"/>
    <col min="14616" max="14616" width="0.19921875" style="4" customWidth="1"/>
    <col min="14617" max="14617" width="1.19921875" style="4" customWidth="1"/>
    <col min="14618" max="14619" width="2.59765625" style="4" customWidth="1"/>
    <col min="14620" max="14620" width="2" style="4" customWidth="1"/>
    <col min="14621" max="14621" width="0.19921875" style="4" customWidth="1"/>
    <col min="14622" max="14622" width="0.5" style="4" customWidth="1"/>
    <col min="14623" max="14624" width="0.19921875" style="4" customWidth="1"/>
    <col min="14625" max="14625" width="2.296875" style="4" customWidth="1"/>
    <col min="14626" max="14626" width="2.59765625" style="4" customWidth="1"/>
    <col min="14627" max="14627" width="1.09765625" style="4" customWidth="1"/>
    <col min="14628" max="14628" width="0.296875" style="4" customWidth="1"/>
    <col min="14629" max="14629" width="1.19921875" style="4" customWidth="1"/>
    <col min="14630" max="14630" width="0.59765625" style="4" customWidth="1"/>
    <col min="14631" max="14631" width="2" style="4" customWidth="1"/>
    <col min="14632" max="14632" width="1.09765625" style="4" customWidth="1"/>
    <col min="14633" max="14633" width="1.5" style="4" customWidth="1"/>
    <col min="14634" max="14634" width="1.09765625" style="4" customWidth="1"/>
    <col min="14635" max="14635" width="1.5" style="4" customWidth="1"/>
    <col min="14636" max="14636" width="2.59765625" style="4" customWidth="1"/>
    <col min="14637" max="14637" width="1.3984375" style="4" customWidth="1"/>
    <col min="14638" max="14638" width="1.19921875" style="4" customWidth="1"/>
    <col min="14639" max="14640" width="2.59765625" style="4" customWidth="1"/>
    <col min="14641" max="14641" width="1.69921875" style="4" customWidth="1"/>
    <col min="14642" max="14643" width="0.8984375" style="4" customWidth="1"/>
    <col min="14644" max="14644" width="0.59765625" style="4" customWidth="1"/>
    <col min="14645" max="14645" width="1.09765625" style="4" customWidth="1"/>
    <col min="14646" max="14646" width="1.19921875" style="4" customWidth="1"/>
    <col min="14647" max="14647" width="1.3984375" style="4" customWidth="1"/>
    <col min="14648" max="14648" width="2.59765625" style="4" customWidth="1"/>
    <col min="14649" max="14649" width="1.09765625" style="4" customWidth="1"/>
    <col min="14650" max="14650" width="0.19921875" style="4" customWidth="1"/>
    <col min="14651" max="14651" width="0.296875" style="4" customWidth="1"/>
    <col min="14652" max="14652" width="1.09765625" style="4" customWidth="1"/>
    <col min="14653" max="14653" width="1.19921875" style="4" customWidth="1"/>
    <col min="14654" max="14654" width="0.296875" style="4" customWidth="1"/>
    <col min="14655" max="14655" width="4.5" style="4" customWidth="1"/>
    <col min="14656" max="14656" width="1.19921875" style="4" customWidth="1"/>
    <col min="14657" max="14657" width="1.09765625" style="4" customWidth="1"/>
    <col min="14658" max="14658" width="2.296875" style="4" customWidth="1"/>
    <col min="14659" max="14659" width="1.5" style="4" customWidth="1"/>
    <col min="14660" max="14660" width="0.796875" style="4" customWidth="1"/>
    <col min="14661" max="14661" width="0.59765625" style="4" customWidth="1"/>
    <col min="14662" max="14662" width="5.3984375" style="4" customWidth="1"/>
    <col min="14663" max="14663" width="2.09765625" style="4" customWidth="1"/>
    <col min="14664" max="14664" width="0.19921875" style="4" customWidth="1"/>
    <col min="14665" max="14665" width="0.5" style="4" customWidth="1"/>
    <col min="14666" max="14666" width="2.59765625" style="4" customWidth="1"/>
    <col min="14667" max="14667" width="3" style="4" customWidth="1"/>
    <col min="14668" max="14668" width="3.796875" style="4" customWidth="1"/>
    <col min="14669" max="14669" width="0.296875" style="4" customWidth="1"/>
    <col min="14670" max="14670" width="2" style="4" customWidth="1"/>
    <col min="14671" max="14671" width="0.296875" style="4" customWidth="1"/>
    <col min="14672" max="14848" width="8.796875" style="4"/>
    <col min="14849" max="14850" width="0.5" style="4" customWidth="1"/>
    <col min="14851" max="14852" width="0.19921875" style="4" customWidth="1"/>
    <col min="14853" max="14853" width="0.296875" style="4" customWidth="1"/>
    <col min="14854" max="14854" width="1.19921875" style="4" customWidth="1"/>
    <col min="14855" max="14855" width="7.3984375" style="4" customWidth="1"/>
    <col min="14856" max="14856" width="0.19921875" style="4" customWidth="1"/>
    <col min="14857" max="14857" width="5.69921875" style="4" customWidth="1"/>
    <col min="14858" max="14858" width="7.3984375" style="4" customWidth="1"/>
    <col min="14859" max="14859" width="0.796875" style="4" customWidth="1"/>
    <col min="14860" max="14860" width="1.796875" style="4" customWidth="1"/>
    <col min="14861" max="14862" width="2.59765625" style="4" customWidth="1"/>
    <col min="14863" max="14863" width="0.296875" style="4" customWidth="1"/>
    <col min="14864" max="14864" width="0.796875" style="4" customWidth="1"/>
    <col min="14865" max="14865" width="0.296875" style="4" customWidth="1"/>
    <col min="14866" max="14866" width="1.19921875" style="4" customWidth="1"/>
    <col min="14867" max="14867" width="1.5" style="4" customWidth="1"/>
    <col min="14868" max="14868" width="0.19921875" style="4" customWidth="1"/>
    <col min="14869" max="14869" width="0.8984375" style="4" customWidth="1"/>
    <col min="14870" max="14870" width="2.59765625" style="4" customWidth="1"/>
    <col min="14871" max="14871" width="1.19921875" style="4" customWidth="1"/>
    <col min="14872" max="14872" width="0.19921875" style="4" customWidth="1"/>
    <col min="14873" max="14873" width="1.19921875" style="4" customWidth="1"/>
    <col min="14874" max="14875" width="2.59765625" style="4" customWidth="1"/>
    <col min="14876" max="14876" width="2" style="4" customWidth="1"/>
    <col min="14877" max="14877" width="0.19921875" style="4" customWidth="1"/>
    <col min="14878" max="14878" width="0.5" style="4" customWidth="1"/>
    <col min="14879" max="14880" width="0.19921875" style="4" customWidth="1"/>
    <col min="14881" max="14881" width="2.296875" style="4" customWidth="1"/>
    <col min="14882" max="14882" width="2.59765625" style="4" customWidth="1"/>
    <col min="14883" max="14883" width="1.09765625" style="4" customWidth="1"/>
    <col min="14884" max="14884" width="0.296875" style="4" customWidth="1"/>
    <col min="14885" max="14885" width="1.19921875" style="4" customWidth="1"/>
    <col min="14886" max="14886" width="0.59765625" style="4" customWidth="1"/>
    <col min="14887" max="14887" width="2" style="4" customWidth="1"/>
    <col min="14888" max="14888" width="1.09765625" style="4" customWidth="1"/>
    <col min="14889" max="14889" width="1.5" style="4" customWidth="1"/>
    <col min="14890" max="14890" width="1.09765625" style="4" customWidth="1"/>
    <col min="14891" max="14891" width="1.5" style="4" customWidth="1"/>
    <col min="14892" max="14892" width="2.59765625" style="4" customWidth="1"/>
    <col min="14893" max="14893" width="1.3984375" style="4" customWidth="1"/>
    <col min="14894" max="14894" width="1.19921875" style="4" customWidth="1"/>
    <col min="14895" max="14896" width="2.59765625" style="4" customWidth="1"/>
    <col min="14897" max="14897" width="1.69921875" style="4" customWidth="1"/>
    <col min="14898" max="14899" width="0.8984375" style="4" customWidth="1"/>
    <col min="14900" max="14900" width="0.59765625" style="4" customWidth="1"/>
    <col min="14901" max="14901" width="1.09765625" style="4" customWidth="1"/>
    <col min="14902" max="14902" width="1.19921875" style="4" customWidth="1"/>
    <col min="14903" max="14903" width="1.3984375" style="4" customWidth="1"/>
    <col min="14904" max="14904" width="2.59765625" style="4" customWidth="1"/>
    <col min="14905" max="14905" width="1.09765625" style="4" customWidth="1"/>
    <col min="14906" max="14906" width="0.19921875" style="4" customWidth="1"/>
    <col min="14907" max="14907" width="0.296875" style="4" customWidth="1"/>
    <col min="14908" max="14908" width="1.09765625" style="4" customWidth="1"/>
    <col min="14909" max="14909" width="1.19921875" style="4" customWidth="1"/>
    <col min="14910" max="14910" width="0.296875" style="4" customWidth="1"/>
    <col min="14911" max="14911" width="4.5" style="4" customWidth="1"/>
    <col min="14912" max="14912" width="1.19921875" style="4" customWidth="1"/>
    <col min="14913" max="14913" width="1.09765625" style="4" customWidth="1"/>
    <col min="14914" max="14914" width="2.296875" style="4" customWidth="1"/>
    <col min="14915" max="14915" width="1.5" style="4" customWidth="1"/>
    <col min="14916" max="14916" width="0.796875" style="4" customWidth="1"/>
    <col min="14917" max="14917" width="0.59765625" style="4" customWidth="1"/>
    <col min="14918" max="14918" width="5.3984375" style="4" customWidth="1"/>
    <col min="14919" max="14919" width="2.09765625" style="4" customWidth="1"/>
    <col min="14920" max="14920" width="0.19921875" style="4" customWidth="1"/>
    <col min="14921" max="14921" width="0.5" style="4" customWidth="1"/>
    <col min="14922" max="14922" width="2.59765625" style="4" customWidth="1"/>
    <col min="14923" max="14923" width="3" style="4" customWidth="1"/>
    <col min="14924" max="14924" width="3.796875" style="4" customWidth="1"/>
    <col min="14925" max="14925" width="0.296875" style="4" customWidth="1"/>
    <col min="14926" max="14926" width="2" style="4" customWidth="1"/>
    <col min="14927" max="14927" width="0.296875" style="4" customWidth="1"/>
    <col min="14928" max="15104" width="8.796875" style="4"/>
    <col min="15105" max="15106" width="0.5" style="4" customWidth="1"/>
    <col min="15107" max="15108" width="0.19921875" style="4" customWidth="1"/>
    <col min="15109" max="15109" width="0.296875" style="4" customWidth="1"/>
    <col min="15110" max="15110" width="1.19921875" style="4" customWidth="1"/>
    <col min="15111" max="15111" width="7.3984375" style="4" customWidth="1"/>
    <col min="15112" max="15112" width="0.19921875" style="4" customWidth="1"/>
    <col min="15113" max="15113" width="5.69921875" style="4" customWidth="1"/>
    <col min="15114" max="15114" width="7.3984375" style="4" customWidth="1"/>
    <col min="15115" max="15115" width="0.796875" style="4" customWidth="1"/>
    <col min="15116" max="15116" width="1.796875" style="4" customWidth="1"/>
    <col min="15117" max="15118" width="2.59765625" style="4" customWidth="1"/>
    <col min="15119" max="15119" width="0.296875" style="4" customWidth="1"/>
    <col min="15120" max="15120" width="0.796875" style="4" customWidth="1"/>
    <col min="15121" max="15121" width="0.296875" style="4" customWidth="1"/>
    <col min="15122" max="15122" width="1.19921875" style="4" customWidth="1"/>
    <col min="15123" max="15123" width="1.5" style="4" customWidth="1"/>
    <col min="15124" max="15124" width="0.19921875" style="4" customWidth="1"/>
    <col min="15125" max="15125" width="0.8984375" style="4" customWidth="1"/>
    <col min="15126" max="15126" width="2.59765625" style="4" customWidth="1"/>
    <col min="15127" max="15127" width="1.19921875" style="4" customWidth="1"/>
    <col min="15128" max="15128" width="0.19921875" style="4" customWidth="1"/>
    <col min="15129" max="15129" width="1.19921875" style="4" customWidth="1"/>
    <col min="15130" max="15131" width="2.59765625" style="4" customWidth="1"/>
    <col min="15132" max="15132" width="2" style="4" customWidth="1"/>
    <col min="15133" max="15133" width="0.19921875" style="4" customWidth="1"/>
    <col min="15134" max="15134" width="0.5" style="4" customWidth="1"/>
    <col min="15135" max="15136" width="0.19921875" style="4" customWidth="1"/>
    <col min="15137" max="15137" width="2.296875" style="4" customWidth="1"/>
    <col min="15138" max="15138" width="2.59765625" style="4" customWidth="1"/>
    <col min="15139" max="15139" width="1.09765625" style="4" customWidth="1"/>
    <col min="15140" max="15140" width="0.296875" style="4" customWidth="1"/>
    <col min="15141" max="15141" width="1.19921875" style="4" customWidth="1"/>
    <col min="15142" max="15142" width="0.59765625" style="4" customWidth="1"/>
    <col min="15143" max="15143" width="2" style="4" customWidth="1"/>
    <col min="15144" max="15144" width="1.09765625" style="4" customWidth="1"/>
    <col min="15145" max="15145" width="1.5" style="4" customWidth="1"/>
    <col min="15146" max="15146" width="1.09765625" style="4" customWidth="1"/>
    <col min="15147" max="15147" width="1.5" style="4" customWidth="1"/>
    <col min="15148" max="15148" width="2.59765625" style="4" customWidth="1"/>
    <col min="15149" max="15149" width="1.3984375" style="4" customWidth="1"/>
    <col min="15150" max="15150" width="1.19921875" style="4" customWidth="1"/>
    <col min="15151" max="15152" width="2.59765625" style="4" customWidth="1"/>
    <col min="15153" max="15153" width="1.69921875" style="4" customWidth="1"/>
    <col min="15154" max="15155" width="0.8984375" style="4" customWidth="1"/>
    <col min="15156" max="15156" width="0.59765625" style="4" customWidth="1"/>
    <col min="15157" max="15157" width="1.09765625" style="4" customWidth="1"/>
    <col min="15158" max="15158" width="1.19921875" style="4" customWidth="1"/>
    <col min="15159" max="15159" width="1.3984375" style="4" customWidth="1"/>
    <col min="15160" max="15160" width="2.59765625" style="4" customWidth="1"/>
    <col min="15161" max="15161" width="1.09765625" style="4" customWidth="1"/>
    <col min="15162" max="15162" width="0.19921875" style="4" customWidth="1"/>
    <col min="15163" max="15163" width="0.296875" style="4" customWidth="1"/>
    <col min="15164" max="15164" width="1.09765625" style="4" customWidth="1"/>
    <col min="15165" max="15165" width="1.19921875" style="4" customWidth="1"/>
    <col min="15166" max="15166" width="0.296875" style="4" customWidth="1"/>
    <col min="15167" max="15167" width="4.5" style="4" customWidth="1"/>
    <col min="15168" max="15168" width="1.19921875" style="4" customWidth="1"/>
    <col min="15169" max="15169" width="1.09765625" style="4" customWidth="1"/>
    <col min="15170" max="15170" width="2.296875" style="4" customWidth="1"/>
    <col min="15171" max="15171" width="1.5" style="4" customWidth="1"/>
    <col min="15172" max="15172" width="0.796875" style="4" customWidth="1"/>
    <col min="15173" max="15173" width="0.59765625" style="4" customWidth="1"/>
    <col min="15174" max="15174" width="5.3984375" style="4" customWidth="1"/>
    <col min="15175" max="15175" width="2.09765625" style="4" customWidth="1"/>
    <col min="15176" max="15176" width="0.19921875" style="4" customWidth="1"/>
    <col min="15177" max="15177" width="0.5" style="4" customWidth="1"/>
    <col min="15178" max="15178" width="2.59765625" style="4" customWidth="1"/>
    <col min="15179" max="15179" width="3" style="4" customWidth="1"/>
    <col min="15180" max="15180" width="3.796875" style="4" customWidth="1"/>
    <col min="15181" max="15181" width="0.296875" style="4" customWidth="1"/>
    <col min="15182" max="15182" width="2" style="4" customWidth="1"/>
    <col min="15183" max="15183" width="0.296875" style="4" customWidth="1"/>
    <col min="15184" max="15360" width="8.796875" style="4"/>
    <col min="15361" max="15362" width="0.5" style="4" customWidth="1"/>
    <col min="15363" max="15364" width="0.19921875" style="4" customWidth="1"/>
    <col min="15365" max="15365" width="0.296875" style="4" customWidth="1"/>
    <col min="15366" max="15366" width="1.19921875" style="4" customWidth="1"/>
    <col min="15367" max="15367" width="7.3984375" style="4" customWidth="1"/>
    <col min="15368" max="15368" width="0.19921875" style="4" customWidth="1"/>
    <col min="15369" max="15369" width="5.69921875" style="4" customWidth="1"/>
    <col min="15370" max="15370" width="7.3984375" style="4" customWidth="1"/>
    <col min="15371" max="15371" width="0.796875" style="4" customWidth="1"/>
    <col min="15372" max="15372" width="1.796875" style="4" customWidth="1"/>
    <col min="15373" max="15374" width="2.59765625" style="4" customWidth="1"/>
    <col min="15375" max="15375" width="0.296875" style="4" customWidth="1"/>
    <col min="15376" max="15376" width="0.796875" style="4" customWidth="1"/>
    <col min="15377" max="15377" width="0.296875" style="4" customWidth="1"/>
    <col min="15378" max="15378" width="1.19921875" style="4" customWidth="1"/>
    <col min="15379" max="15379" width="1.5" style="4" customWidth="1"/>
    <col min="15380" max="15380" width="0.19921875" style="4" customWidth="1"/>
    <col min="15381" max="15381" width="0.8984375" style="4" customWidth="1"/>
    <col min="15382" max="15382" width="2.59765625" style="4" customWidth="1"/>
    <col min="15383" max="15383" width="1.19921875" style="4" customWidth="1"/>
    <col min="15384" max="15384" width="0.19921875" style="4" customWidth="1"/>
    <col min="15385" max="15385" width="1.19921875" style="4" customWidth="1"/>
    <col min="15386" max="15387" width="2.59765625" style="4" customWidth="1"/>
    <col min="15388" max="15388" width="2" style="4" customWidth="1"/>
    <col min="15389" max="15389" width="0.19921875" style="4" customWidth="1"/>
    <col min="15390" max="15390" width="0.5" style="4" customWidth="1"/>
    <col min="15391" max="15392" width="0.19921875" style="4" customWidth="1"/>
    <col min="15393" max="15393" width="2.296875" style="4" customWidth="1"/>
    <col min="15394" max="15394" width="2.59765625" style="4" customWidth="1"/>
    <col min="15395" max="15395" width="1.09765625" style="4" customWidth="1"/>
    <col min="15396" max="15396" width="0.296875" style="4" customWidth="1"/>
    <col min="15397" max="15397" width="1.19921875" style="4" customWidth="1"/>
    <col min="15398" max="15398" width="0.59765625" style="4" customWidth="1"/>
    <col min="15399" max="15399" width="2" style="4" customWidth="1"/>
    <col min="15400" max="15400" width="1.09765625" style="4" customWidth="1"/>
    <col min="15401" max="15401" width="1.5" style="4" customWidth="1"/>
    <col min="15402" max="15402" width="1.09765625" style="4" customWidth="1"/>
    <col min="15403" max="15403" width="1.5" style="4" customWidth="1"/>
    <col min="15404" max="15404" width="2.59765625" style="4" customWidth="1"/>
    <col min="15405" max="15405" width="1.3984375" style="4" customWidth="1"/>
    <col min="15406" max="15406" width="1.19921875" style="4" customWidth="1"/>
    <col min="15407" max="15408" width="2.59765625" style="4" customWidth="1"/>
    <col min="15409" max="15409" width="1.69921875" style="4" customWidth="1"/>
    <col min="15410" max="15411" width="0.8984375" style="4" customWidth="1"/>
    <col min="15412" max="15412" width="0.59765625" style="4" customWidth="1"/>
    <col min="15413" max="15413" width="1.09765625" style="4" customWidth="1"/>
    <col min="15414" max="15414" width="1.19921875" style="4" customWidth="1"/>
    <col min="15415" max="15415" width="1.3984375" style="4" customWidth="1"/>
    <col min="15416" max="15416" width="2.59765625" style="4" customWidth="1"/>
    <col min="15417" max="15417" width="1.09765625" style="4" customWidth="1"/>
    <col min="15418" max="15418" width="0.19921875" style="4" customWidth="1"/>
    <col min="15419" max="15419" width="0.296875" style="4" customWidth="1"/>
    <col min="15420" max="15420" width="1.09765625" style="4" customWidth="1"/>
    <col min="15421" max="15421" width="1.19921875" style="4" customWidth="1"/>
    <col min="15422" max="15422" width="0.296875" style="4" customWidth="1"/>
    <col min="15423" max="15423" width="4.5" style="4" customWidth="1"/>
    <col min="15424" max="15424" width="1.19921875" style="4" customWidth="1"/>
    <col min="15425" max="15425" width="1.09765625" style="4" customWidth="1"/>
    <col min="15426" max="15426" width="2.296875" style="4" customWidth="1"/>
    <col min="15427" max="15427" width="1.5" style="4" customWidth="1"/>
    <col min="15428" max="15428" width="0.796875" style="4" customWidth="1"/>
    <col min="15429" max="15429" width="0.59765625" style="4" customWidth="1"/>
    <col min="15430" max="15430" width="5.3984375" style="4" customWidth="1"/>
    <col min="15431" max="15431" width="2.09765625" style="4" customWidth="1"/>
    <col min="15432" max="15432" width="0.19921875" style="4" customWidth="1"/>
    <col min="15433" max="15433" width="0.5" style="4" customWidth="1"/>
    <col min="15434" max="15434" width="2.59765625" style="4" customWidth="1"/>
    <col min="15435" max="15435" width="3" style="4" customWidth="1"/>
    <col min="15436" max="15436" width="3.796875" style="4" customWidth="1"/>
    <col min="15437" max="15437" width="0.296875" style="4" customWidth="1"/>
    <col min="15438" max="15438" width="2" style="4" customWidth="1"/>
    <col min="15439" max="15439" width="0.296875" style="4" customWidth="1"/>
    <col min="15440" max="15616" width="8.796875" style="4"/>
    <col min="15617" max="15618" width="0.5" style="4" customWidth="1"/>
    <col min="15619" max="15620" width="0.19921875" style="4" customWidth="1"/>
    <col min="15621" max="15621" width="0.296875" style="4" customWidth="1"/>
    <col min="15622" max="15622" width="1.19921875" style="4" customWidth="1"/>
    <col min="15623" max="15623" width="7.3984375" style="4" customWidth="1"/>
    <col min="15624" max="15624" width="0.19921875" style="4" customWidth="1"/>
    <col min="15625" max="15625" width="5.69921875" style="4" customWidth="1"/>
    <col min="15626" max="15626" width="7.3984375" style="4" customWidth="1"/>
    <col min="15627" max="15627" width="0.796875" style="4" customWidth="1"/>
    <col min="15628" max="15628" width="1.796875" style="4" customWidth="1"/>
    <col min="15629" max="15630" width="2.59765625" style="4" customWidth="1"/>
    <col min="15631" max="15631" width="0.296875" style="4" customWidth="1"/>
    <col min="15632" max="15632" width="0.796875" style="4" customWidth="1"/>
    <col min="15633" max="15633" width="0.296875" style="4" customWidth="1"/>
    <col min="15634" max="15634" width="1.19921875" style="4" customWidth="1"/>
    <col min="15635" max="15635" width="1.5" style="4" customWidth="1"/>
    <col min="15636" max="15636" width="0.19921875" style="4" customWidth="1"/>
    <col min="15637" max="15637" width="0.8984375" style="4" customWidth="1"/>
    <col min="15638" max="15638" width="2.59765625" style="4" customWidth="1"/>
    <col min="15639" max="15639" width="1.19921875" style="4" customWidth="1"/>
    <col min="15640" max="15640" width="0.19921875" style="4" customWidth="1"/>
    <col min="15641" max="15641" width="1.19921875" style="4" customWidth="1"/>
    <col min="15642" max="15643" width="2.59765625" style="4" customWidth="1"/>
    <col min="15644" max="15644" width="2" style="4" customWidth="1"/>
    <col min="15645" max="15645" width="0.19921875" style="4" customWidth="1"/>
    <col min="15646" max="15646" width="0.5" style="4" customWidth="1"/>
    <col min="15647" max="15648" width="0.19921875" style="4" customWidth="1"/>
    <col min="15649" max="15649" width="2.296875" style="4" customWidth="1"/>
    <col min="15650" max="15650" width="2.59765625" style="4" customWidth="1"/>
    <col min="15651" max="15651" width="1.09765625" style="4" customWidth="1"/>
    <col min="15652" max="15652" width="0.296875" style="4" customWidth="1"/>
    <col min="15653" max="15653" width="1.19921875" style="4" customWidth="1"/>
    <col min="15654" max="15654" width="0.59765625" style="4" customWidth="1"/>
    <col min="15655" max="15655" width="2" style="4" customWidth="1"/>
    <col min="15656" max="15656" width="1.09765625" style="4" customWidth="1"/>
    <col min="15657" max="15657" width="1.5" style="4" customWidth="1"/>
    <col min="15658" max="15658" width="1.09765625" style="4" customWidth="1"/>
    <col min="15659" max="15659" width="1.5" style="4" customWidth="1"/>
    <col min="15660" max="15660" width="2.59765625" style="4" customWidth="1"/>
    <col min="15661" max="15661" width="1.3984375" style="4" customWidth="1"/>
    <col min="15662" max="15662" width="1.19921875" style="4" customWidth="1"/>
    <col min="15663" max="15664" width="2.59765625" style="4" customWidth="1"/>
    <col min="15665" max="15665" width="1.69921875" style="4" customWidth="1"/>
    <col min="15666" max="15667" width="0.8984375" style="4" customWidth="1"/>
    <col min="15668" max="15668" width="0.59765625" style="4" customWidth="1"/>
    <col min="15669" max="15669" width="1.09765625" style="4" customWidth="1"/>
    <col min="15670" max="15670" width="1.19921875" style="4" customWidth="1"/>
    <col min="15671" max="15671" width="1.3984375" style="4" customWidth="1"/>
    <col min="15672" max="15672" width="2.59765625" style="4" customWidth="1"/>
    <col min="15673" max="15673" width="1.09765625" style="4" customWidth="1"/>
    <col min="15674" max="15674" width="0.19921875" style="4" customWidth="1"/>
    <col min="15675" max="15675" width="0.296875" style="4" customWidth="1"/>
    <col min="15676" max="15676" width="1.09765625" style="4" customWidth="1"/>
    <col min="15677" max="15677" width="1.19921875" style="4" customWidth="1"/>
    <col min="15678" max="15678" width="0.296875" style="4" customWidth="1"/>
    <col min="15679" max="15679" width="4.5" style="4" customWidth="1"/>
    <col min="15680" max="15680" width="1.19921875" style="4" customWidth="1"/>
    <col min="15681" max="15681" width="1.09765625" style="4" customWidth="1"/>
    <col min="15682" max="15682" width="2.296875" style="4" customWidth="1"/>
    <col min="15683" max="15683" width="1.5" style="4" customWidth="1"/>
    <col min="15684" max="15684" width="0.796875" style="4" customWidth="1"/>
    <col min="15685" max="15685" width="0.59765625" style="4" customWidth="1"/>
    <col min="15686" max="15686" width="5.3984375" style="4" customWidth="1"/>
    <col min="15687" max="15687" width="2.09765625" style="4" customWidth="1"/>
    <col min="15688" max="15688" width="0.19921875" style="4" customWidth="1"/>
    <col min="15689" max="15689" width="0.5" style="4" customWidth="1"/>
    <col min="15690" max="15690" width="2.59765625" style="4" customWidth="1"/>
    <col min="15691" max="15691" width="3" style="4" customWidth="1"/>
    <col min="15692" max="15692" width="3.796875" style="4" customWidth="1"/>
    <col min="15693" max="15693" width="0.296875" style="4" customWidth="1"/>
    <col min="15694" max="15694" width="2" style="4" customWidth="1"/>
    <col min="15695" max="15695" width="0.296875" style="4" customWidth="1"/>
    <col min="15696" max="15872" width="8.796875" style="4"/>
    <col min="15873" max="15874" width="0.5" style="4" customWidth="1"/>
    <col min="15875" max="15876" width="0.19921875" style="4" customWidth="1"/>
    <col min="15877" max="15877" width="0.296875" style="4" customWidth="1"/>
    <col min="15878" max="15878" width="1.19921875" style="4" customWidth="1"/>
    <col min="15879" max="15879" width="7.3984375" style="4" customWidth="1"/>
    <col min="15880" max="15880" width="0.19921875" style="4" customWidth="1"/>
    <col min="15881" max="15881" width="5.69921875" style="4" customWidth="1"/>
    <col min="15882" max="15882" width="7.3984375" style="4" customWidth="1"/>
    <col min="15883" max="15883" width="0.796875" style="4" customWidth="1"/>
    <col min="15884" max="15884" width="1.796875" style="4" customWidth="1"/>
    <col min="15885" max="15886" width="2.59765625" style="4" customWidth="1"/>
    <col min="15887" max="15887" width="0.296875" style="4" customWidth="1"/>
    <col min="15888" max="15888" width="0.796875" style="4" customWidth="1"/>
    <col min="15889" max="15889" width="0.296875" style="4" customWidth="1"/>
    <col min="15890" max="15890" width="1.19921875" style="4" customWidth="1"/>
    <col min="15891" max="15891" width="1.5" style="4" customWidth="1"/>
    <col min="15892" max="15892" width="0.19921875" style="4" customWidth="1"/>
    <col min="15893" max="15893" width="0.8984375" style="4" customWidth="1"/>
    <col min="15894" max="15894" width="2.59765625" style="4" customWidth="1"/>
    <col min="15895" max="15895" width="1.19921875" style="4" customWidth="1"/>
    <col min="15896" max="15896" width="0.19921875" style="4" customWidth="1"/>
    <col min="15897" max="15897" width="1.19921875" style="4" customWidth="1"/>
    <col min="15898" max="15899" width="2.59765625" style="4" customWidth="1"/>
    <col min="15900" max="15900" width="2" style="4" customWidth="1"/>
    <col min="15901" max="15901" width="0.19921875" style="4" customWidth="1"/>
    <col min="15902" max="15902" width="0.5" style="4" customWidth="1"/>
    <col min="15903" max="15904" width="0.19921875" style="4" customWidth="1"/>
    <col min="15905" max="15905" width="2.296875" style="4" customWidth="1"/>
    <col min="15906" max="15906" width="2.59765625" style="4" customWidth="1"/>
    <col min="15907" max="15907" width="1.09765625" style="4" customWidth="1"/>
    <col min="15908" max="15908" width="0.296875" style="4" customWidth="1"/>
    <col min="15909" max="15909" width="1.19921875" style="4" customWidth="1"/>
    <col min="15910" max="15910" width="0.59765625" style="4" customWidth="1"/>
    <col min="15911" max="15911" width="2" style="4" customWidth="1"/>
    <col min="15912" max="15912" width="1.09765625" style="4" customWidth="1"/>
    <col min="15913" max="15913" width="1.5" style="4" customWidth="1"/>
    <col min="15914" max="15914" width="1.09765625" style="4" customWidth="1"/>
    <col min="15915" max="15915" width="1.5" style="4" customWidth="1"/>
    <col min="15916" max="15916" width="2.59765625" style="4" customWidth="1"/>
    <col min="15917" max="15917" width="1.3984375" style="4" customWidth="1"/>
    <col min="15918" max="15918" width="1.19921875" style="4" customWidth="1"/>
    <col min="15919" max="15920" width="2.59765625" style="4" customWidth="1"/>
    <col min="15921" max="15921" width="1.69921875" style="4" customWidth="1"/>
    <col min="15922" max="15923" width="0.8984375" style="4" customWidth="1"/>
    <col min="15924" max="15924" width="0.59765625" style="4" customWidth="1"/>
    <col min="15925" max="15925" width="1.09765625" style="4" customWidth="1"/>
    <col min="15926" max="15926" width="1.19921875" style="4" customWidth="1"/>
    <col min="15927" max="15927" width="1.3984375" style="4" customWidth="1"/>
    <col min="15928" max="15928" width="2.59765625" style="4" customWidth="1"/>
    <col min="15929" max="15929" width="1.09765625" style="4" customWidth="1"/>
    <col min="15930" max="15930" width="0.19921875" style="4" customWidth="1"/>
    <col min="15931" max="15931" width="0.296875" style="4" customWidth="1"/>
    <col min="15932" max="15932" width="1.09765625" style="4" customWidth="1"/>
    <col min="15933" max="15933" width="1.19921875" style="4" customWidth="1"/>
    <col min="15934" max="15934" width="0.296875" style="4" customWidth="1"/>
    <col min="15935" max="15935" width="4.5" style="4" customWidth="1"/>
    <col min="15936" max="15936" width="1.19921875" style="4" customWidth="1"/>
    <col min="15937" max="15937" width="1.09765625" style="4" customWidth="1"/>
    <col min="15938" max="15938" width="2.296875" style="4" customWidth="1"/>
    <col min="15939" max="15939" width="1.5" style="4" customWidth="1"/>
    <col min="15940" max="15940" width="0.796875" style="4" customWidth="1"/>
    <col min="15941" max="15941" width="0.59765625" style="4" customWidth="1"/>
    <col min="15942" max="15942" width="5.3984375" style="4" customWidth="1"/>
    <col min="15943" max="15943" width="2.09765625" style="4" customWidth="1"/>
    <col min="15944" max="15944" width="0.19921875" style="4" customWidth="1"/>
    <col min="15945" max="15945" width="0.5" style="4" customWidth="1"/>
    <col min="15946" max="15946" width="2.59765625" style="4" customWidth="1"/>
    <col min="15947" max="15947" width="3" style="4" customWidth="1"/>
    <col min="15948" max="15948" width="3.796875" style="4" customWidth="1"/>
    <col min="15949" max="15949" width="0.296875" style="4" customWidth="1"/>
    <col min="15950" max="15950" width="2" style="4" customWidth="1"/>
    <col min="15951" max="15951" width="0.296875" style="4" customWidth="1"/>
    <col min="15952" max="16128" width="8.796875" style="4"/>
    <col min="16129" max="16130" width="0.5" style="4" customWidth="1"/>
    <col min="16131" max="16132" width="0.19921875" style="4" customWidth="1"/>
    <col min="16133" max="16133" width="0.296875" style="4" customWidth="1"/>
    <col min="16134" max="16134" width="1.19921875" style="4" customWidth="1"/>
    <col min="16135" max="16135" width="7.3984375" style="4" customWidth="1"/>
    <col min="16136" max="16136" width="0.19921875" style="4" customWidth="1"/>
    <col min="16137" max="16137" width="5.69921875" style="4" customWidth="1"/>
    <col min="16138" max="16138" width="7.3984375" style="4" customWidth="1"/>
    <col min="16139" max="16139" width="0.796875" style="4" customWidth="1"/>
    <col min="16140" max="16140" width="1.796875" style="4" customWidth="1"/>
    <col min="16141" max="16142" width="2.59765625" style="4" customWidth="1"/>
    <col min="16143" max="16143" width="0.296875" style="4" customWidth="1"/>
    <col min="16144" max="16144" width="0.796875" style="4" customWidth="1"/>
    <col min="16145" max="16145" width="0.296875" style="4" customWidth="1"/>
    <col min="16146" max="16146" width="1.19921875" style="4" customWidth="1"/>
    <col min="16147" max="16147" width="1.5" style="4" customWidth="1"/>
    <col min="16148" max="16148" width="0.19921875" style="4" customWidth="1"/>
    <col min="16149" max="16149" width="0.8984375" style="4" customWidth="1"/>
    <col min="16150" max="16150" width="2.59765625" style="4" customWidth="1"/>
    <col min="16151" max="16151" width="1.19921875" style="4" customWidth="1"/>
    <col min="16152" max="16152" width="0.19921875" style="4" customWidth="1"/>
    <col min="16153" max="16153" width="1.19921875" style="4" customWidth="1"/>
    <col min="16154" max="16155" width="2.59765625" style="4" customWidth="1"/>
    <col min="16156" max="16156" width="2" style="4" customWidth="1"/>
    <col min="16157" max="16157" width="0.19921875" style="4" customWidth="1"/>
    <col min="16158" max="16158" width="0.5" style="4" customWidth="1"/>
    <col min="16159" max="16160" width="0.19921875" style="4" customWidth="1"/>
    <col min="16161" max="16161" width="2.296875" style="4" customWidth="1"/>
    <col min="16162" max="16162" width="2.59765625" style="4" customWidth="1"/>
    <col min="16163" max="16163" width="1.09765625" style="4" customWidth="1"/>
    <col min="16164" max="16164" width="0.296875" style="4" customWidth="1"/>
    <col min="16165" max="16165" width="1.19921875" style="4" customWidth="1"/>
    <col min="16166" max="16166" width="0.59765625" style="4" customWidth="1"/>
    <col min="16167" max="16167" width="2" style="4" customWidth="1"/>
    <col min="16168" max="16168" width="1.09765625" style="4" customWidth="1"/>
    <col min="16169" max="16169" width="1.5" style="4" customWidth="1"/>
    <col min="16170" max="16170" width="1.09765625" style="4" customWidth="1"/>
    <col min="16171" max="16171" width="1.5" style="4" customWidth="1"/>
    <col min="16172" max="16172" width="2.59765625" style="4" customWidth="1"/>
    <col min="16173" max="16173" width="1.3984375" style="4" customWidth="1"/>
    <col min="16174" max="16174" width="1.19921875" style="4" customWidth="1"/>
    <col min="16175" max="16176" width="2.59765625" style="4" customWidth="1"/>
    <col min="16177" max="16177" width="1.69921875" style="4" customWidth="1"/>
    <col min="16178" max="16179" width="0.8984375" style="4" customWidth="1"/>
    <col min="16180" max="16180" width="0.59765625" style="4" customWidth="1"/>
    <col min="16181" max="16181" width="1.09765625" style="4" customWidth="1"/>
    <col min="16182" max="16182" width="1.19921875" style="4" customWidth="1"/>
    <col min="16183" max="16183" width="1.3984375" style="4" customWidth="1"/>
    <col min="16184" max="16184" width="2.59765625" style="4" customWidth="1"/>
    <col min="16185" max="16185" width="1.09765625" style="4" customWidth="1"/>
    <col min="16186" max="16186" width="0.19921875" style="4" customWidth="1"/>
    <col min="16187" max="16187" width="0.296875" style="4" customWidth="1"/>
    <col min="16188" max="16188" width="1.09765625" style="4" customWidth="1"/>
    <col min="16189" max="16189" width="1.19921875" style="4" customWidth="1"/>
    <col min="16190" max="16190" width="0.296875" style="4" customWidth="1"/>
    <col min="16191" max="16191" width="4.5" style="4" customWidth="1"/>
    <col min="16192" max="16192" width="1.19921875" style="4" customWidth="1"/>
    <col min="16193" max="16193" width="1.09765625" style="4" customWidth="1"/>
    <col min="16194" max="16194" width="2.296875" style="4" customWidth="1"/>
    <col min="16195" max="16195" width="1.5" style="4" customWidth="1"/>
    <col min="16196" max="16196" width="0.796875" style="4" customWidth="1"/>
    <col min="16197" max="16197" width="0.59765625" style="4" customWidth="1"/>
    <col min="16198" max="16198" width="5.3984375" style="4" customWidth="1"/>
    <col min="16199" max="16199" width="2.09765625" style="4" customWidth="1"/>
    <col min="16200" max="16200" width="0.19921875" style="4" customWidth="1"/>
    <col min="16201" max="16201" width="0.5" style="4" customWidth="1"/>
    <col min="16202" max="16202" width="2.59765625" style="4" customWidth="1"/>
    <col min="16203" max="16203" width="3" style="4" customWidth="1"/>
    <col min="16204" max="16204" width="3.796875" style="4" customWidth="1"/>
    <col min="16205" max="16205" width="0.296875" style="4" customWidth="1"/>
    <col min="16206" max="16206" width="2" style="4" customWidth="1"/>
    <col min="16207" max="16207" width="0.296875" style="4" customWidth="1"/>
    <col min="16208" max="16384" width="8.796875" style="4"/>
  </cols>
  <sheetData>
    <row r="1" spans="1:81" ht="7.05" customHeight="1">
      <c r="A1" s="1"/>
      <c r="B1" s="1"/>
      <c r="C1" s="2"/>
      <c r="D1" s="3"/>
      <c r="E1" s="3"/>
      <c r="F1" s="3"/>
      <c r="G1" s="3"/>
      <c r="H1" s="3"/>
      <c r="I1" s="3"/>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C1" s="5"/>
    </row>
    <row r="2" spans="1:81" ht="16.05" customHeight="1">
      <c r="A2" s="1"/>
      <c r="B2" s="1"/>
      <c r="C2" s="3"/>
      <c r="D2" s="3"/>
      <c r="E2" s="3"/>
      <c r="F2" s="3"/>
      <c r="G2" s="3"/>
      <c r="H2" s="3"/>
      <c r="I2" s="3"/>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6"/>
      <c r="BT2" s="7"/>
      <c r="BU2" s="7"/>
      <c r="BV2" s="7"/>
      <c r="BW2" s="7"/>
      <c r="BX2" s="7"/>
      <c r="BY2" s="7"/>
      <c r="BZ2" s="1"/>
      <c r="CA2" s="1"/>
      <c r="CC2" s="8" t="s">
        <v>0</v>
      </c>
    </row>
    <row r="3" spans="1:81" ht="43.05" customHeight="1">
      <c r="A3" s="1"/>
      <c r="B3" s="1"/>
      <c r="C3" s="3"/>
      <c r="D3" s="3"/>
      <c r="E3" s="3"/>
      <c r="F3" s="3"/>
      <c r="G3" s="3"/>
      <c r="H3" s="3"/>
      <c r="I3" s="3"/>
      <c r="J3" s="9" t="s">
        <v>1</v>
      </c>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7"/>
      <c r="BT3" s="7"/>
      <c r="BU3" s="7"/>
      <c r="BV3" s="7"/>
      <c r="BW3" s="7"/>
      <c r="BX3" s="7"/>
      <c r="BY3" s="7"/>
      <c r="BZ3" s="1"/>
      <c r="CA3" s="1"/>
      <c r="CC3" s="11" t="str">
        <f>HYPERLINK("#'PRINT CONTROL'!B20","PRINT CONTROL")</f>
        <v>PRINT CONTROL</v>
      </c>
    </row>
    <row r="4" spans="1:81" ht="10.9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7"/>
      <c r="BT4" s="7"/>
      <c r="BU4" s="7"/>
      <c r="BV4" s="7"/>
      <c r="BW4" s="7"/>
      <c r="BX4" s="7"/>
      <c r="BY4" s="7"/>
      <c r="BZ4" s="1"/>
      <c r="CA4" s="1"/>
    </row>
    <row r="5" spans="1:81" ht="15" customHeight="1">
      <c r="A5" s="1"/>
      <c r="B5" s="12" t="s">
        <v>2</v>
      </c>
      <c r="C5" s="10"/>
      <c r="D5" s="10"/>
      <c r="E5" s="10"/>
      <c r="F5" s="10"/>
      <c r="G5" s="10"/>
      <c r="H5" s="1"/>
      <c r="I5" s="13" t="str">
        <f>[1]SETUP!$B$5</f>
        <v>FRANCISCO G. NEPOMUCENO MEMORIAL HIGH SCHOOL</v>
      </c>
      <c r="J5" s="14"/>
      <c r="K5" s="14"/>
      <c r="L5" s="14"/>
      <c r="M5" s="14"/>
      <c r="N5" s="14"/>
      <c r="O5" s="15"/>
      <c r="P5" s="1"/>
      <c r="Q5" s="12" t="s">
        <v>3</v>
      </c>
      <c r="R5" s="10"/>
      <c r="S5" s="10"/>
      <c r="T5" s="10"/>
      <c r="U5" s="10"/>
      <c r="V5" s="10"/>
      <c r="W5" s="10"/>
      <c r="X5" s="1"/>
      <c r="Y5" s="13" t="str">
        <f>[1]SETUP!$B$6</f>
        <v>301040</v>
      </c>
      <c r="Z5" s="14"/>
      <c r="AA5" s="14"/>
      <c r="AB5" s="14"/>
      <c r="AC5" s="14"/>
      <c r="AD5" s="14"/>
      <c r="AE5" s="14"/>
      <c r="AF5" s="14"/>
      <c r="AG5" s="14"/>
      <c r="AH5" s="14"/>
      <c r="AI5" s="15"/>
      <c r="AJ5" s="1"/>
      <c r="AK5" s="12" t="s">
        <v>4</v>
      </c>
      <c r="AL5" s="10"/>
      <c r="AM5" s="10"/>
      <c r="AN5" s="10"/>
      <c r="AO5" s="10"/>
      <c r="AP5" s="10"/>
      <c r="AQ5" s="16" t="str">
        <f>[1]SETUP!$B$19</f>
        <v>1st District</v>
      </c>
      <c r="AR5" s="17"/>
      <c r="AS5" s="17"/>
      <c r="AT5" s="17"/>
      <c r="AU5" s="17"/>
      <c r="AV5" s="17"/>
      <c r="AW5" s="18"/>
      <c r="AX5" s="1"/>
      <c r="AY5" s="1"/>
      <c r="AZ5" s="12" t="s">
        <v>5</v>
      </c>
      <c r="BA5" s="10"/>
      <c r="BB5" s="10"/>
      <c r="BC5" s="10"/>
      <c r="BD5" s="10"/>
      <c r="BE5" s="10"/>
      <c r="BF5" s="10"/>
      <c r="BG5" s="1"/>
      <c r="BH5" s="16" t="str">
        <f>[1]SETUP!$B$8</f>
        <v>Schools Division of Angeles City</v>
      </c>
      <c r="BI5" s="17"/>
      <c r="BJ5" s="17"/>
      <c r="BK5" s="17"/>
      <c r="BL5" s="17"/>
      <c r="BM5" s="17"/>
      <c r="BN5" s="17"/>
      <c r="BO5" s="17"/>
      <c r="BP5" s="18"/>
      <c r="BQ5" s="1"/>
      <c r="BR5" s="12" t="s">
        <v>6</v>
      </c>
      <c r="BS5" s="10"/>
      <c r="BT5" s="1"/>
      <c r="BU5" s="1"/>
      <c r="BV5" s="16" t="str">
        <f>[1]SETUP!$B$7</f>
        <v>Region III</v>
      </c>
      <c r="BW5" s="17"/>
      <c r="BX5" s="18"/>
      <c r="BY5" s="1"/>
      <c r="BZ5" s="1"/>
      <c r="CA5" s="1"/>
    </row>
    <row r="6" spans="1:81" ht="7.05" customHeight="1">
      <c r="A6" s="1"/>
      <c r="B6" s="1"/>
      <c r="C6" s="1"/>
      <c r="D6" s="1"/>
      <c r="E6" s="1"/>
      <c r="F6" s="1"/>
      <c r="G6" s="1"/>
      <c r="H6" s="1"/>
      <c r="I6" s="1"/>
      <c r="J6" s="1"/>
      <c r="K6" s="1"/>
      <c r="L6" s="1"/>
      <c r="M6" s="19" t="s">
        <v>7</v>
      </c>
      <c r="N6" s="10"/>
      <c r="O6" s="10"/>
      <c r="P6" s="10"/>
      <c r="Q6" s="10"/>
      <c r="R6" s="10"/>
      <c r="S6" s="10"/>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spans="1:81" ht="1.05" customHeight="1">
      <c r="A7" s="1"/>
      <c r="B7" s="1"/>
      <c r="C7" s="1"/>
      <c r="D7" s="12" t="s">
        <v>8</v>
      </c>
      <c r="E7" s="10"/>
      <c r="F7" s="10"/>
      <c r="G7" s="10"/>
      <c r="H7" s="1"/>
      <c r="I7" s="20" t="str">
        <f>_xlfn.XLOOKUP('[1]PRINT CONTROL'!$B$20,'[1]SF2 CALENDAR'!$A$4:$A$14,'[1]SF2 CALENDAR'!$D$4:$D$14,"")</f>
        <v>Term 1</v>
      </c>
      <c r="J7" s="21"/>
      <c r="K7" s="21"/>
      <c r="L7" s="22"/>
      <c r="M7" s="10"/>
      <c r="N7" s="10"/>
      <c r="O7" s="10"/>
      <c r="P7" s="10"/>
      <c r="Q7" s="10"/>
      <c r="R7" s="10"/>
      <c r="S7" s="10"/>
      <c r="T7" s="1"/>
      <c r="U7" s="1"/>
      <c r="V7" s="1"/>
      <c r="W7" s="1"/>
      <c r="X7" s="1"/>
      <c r="Y7" s="1"/>
      <c r="Z7" s="1"/>
      <c r="AA7" s="1"/>
      <c r="AB7" s="1"/>
      <c r="AC7" s="1"/>
      <c r="AD7" s="1"/>
      <c r="AE7" s="1"/>
      <c r="AF7" s="1"/>
      <c r="AG7" s="12" t="s">
        <v>9</v>
      </c>
      <c r="AH7" s="10"/>
      <c r="AI7" s="10"/>
      <c r="AJ7" s="10"/>
      <c r="AK7" s="10"/>
      <c r="AL7" s="10"/>
      <c r="AM7" s="10"/>
      <c r="AN7" s="1"/>
      <c r="AO7" s="1"/>
      <c r="AP7" s="1"/>
      <c r="AQ7" s="1"/>
      <c r="AR7" s="1"/>
      <c r="AS7" s="1"/>
      <c r="AT7" s="12" t="s">
        <v>10</v>
      </c>
      <c r="AU7" s="10"/>
      <c r="AV7" s="10"/>
      <c r="AW7" s="10"/>
      <c r="AX7" s="10"/>
      <c r="AY7" s="10"/>
      <c r="AZ7" s="10"/>
      <c r="BA7" s="10"/>
      <c r="BB7" s="10"/>
      <c r="BC7" s="23" t="str">
        <f>[1]SETUP!$B$15&amp;IF([1]SETUP!$B$16="",""," / "&amp;[1]SETUP!$B$16)</f>
        <v>Academic / Arts, Social Sciences, and Humanities</v>
      </c>
      <c r="BD7" s="24"/>
      <c r="BE7" s="24"/>
      <c r="BF7" s="24"/>
      <c r="BG7" s="24"/>
      <c r="BH7" s="24"/>
      <c r="BI7" s="24"/>
      <c r="BJ7" s="24"/>
      <c r="BK7" s="24"/>
      <c r="BL7" s="24"/>
      <c r="BM7" s="24"/>
      <c r="BN7" s="24"/>
      <c r="BO7" s="24"/>
      <c r="BP7" s="24"/>
      <c r="BQ7" s="24"/>
      <c r="BR7" s="24"/>
      <c r="BS7" s="24"/>
      <c r="BT7" s="24"/>
      <c r="BU7" s="24"/>
      <c r="BV7" s="24"/>
      <c r="BW7" s="24"/>
      <c r="BX7" s="25"/>
      <c r="BY7" s="1"/>
      <c r="BZ7" s="1"/>
      <c r="CA7" s="1"/>
    </row>
    <row r="8" spans="1:81" ht="13.95" customHeight="1">
      <c r="A8" s="1"/>
      <c r="B8" s="1"/>
      <c r="C8" s="1"/>
      <c r="D8" s="10"/>
      <c r="E8" s="10"/>
      <c r="F8" s="10"/>
      <c r="G8" s="10"/>
      <c r="H8" s="1"/>
      <c r="I8" s="26"/>
      <c r="J8" s="27"/>
      <c r="K8" s="27"/>
      <c r="L8" s="28"/>
      <c r="M8" s="10"/>
      <c r="N8" s="10"/>
      <c r="O8" s="10"/>
      <c r="P8" s="10"/>
      <c r="Q8" s="10"/>
      <c r="R8" s="10"/>
      <c r="S8" s="10"/>
      <c r="T8" s="1"/>
      <c r="U8" s="20" t="str">
        <f>[1]SETUP!$B$4</f>
        <v>2026-2027</v>
      </c>
      <c r="V8" s="21"/>
      <c r="W8" s="21"/>
      <c r="X8" s="21"/>
      <c r="Y8" s="21"/>
      <c r="Z8" s="21"/>
      <c r="AA8" s="21"/>
      <c r="AB8" s="21"/>
      <c r="AC8" s="21"/>
      <c r="AD8" s="21"/>
      <c r="AE8" s="22"/>
      <c r="AF8" s="1"/>
      <c r="AG8" s="10"/>
      <c r="AH8" s="10"/>
      <c r="AI8" s="10"/>
      <c r="AJ8" s="10"/>
      <c r="AK8" s="10"/>
      <c r="AL8" s="10"/>
      <c r="AM8" s="10"/>
      <c r="AN8" s="29">
        <f>[1]SETUP!$B$13</f>
        <v>11</v>
      </c>
      <c r="AO8" s="30"/>
      <c r="AP8" s="30"/>
      <c r="AQ8" s="30"/>
      <c r="AR8" s="30"/>
      <c r="AS8" s="31"/>
      <c r="AT8" s="10"/>
      <c r="AU8" s="10"/>
      <c r="AV8" s="10"/>
      <c r="AW8" s="10"/>
      <c r="AX8" s="10"/>
      <c r="AY8" s="10"/>
      <c r="AZ8" s="10"/>
      <c r="BA8" s="10"/>
      <c r="BB8" s="10"/>
      <c r="BC8" s="32"/>
      <c r="BD8" s="33"/>
      <c r="BE8" s="33"/>
      <c r="BF8" s="33"/>
      <c r="BG8" s="33"/>
      <c r="BH8" s="33"/>
      <c r="BI8" s="33"/>
      <c r="BJ8" s="33"/>
      <c r="BK8" s="33"/>
      <c r="BL8" s="33"/>
      <c r="BM8" s="33"/>
      <c r="BN8" s="33"/>
      <c r="BO8" s="33"/>
      <c r="BP8" s="33"/>
      <c r="BQ8" s="33"/>
      <c r="BR8" s="33"/>
      <c r="BS8" s="33"/>
      <c r="BT8" s="33"/>
      <c r="BU8" s="33"/>
      <c r="BV8" s="33"/>
      <c r="BW8" s="33"/>
      <c r="BX8" s="34"/>
      <c r="BY8" s="1"/>
      <c r="BZ8" s="1"/>
      <c r="CA8" s="1"/>
    </row>
    <row r="9" spans="1:81" ht="1.05" customHeight="1">
      <c r="A9" s="1"/>
      <c r="B9" s="1"/>
      <c r="C9" s="1"/>
      <c r="D9" s="1"/>
      <c r="E9" s="1"/>
      <c r="F9" s="1"/>
      <c r="G9" s="1"/>
      <c r="H9" s="1"/>
      <c r="I9" s="1"/>
      <c r="J9" s="1"/>
      <c r="K9" s="1"/>
      <c r="L9" s="1"/>
      <c r="M9" s="10"/>
      <c r="N9" s="10"/>
      <c r="O9" s="10"/>
      <c r="P9" s="10"/>
      <c r="Q9" s="10"/>
      <c r="R9" s="10"/>
      <c r="S9" s="10"/>
      <c r="T9" s="1"/>
      <c r="U9" s="26"/>
      <c r="V9" s="27"/>
      <c r="W9" s="27"/>
      <c r="X9" s="27"/>
      <c r="Y9" s="27"/>
      <c r="Z9" s="27"/>
      <c r="AA9" s="27"/>
      <c r="AB9" s="27"/>
      <c r="AC9" s="27"/>
      <c r="AD9" s="27"/>
      <c r="AE9" s="28"/>
      <c r="AF9" s="1"/>
      <c r="AG9" s="1"/>
      <c r="AH9" s="1"/>
      <c r="AI9" s="1"/>
      <c r="AJ9" s="1"/>
      <c r="AK9" s="1"/>
      <c r="AL9" s="1"/>
      <c r="AM9" s="1"/>
      <c r="AN9" s="35"/>
      <c r="AO9" s="36"/>
      <c r="AP9" s="36"/>
      <c r="AQ9" s="36"/>
      <c r="AR9" s="36"/>
      <c r="AS9" s="3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spans="1:81" ht="6" customHeight="1">
      <c r="A10" s="1"/>
      <c r="B10" s="1"/>
      <c r="C10" s="1"/>
      <c r="D10" s="1"/>
      <c r="E10" s="1"/>
      <c r="F10" s="1"/>
      <c r="G10" s="1"/>
      <c r="H10" s="1"/>
      <c r="I10" s="1"/>
      <c r="J10" s="1"/>
      <c r="K10" s="1"/>
      <c r="L10" s="1"/>
      <c r="M10" s="1"/>
      <c r="N10" s="1"/>
      <c r="O10" s="1"/>
      <c r="P10" s="1"/>
      <c r="Q10" s="1"/>
      <c r="R10" s="12" t="s">
        <v>11</v>
      </c>
      <c r="S10" s="10"/>
      <c r="T10" s="10"/>
      <c r="U10" s="10"/>
      <c r="V10" s="10"/>
      <c r="W10" s="10"/>
      <c r="X10" s="10"/>
      <c r="Y10" s="10"/>
      <c r="Z10" s="10"/>
      <c r="AA10" s="10"/>
      <c r="AB10" s="10"/>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spans="1:81" ht="1.05" customHeight="1">
      <c r="A11" s="1"/>
      <c r="B11" s="1"/>
      <c r="C11" s="1"/>
      <c r="D11" s="1"/>
      <c r="E11" s="1"/>
      <c r="F11" s="1"/>
      <c r="G11" s="1"/>
      <c r="H11" s="1"/>
      <c r="I11" s="1"/>
      <c r="J11" s="1"/>
      <c r="K11" s="1"/>
      <c r="L11" s="1"/>
      <c r="M11" s="1"/>
      <c r="N11" s="1"/>
      <c r="O11" s="1"/>
      <c r="P11" s="1"/>
      <c r="Q11" s="1"/>
      <c r="R11" s="10"/>
      <c r="S11" s="10"/>
      <c r="T11" s="10"/>
      <c r="U11" s="10"/>
      <c r="V11" s="10"/>
      <c r="W11" s="10"/>
      <c r="X11" s="10"/>
      <c r="Y11" s="10"/>
      <c r="Z11" s="10"/>
      <c r="AA11" s="10"/>
      <c r="AB11" s="10"/>
      <c r="AC11" s="1"/>
      <c r="AD11" s="1"/>
      <c r="AE11" s="1"/>
      <c r="AF11" s="1"/>
      <c r="AG11" s="1"/>
      <c r="AH11" s="1"/>
      <c r="AI11" s="1"/>
      <c r="AJ11" s="1"/>
      <c r="AK11" s="1"/>
      <c r="AL11" s="1"/>
      <c r="AM11" s="1"/>
      <c r="AN11" s="1"/>
      <c r="AO11" s="1"/>
      <c r="AP11" s="1"/>
      <c r="AQ11" s="1"/>
      <c r="AR11" s="1"/>
      <c r="AS11" s="1"/>
      <c r="AT11" s="1"/>
      <c r="AU11" s="1"/>
      <c r="AV11" s="1"/>
      <c r="AW11" s="1"/>
      <c r="AX11" s="1"/>
      <c r="AY11" s="1"/>
      <c r="AZ11" s="1"/>
      <c r="BA11" s="12" t="s">
        <v>12</v>
      </c>
      <c r="BB11" s="10"/>
      <c r="BC11" s="10"/>
      <c r="BD11" s="10"/>
      <c r="BE11" s="10"/>
      <c r="BF11" s="10"/>
      <c r="BG11" s="10"/>
      <c r="BH11" s="10"/>
      <c r="BI11" s="10"/>
      <c r="BJ11" s="10"/>
      <c r="BK11" s="10"/>
      <c r="BL11" s="10"/>
      <c r="BM11" s="1"/>
      <c r="BN11" s="29" t="str">
        <f>'[1]PRINT CONTROL'!$B$20</f>
        <v>July</v>
      </c>
      <c r="BO11" s="30"/>
      <c r="BP11" s="30"/>
      <c r="BQ11" s="30"/>
      <c r="BR11" s="30"/>
      <c r="BS11" s="30"/>
      <c r="BT11" s="30"/>
      <c r="BU11" s="30"/>
      <c r="BV11" s="30"/>
      <c r="BW11" s="30"/>
      <c r="BX11" s="31"/>
      <c r="BY11" s="1"/>
      <c r="BZ11" s="1"/>
      <c r="CA11" s="1"/>
    </row>
    <row r="12" spans="1:81" ht="13.95" customHeight="1">
      <c r="A12" s="1"/>
      <c r="B12" s="1"/>
      <c r="C12" s="1"/>
      <c r="D12" s="1"/>
      <c r="E12" s="12" t="s">
        <v>13</v>
      </c>
      <c r="F12" s="10"/>
      <c r="G12" s="10"/>
      <c r="H12" s="10"/>
      <c r="I12" s="20" t="str">
        <f>[1]SETUP!$B$14</f>
        <v>Tesla</v>
      </c>
      <c r="J12" s="21"/>
      <c r="K12" s="21"/>
      <c r="L12" s="21"/>
      <c r="M12" s="21"/>
      <c r="N12" s="21"/>
      <c r="O12" s="22"/>
      <c r="P12" s="1"/>
      <c r="Q12" s="1"/>
      <c r="R12" s="10"/>
      <c r="S12" s="10"/>
      <c r="T12" s="10"/>
      <c r="U12" s="10"/>
      <c r="V12" s="10"/>
      <c r="W12" s="10"/>
      <c r="X12" s="10"/>
      <c r="Y12" s="10"/>
      <c r="Z12" s="10"/>
      <c r="AA12" s="10"/>
      <c r="AB12" s="10"/>
      <c r="AC12" s="1"/>
      <c r="AD12" s="20" t="str">
        <f>IF(OR([1]SETUP!$B$15="TVL",[1]SETUP!$B$15="TechPro"),[1]SETUP!$E$19,"")</f>
        <v/>
      </c>
      <c r="AE12" s="21"/>
      <c r="AF12" s="21"/>
      <c r="AG12" s="21"/>
      <c r="AH12" s="21"/>
      <c r="AI12" s="21"/>
      <c r="AJ12" s="21"/>
      <c r="AK12" s="21"/>
      <c r="AL12" s="21"/>
      <c r="AM12" s="21"/>
      <c r="AN12" s="21"/>
      <c r="AO12" s="21"/>
      <c r="AP12" s="21"/>
      <c r="AQ12" s="21"/>
      <c r="AR12" s="21"/>
      <c r="AS12" s="21"/>
      <c r="AT12" s="21"/>
      <c r="AU12" s="21"/>
      <c r="AV12" s="21"/>
      <c r="AW12" s="21"/>
      <c r="AX12" s="22"/>
      <c r="AY12" s="1"/>
      <c r="AZ12" s="1"/>
      <c r="BA12" s="10"/>
      <c r="BB12" s="10"/>
      <c r="BC12" s="10"/>
      <c r="BD12" s="10"/>
      <c r="BE12" s="10"/>
      <c r="BF12" s="10"/>
      <c r="BG12" s="10"/>
      <c r="BH12" s="10"/>
      <c r="BI12" s="10"/>
      <c r="BJ12" s="10"/>
      <c r="BK12" s="10"/>
      <c r="BL12" s="10"/>
      <c r="BM12" s="1"/>
      <c r="BN12" s="35"/>
      <c r="BO12" s="36"/>
      <c r="BP12" s="36"/>
      <c r="BQ12" s="36"/>
      <c r="BR12" s="36"/>
      <c r="BS12" s="36"/>
      <c r="BT12" s="36"/>
      <c r="BU12" s="36"/>
      <c r="BV12" s="36"/>
      <c r="BW12" s="36"/>
      <c r="BX12" s="37"/>
      <c r="BY12" s="1"/>
      <c r="BZ12" s="1"/>
      <c r="CA12" s="1"/>
    </row>
    <row r="13" spans="1:81" ht="1.05" customHeight="1">
      <c r="A13" s="1"/>
      <c r="B13" s="1"/>
      <c r="C13" s="1"/>
      <c r="D13" s="1"/>
      <c r="E13" s="10"/>
      <c r="F13" s="10"/>
      <c r="G13" s="10"/>
      <c r="H13" s="10"/>
      <c r="I13" s="26"/>
      <c r="J13" s="27"/>
      <c r="K13" s="27"/>
      <c r="L13" s="27"/>
      <c r="M13" s="27"/>
      <c r="N13" s="27"/>
      <c r="O13" s="28"/>
      <c r="P13" s="1"/>
      <c r="Q13" s="1"/>
      <c r="R13" s="10"/>
      <c r="S13" s="10"/>
      <c r="T13" s="10"/>
      <c r="U13" s="10"/>
      <c r="V13" s="10"/>
      <c r="W13" s="10"/>
      <c r="X13" s="10"/>
      <c r="Y13" s="10"/>
      <c r="Z13" s="10"/>
      <c r="AA13" s="10"/>
      <c r="AB13" s="10"/>
      <c r="AC13" s="1"/>
      <c r="AD13" s="26"/>
      <c r="AE13" s="27"/>
      <c r="AF13" s="27"/>
      <c r="AG13" s="27"/>
      <c r="AH13" s="27"/>
      <c r="AI13" s="27"/>
      <c r="AJ13" s="27"/>
      <c r="AK13" s="27"/>
      <c r="AL13" s="27"/>
      <c r="AM13" s="27"/>
      <c r="AN13" s="27"/>
      <c r="AO13" s="27"/>
      <c r="AP13" s="27"/>
      <c r="AQ13" s="27"/>
      <c r="AR13" s="27"/>
      <c r="AS13" s="27"/>
      <c r="AT13" s="27"/>
      <c r="AU13" s="27"/>
      <c r="AV13" s="27"/>
      <c r="AW13" s="27"/>
      <c r="AX13" s="28"/>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spans="1:81" ht="7.95" customHeight="1" thickBot="1">
      <c r="A14" s="1"/>
      <c r="B14" s="1"/>
      <c r="C14" s="1"/>
      <c r="D14" s="1"/>
      <c r="E14" s="1"/>
      <c r="F14" s="1"/>
      <c r="G14" s="1"/>
      <c r="H14" s="1"/>
      <c r="I14" s="1"/>
      <c r="J14" s="1"/>
      <c r="K14" s="38">
        <f>IF(COUNTIFS('[1]SF2 CALENDAR'!$C$19:$C$323,$BN$11,'[1]SF2 CALENDAR'!$H$19:$H$323,"Yes",'[1]SF2 CALENDAR'!$J$19:$J$323,1)=0,"",SUMIFS('[1]SF2 CALENDAR'!$A$19:$A$323,'[1]SF2 CALENDAR'!$C$19:$C$323,$BN$11,'[1]SF2 CALENDAR'!$H$19:$H$323,"Yes",'[1]SF2 CALENDAR'!$J$19:$J$323,1))</f>
        <v>46204</v>
      </c>
      <c r="L14" s="1"/>
      <c r="M14" s="38">
        <f>IF(COUNTIFS('[1]SF2 CALENDAR'!$C$19:$C$323,$BN$11,'[1]SF2 CALENDAR'!$H$19:$H$323,"Yes",'[1]SF2 CALENDAR'!$J$19:$J$323,2)=0,"",SUMIFS('[1]SF2 CALENDAR'!$A$19:$A$323,'[1]SF2 CALENDAR'!$C$19:$C$323,$BN$11,'[1]SF2 CALENDAR'!$H$19:$H$323,"Yes",'[1]SF2 CALENDAR'!$J$19:$J$323,2))</f>
        <v>46205</v>
      </c>
      <c r="N14" s="38">
        <f>IF(COUNTIFS('[1]SF2 CALENDAR'!$C$19:$C$323,$BN$11,'[1]SF2 CALENDAR'!$H$19:$H$323,"Yes",'[1]SF2 CALENDAR'!$J$19:$J$323,3)=0,"",SUMIFS('[1]SF2 CALENDAR'!$A$19:$A$323,'[1]SF2 CALENDAR'!$C$19:$C$323,$BN$11,'[1]SF2 CALENDAR'!$H$19:$H$323,"Yes",'[1]SF2 CALENDAR'!$J$19:$J$323,3))</f>
        <v>46206</v>
      </c>
      <c r="O14" s="38">
        <f>IF(COUNTIFS('[1]SF2 CALENDAR'!$C$19:$C$323,$BN$11,'[1]SF2 CALENDAR'!$H$19:$H$323,"Yes",'[1]SF2 CALENDAR'!$J$19:$J$323,4)=0,"",SUMIFS('[1]SF2 CALENDAR'!$A$19:$A$323,'[1]SF2 CALENDAR'!$C$19:$C$323,$BN$11,'[1]SF2 CALENDAR'!$H$19:$H$323,"Yes",'[1]SF2 CALENDAR'!$J$19:$J$323,4))</f>
        <v>46209</v>
      </c>
      <c r="P14" s="1"/>
      <c r="Q14" s="1"/>
      <c r="R14" s="10"/>
      <c r="S14" s="39">
        <f>IF(COUNTIFS('[1]SF2 CALENDAR'!$C$19:$C$323,$BN$11,'[1]SF2 CALENDAR'!$H$19:$H$323,"Yes",'[1]SF2 CALENDAR'!$J$19:$J$323,5)=0,"",SUMIFS('[1]SF2 CALENDAR'!$A$19:$A$323,'[1]SF2 CALENDAR'!$C$19:$C$323,$BN$11,'[1]SF2 CALENDAR'!$H$19:$H$323,"Yes",'[1]SF2 CALENDAR'!$J$19:$J$323,5))</f>
        <v>46210</v>
      </c>
      <c r="T14" s="10"/>
      <c r="U14" s="10"/>
      <c r="V14" s="39">
        <f>IF(COUNTIFS('[1]SF2 CALENDAR'!$C$19:$C$323,$BN$11,'[1]SF2 CALENDAR'!$H$19:$H$323,"Yes",'[1]SF2 CALENDAR'!$J$19:$J$323,6)=0,"",SUMIFS('[1]SF2 CALENDAR'!$A$19:$A$323,'[1]SF2 CALENDAR'!$C$19:$C$323,$BN$11,'[1]SF2 CALENDAR'!$H$19:$H$323,"Yes",'[1]SF2 CALENDAR'!$J$19:$J$323,6))</f>
        <v>46211</v>
      </c>
      <c r="W14" s="39">
        <f>IF(COUNTIFS('[1]SF2 CALENDAR'!$C$19:$C$323,$BN$11,'[1]SF2 CALENDAR'!$H$19:$H$323,"Yes",'[1]SF2 CALENDAR'!$J$19:$J$323,7)=0,"",SUMIFS('[1]SF2 CALENDAR'!$A$19:$A$323,'[1]SF2 CALENDAR'!$C$19:$C$323,$BN$11,'[1]SF2 CALENDAR'!$H$19:$H$323,"Yes",'[1]SF2 CALENDAR'!$J$19:$J$323,7))</f>
        <v>46212</v>
      </c>
      <c r="X14" s="10"/>
      <c r="Y14" s="10"/>
      <c r="Z14" s="39">
        <f>IF(COUNTIFS('[1]SF2 CALENDAR'!$C$19:$C$323,$BN$11,'[1]SF2 CALENDAR'!$H$19:$H$323,"Yes",'[1]SF2 CALENDAR'!$J$19:$J$323,8)=0,"",SUMIFS('[1]SF2 CALENDAR'!$A$19:$A$323,'[1]SF2 CALENDAR'!$C$19:$C$323,$BN$11,'[1]SF2 CALENDAR'!$H$19:$H$323,"Yes",'[1]SF2 CALENDAR'!$J$19:$J$323,8))</f>
        <v>46213</v>
      </c>
      <c r="AA14" s="39">
        <f>IF(COUNTIFS('[1]SF2 CALENDAR'!$C$19:$C$323,$BN$11,'[1]SF2 CALENDAR'!$H$19:$H$323,"Yes",'[1]SF2 CALENDAR'!$J$19:$J$323,9)=0,"",SUMIFS('[1]SF2 CALENDAR'!$A$19:$A$323,'[1]SF2 CALENDAR'!$C$19:$C$323,$BN$11,'[1]SF2 CALENDAR'!$H$19:$H$323,"Yes",'[1]SF2 CALENDAR'!$J$19:$J$323,9))</f>
        <v>46216</v>
      </c>
      <c r="AB14" s="39">
        <f>IF(COUNTIFS('[1]SF2 CALENDAR'!$C$19:$C$323,$BN$11,'[1]SF2 CALENDAR'!$H$19:$H$323,"Yes",'[1]SF2 CALENDAR'!$J$19:$J$323,10)=0,"",SUMIFS('[1]SF2 CALENDAR'!$A$19:$A$323,'[1]SF2 CALENDAR'!$C$19:$C$323,$BN$11,'[1]SF2 CALENDAR'!$H$19:$H$323,"Yes",'[1]SF2 CALENDAR'!$J$19:$J$323,10))</f>
        <v>46217</v>
      </c>
      <c r="AC14" s="1"/>
      <c r="AD14" s="1"/>
      <c r="AE14" s="38">
        <f>IF(COUNTIFS('[1]SF2 CALENDAR'!$C$19:$C$323,$BN$11,'[1]SF2 CALENDAR'!$H$19:$H$323,"Yes",'[1]SF2 CALENDAR'!$J$19:$J$323,11)=0,"",SUMIFS('[1]SF2 CALENDAR'!$A$19:$A$323,'[1]SF2 CALENDAR'!$C$19:$C$323,$BN$11,'[1]SF2 CALENDAR'!$H$19:$H$323,"Yes",'[1]SF2 CALENDAR'!$J$19:$J$323,11))</f>
        <v>46218</v>
      </c>
      <c r="AF14" s="1"/>
      <c r="AG14" s="1"/>
      <c r="AH14" s="38">
        <f>IF(COUNTIFS('[1]SF2 CALENDAR'!$C$19:$C$323,$BN$11,'[1]SF2 CALENDAR'!$H$19:$H$323,"Yes",'[1]SF2 CALENDAR'!$J$19:$J$323,12)=0,"",SUMIFS('[1]SF2 CALENDAR'!$A$19:$A$323,'[1]SF2 CALENDAR'!$C$19:$C$323,$BN$11,'[1]SF2 CALENDAR'!$H$19:$H$323,"Yes",'[1]SF2 CALENDAR'!$J$19:$J$323,12))</f>
        <v>46219</v>
      </c>
      <c r="AI14" s="38">
        <f>IF(COUNTIFS('[1]SF2 CALENDAR'!$C$19:$C$323,$BN$11,'[1]SF2 CALENDAR'!$H$19:$H$323,"Yes",'[1]SF2 CALENDAR'!$J$19:$J$323,13)=0,"",SUMIFS('[1]SF2 CALENDAR'!$A$19:$A$323,'[1]SF2 CALENDAR'!$C$19:$C$323,$BN$11,'[1]SF2 CALENDAR'!$H$19:$H$323,"Yes",'[1]SF2 CALENDAR'!$J$19:$J$323,13))</f>
        <v>46220</v>
      </c>
      <c r="AJ14" s="1"/>
      <c r="AK14" s="1"/>
      <c r="AL14" s="38">
        <f>IF(COUNTIFS('[1]SF2 CALENDAR'!$C$19:$C$323,$BN$11,'[1]SF2 CALENDAR'!$H$19:$H$323,"Yes",'[1]SF2 CALENDAR'!$J$19:$J$323,14)=0,"",SUMIFS('[1]SF2 CALENDAR'!$A$19:$A$323,'[1]SF2 CALENDAR'!$C$19:$C$323,$BN$11,'[1]SF2 CALENDAR'!$H$19:$H$323,"Yes",'[1]SF2 CALENDAR'!$J$19:$J$323,14))</f>
        <v>46223</v>
      </c>
      <c r="AM14" s="1"/>
      <c r="AN14" s="38">
        <f>IF(COUNTIFS('[1]SF2 CALENDAR'!$C$19:$C$323,$BN$11,'[1]SF2 CALENDAR'!$H$19:$H$323,"Yes",'[1]SF2 CALENDAR'!$J$19:$J$323,15)=0,"",SUMIFS('[1]SF2 CALENDAR'!$A$19:$A$323,'[1]SF2 CALENDAR'!$C$19:$C$323,$BN$11,'[1]SF2 CALENDAR'!$H$19:$H$323,"Yes",'[1]SF2 CALENDAR'!$J$19:$J$323,15))</f>
        <v>46224</v>
      </c>
      <c r="AO14" s="1"/>
      <c r="AP14" s="38">
        <f>IF(COUNTIFS('[1]SF2 CALENDAR'!$C$19:$C$323,$BN$11,'[1]SF2 CALENDAR'!$H$19:$H$323,"Yes",'[1]SF2 CALENDAR'!$J$19:$J$323,16)=0,"",SUMIFS('[1]SF2 CALENDAR'!$A$19:$A$323,'[1]SF2 CALENDAR'!$C$19:$C$323,$BN$11,'[1]SF2 CALENDAR'!$H$19:$H$323,"Yes",'[1]SF2 CALENDAR'!$J$19:$J$323,16))</f>
        <v>46225</v>
      </c>
      <c r="AQ14" s="1"/>
      <c r="AR14" s="38">
        <f>IF(COUNTIFS('[1]SF2 CALENDAR'!$C$19:$C$323,$BN$11,'[1]SF2 CALENDAR'!$H$19:$H$323,"Yes",'[1]SF2 CALENDAR'!$J$19:$J$323,17)=0,"",SUMIFS('[1]SF2 CALENDAR'!$A$19:$A$323,'[1]SF2 CALENDAR'!$C$19:$C$323,$BN$11,'[1]SF2 CALENDAR'!$H$19:$H$323,"Yes",'[1]SF2 CALENDAR'!$J$19:$J$323,17))</f>
        <v>46226</v>
      </c>
      <c r="AS14" s="38">
        <f>IF(COUNTIFS('[1]SF2 CALENDAR'!$C$19:$C$323,$BN$11,'[1]SF2 CALENDAR'!$H$19:$H$323,"Yes",'[1]SF2 CALENDAR'!$J$19:$J$323,18)=0,"",SUMIFS('[1]SF2 CALENDAR'!$A$19:$A$323,'[1]SF2 CALENDAR'!$C$19:$C$323,$BN$11,'[1]SF2 CALENDAR'!$H$19:$H$323,"Yes",'[1]SF2 CALENDAR'!$J$19:$J$323,18))</f>
        <v>46227</v>
      </c>
      <c r="AT14" s="1"/>
      <c r="AU14" s="38">
        <f>IF(COUNTIFS('[1]SF2 CALENDAR'!$C$19:$C$323,$BN$11,'[1]SF2 CALENDAR'!$H$19:$H$323,"Yes",'[1]SF2 CALENDAR'!$J$19:$J$323,19)=0,"",SUMIFS('[1]SF2 CALENDAR'!$A$19:$A$323,'[1]SF2 CALENDAR'!$C$19:$C$323,$BN$11,'[1]SF2 CALENDAR'!$H$19:$H$323,"Yes",'[1]SF2 CALENDAR'!$J$19:$J$323,19))</f>
        <v>46230</v>
      </c>
      <c r="AV14" s="38">
        <f>IF(COUNTIFS('[1]SF2 CALENDAR'!$C$19:$C$323,$BN$11,'[1]SF2 CALENDAR'!$H$19:$H$323,"Yes",'[1]SF2 CALENDAR'!$J$19:$J$323,20)=0,"",SUMIFS('[1]SF2 CALENDAR'!$A$19:$A$323,'[1]SF2 CALENDAR'!$C$19:$C$323,$BN$11,'[1]SF2 CALENDAR'!$H$19:$H$323,"Yes",'[1]SF2 CALENDAR'!$J$19:$J$323,20))</f>
        <v>46231</v>
      </c>
      <c r="AW14" s="38">
        <f>IF(COUNTIFS('[1]SF2 CALENDAR'!$C$19:$C$323,$BN$11,'[1]SF2 CALENDAR'!$H$19:$H$323,"Yes",'[1]SF2 CALENDAR'!$J$19:$J$323,21)=0,"",SUMIFS('[1]SF2 CALENDAR'!$A$19:$A$323,'[1]SF2 CALENDAR'!$C$19:$C$323,$BN$11,'[1]SF2 CALENDAR'!$H$19:$H$323,"Yes",'[1]SF2 CALENDAR'!$J$19:$J$323,21))</f>
        <v>46232</v>
      </c>
      <c r="AX14" s="1"/>
      <c r="AY14" s="38">
        <f>IF(COUNTIFS('[1]SF2 CALENDAR'!$C$19:$C$323,$BN$11,'[1]SF2 CALENDAR'!$H$19:$H$323,"Yes",'[1]SF2 CALENDAR'!$J$19:$J$323,22)=0,"",SUMIFS('[1]SF2 CALENDAR'!$A$19:$A$323,'[1]SF2 CALENDAR'!$C$19:$C$323,$BN$11,'[1]SF2 CALENDAR'!$H$19:$H$323,"Yes",'[1]SF2 CALENDAR'!$J$19:$J$323,22))</f>
        <v>46233</v>
      </c>
      <c r="AZ14" s="1"/>
      <c r="BA14" s="1"/>
      <c r="BB14" s="38">
        <f>IF(COUNTIFS('[1]SF2 CALENDAR'!$C$19:$C$323,$BN$11,'[1]SF2 CALENDAR'!$H$19:$H$323,"Yes",'[1]SF2 CALENDAR'!$J$19:$J$323,23)=0,"",SUMIFS('[1]SF2 CALENDAR'!$A$19:$A$323,'[1]SF2 CALENDAR'!$C$19:$C$323,$BN$11,'[1]SF2 CALENDAR'!$H$19:$H$323,"Yes",'[1]SF2 CALENDAR'!$J$19:$J$323,23))</f>
        <v>46234</v>
      </c>
      <c r="BC14" s="1"/>
      <c r="BD14" s="38" t="str">
        <f>IF(COUNTIFS('[1]SF2 CALENDAR'!$C$19:$C$323,$BN$11,'[1]SF2 CALENDAR'!$H$19:$H$323,"Yes",'[1]SF2 CALENDAR'!$J$19:$J$323,24)=0,"",SUMIFS('[1]SF2 CALENDAR'!$A$19:$A$323,'[1]SF2 CALENDAR'!$C$19:$C$323,$BN$11,'[1]SF2 CALENDAR'!$H$19:$H$323,"Yes",'[1]SF2 CALENDAR'!$J$19:$J$323,24))</f>
        <v/>
      </c>
      <c r="BE14" s="38" t="str">
        <f>IF(COUNTIFS('[1]SF2 CALENDAR'!$C$19:$C$323,$BN$11,'[1]SF2 CALENDAR'!$H$19:$H$323,"Yes",'[1]SF2 CALENDAR'!$J$19:$J$323,25)=0,"",SUMIFS('[1]SF2 CALENDAR'!$A$19:$A$323,'[1]SF2 CALENDAR'!$C$19:$C$323,$BN$11,'[1]SF2 CALENDAR'!$H$19:$H$323,"Yes",'[1]SF2 CALENDAR'!$J$19:$J$323,25))</f>
        <v/>
      </c>
      <c r="BF14" s="1"/>
      <c r="BG14" s="1"/>
      <c r="BH14" s="1"/>
      <c r="BI14" s="1"/>
      <c r="BJ14" s="1"/>
      <c r="BK14" s="1"/>
      <c r="BL14" s="1"/>
      <c r="BM14" s="1"/>
      <c r="BN14" s="1"/>
      <c r="BO14" s="1"/>
      <c r="BP14" s="1"/>
      <c r="BQ14" s="1"/>
      <c r="BR14" s="1"/>
      <c r="BS14" s="1"/>
      <c r="BT14" s="1"/>
      <c r="BU14" s="1"/>
      <c r="BV14" s="1"/>
      <c r="BW14" s="1"/>
      <c r="BX14" s="1"/>
      <c r="BY14" s="1"/>
      <c r="BZ14" s="1"/>
      <c r="CA14" s="1"/>
    </row>
    <row r="15" spans="1:81" ht="10.050000000000001" customHeight="1">
      <c r="A15" s="40" t="s">
        <v>14</v>
      </c>
      <c r="B15" s="41"/>
      <c r="C15" s="41"/>
      <c r="D15" s="41"/>
      <c r="E15" s="41"/>
      <c r="F15" s="42"/>
      <c r="G15" s="40" t="s">
        <v>15</v>
      </c>
      <c r="H15" s="41"/>
      <c r="I15" s="41"/>
      <c r="J15" s="42"/>
      <c r="K15" s="43" t="s">
        <v>16</v>
      </c>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5"/>
      <c r="BI15" s="46" t="s">
        <v>17</v>
      </c>
      <c r="BJ15" s="47"/>
      <c r="BK15" s="47"/>
      <c r="BL15" s="47"/>
      <c r="BM15" s="47"/>
      <c r="BN15" s="47"/>
      <c r="BO15" s="48"/>
      <c r="BP15" s="49" t="s">
        <v>18</v>
      </c>
      <c r="BQ15" s="50"/>
      <c r="BR15" s="50"/>
      <c r="BS15" s="50"/>
      <c r="BT15" s="50"/>
      <c r="BU15" s="50"/>
      <c r="BV15" s="50"/>
      <c r="BW15" s="50"/>
      <c r="BX15" s="50"/>
      <c r="BY15" s="50"/>
      <c r="BZ15" s="50"/>
      <c r="CA15" s="51"/>
    </row>
    <row r="16" spans="1:81" ht="15" customHeight="1" thickBot="1">
      <c r="A16" s="52"/>
      <c r="B16" s="10"/>
      <c r="C16" s="10"/>
      <c r="D16" s="10"/>
      <c r="E16" s="10"/>
      <c r="F16" s="53"/>
      <c r="G16" s="52"/>
      <c r="H16" s="10"/>
      <c r="I16" s="10"/>
      <c r="J16" s="53"/>
      <c r="K16" s="54">
        <f>IF(K$14="","",DAY(K$14))</f>
        <v>1</v>
      </c>
      <c r="L16" s="55"/>
      <c r="M16" s="56">
        <f>IF(M$14="","",DAY(M$14))</f>
        <v>2</v>
      </c>
      <c r="N16" s="56">
        <f>IF(N$14="","",DAY(N$14))</f>
        <v>3</v>
      </c>
      <c r="O16" s="57">
        <f>IF(O$14="","",DAY(O$14))</f>
        <v>6</v>
      </c>
      <c r="P16" s="58"/>
      <c r="Q16" s="58"/>
      <c r="R16" s="55"/>
      <c r="S16" s="57">
        <f>IF(S$14="","",DAY(S$14))</f>
        <v>7</v>
      </c>
      <c r="T16" s="58"/>
      <c r="U16" s="55"/>
      <c r="V16" s="59">
        <f>IF(V$14="","",DAY(V$14))</f>
        <v>8</v>
      </c>
      <c r="W16" s="57">
        <f>IF(W$14="","",DAY(W$14))</f>
        <v>9</v>
      </c>
      <c r="X16" s="58"/>
      <c r="Y16" s="55"/>
      <c r="Z16" s="56">
        <f>IF(Z$14="","",DAY(Z$14))</f>
        <v>10</v>
      </c>
      <c r="AA16" s="56">
        <f>IF(AA$14="","",DAY(AA$14))</f>
        <v>13</v>
      </c>
      <c r="AB16" s="57">
        <f>IF(AB$14="","",DAY(AB$14))</f>
        <v>14</v>
      </c>
      <c r="AC16" s="58"/>
      <c r="AD16" s="55"/>
      <c r="AE16" s="54">
        <f>IF(AE$14="","",DAY(AE$14))</f>
        <v>15</v>
      </c>
      <c r="AF16" s="58"/>
      <c r="AG16" s="55"/>
      <c r="AH16" s="56">
        <f>IF(AH$14="","",DAY(AH$14))</f>
        <v>16</v>
      </c>
      <c r="AI16" s="57">
        <f>IF(AI$14="","",DAY(AI$14))</f>
        <v>17</v>
      </c>
      <c r="AJ16" s="58"/>
      <c r="AK16" s="55"/>
      <c r="AL16" s="57">
        <f>IF(AL$14="","",DAY(AL$14))</f>
        <v>20</v>
      </c>
      <c r="AM16" s="55"/>
      <c r="AN16" s="57">
        <f>IF(AN$14="","",DAY(AN$14))</f>
        <v>21</v>
      </c>
      <c r="AO16" s="55"/>
      <c r="AP16" s="54">
        <f>IF(AP$14="","",DAY(AP$14))</f>
        <v>22</v>
      </c>
      <c r="AQ16" s="55"/>
      <c r="AR16" s="56">
        <f>IF(AR$14="","",DAY(AR$14))</f>
        <v>23</v>
      </c>
      <c r="AS16" s="57">
        <f>IF(AS$14="","",DAY(AS$14))</f>
        <v>24</v>
      </c>
      <c r="AT16" s="55"/>
      <c r="AU16" s="56">
        <f>IF(AU$14="","",DAY(AU$14))</f>
        <v>27</v>
      </c>
      <c r="AV16" s="56">
        <f>IF(AV$14="","",DAY(AV$14))</f>
        <v>28</v>
      </c>
      <c r="AW16" s="54">
        <f>IF(AW$14="","",DAY(AW$14))</f>
        <v>29</v>
      </c>
      <c r="AX16" s="55"/>
      <c r="AY16" s="57">
        <f>IF(AY$14="","",DAY(AY$14))</f>
        <v>30</v>
      </c>
      <c r="AZ16" s="58"/>
      <c r="BA16" s="55"/>
      <c r="BB16" s="57">
        <f>IF(BB$14="","",DAY(BB$14))</f>
        <v>31</v>
      </c>
      <c r="BC16" s="55"/>
      <c r="BD16" s="56" t="str">
        <f>IF(BD$14="","",DAY(BD$14))</f>
        <v/>
      </c>
      <c r="BE16" s="57" t="str">
        <f>IF(BE$14="","",DAY(BE$14))</f>
        <v/>
      </c>
      <c r="BF16" s="58"/>
      <c r="BG16" s="58"/>
      <c r="BH16" s="55"/>
      <c r="BI16" s="60"/>
      <c r="BJ16" s="61"/>
      <c r="BK16" s="61"/>
      <c r="BL16" s="61"/>
      <c r="BM16" s="61"/>
      <c r="BN16" s="61"/>
      <c r="BO16" s="62"/>
      <c r="BP16" s="63"/>
      <c r="BQ16" s="10"/>
      <c r="BR16" s="10"/>
      <c r="BS16" s="10"/>
      <c r="BT16" s="10"/>
      <c r="BU16" s="10"/>
      <c r="BV16" s="10"/>
      <c r="BW16" s="10"/>
      <c r="BX16" s="10"/>
      <c r="BY16" s="10"/>
      <c r="BZ16" s="10"/>
      <c r="CA16" s="64"/>
    </row>
    <row r="17" spans="1:81" ht="15" customHeight="1" thickBot="1">
      <c r="A17" s="65"/>
      <c r="B17" s="66"/>
      <c r="C17" s="66"/>
      <c r="D17" s="66"/>
      <c r="E17" s="66"/>
      <c r="F17" s="67"/>
      <c r="G17" s="65"/>
      <c r="H17" s="66"/>
      <c r="I17" s="66"/>
      <c r="J17" s="67"/>
      <c r="K17" s="68" t="str">
        <f>IF(K$14="","",CHOOSE(WEEKDAY(K$14,2),"M","T","W","TH","F","S","S"))</f>
        <v>W</v>
      </c>
      <c r="L17" s="69"/>
      <c r="M17" s="70" t="str">
        <f>IF(M$14="","",CHOOSE(WEEKDAY(M$14,2),"M","T","W","TH","F","S","S"))</f>
        <v>TH</v>
      </c>
      <c r="N17" s="70" t="str">
        <f>IF(N$14="","",CHOOSE(WEEKDAY(N$14,2),"M","T","W","TH","F","S","S"))</f>
        <v>F</v>
      </c>
      <c r="O17" s="71" t="str">
        <f>IF(O$14="","",CHOOSE(WEEKDAY(O$14,2),"M","T","W","TH","F","S","S"))</f>
        <v>M</v>
      </c>
      <c r="P17" s="72"/>
      <c r="Q17" s="72"/>
      <c r="R17" s="69"/>
      <c r="S17" s="71" t="str">
        <f>IF(S$14="","",CHOOSE(WEEKDAY(S$14,2),"M","T","W","TH","F","S","S"))</f>
        <v>T</v>
      </c>
      <c r="T17" s="72"/>
      <c r="U17" s="69"/>
      <c r="V17" s="73" t="str">
        <f>IF(V$14="","",CHOOSE(WEEKDAY(V$14,2),"M","T","W","TH","F","S","S"))</f>
        <v>W</v>
      </c>
      <c r="W17" s="71" t="str">
        <f>IF(W$14="","",CHOOSE(WEEKDAY(W$14,2),"M","T","W","TH","F","S","S"))</f>
        <v>TH</v>
      </c>
      <c r="X17" s="72"/>
      <c r="Y17" s="69"/>
      <c r="Z17" s="70" t="str">
        <f>IF(Z$14="","",CHOOSE(WEEKDAY(Z$14,2),"M","T","W","TH","F","S","S"))</f>
        <v>F</v>
      </c>
      <c r="AA17" s="70" t="str">
        <f>IF(AA$14="","",CHOOSE(WEEKDAY(AA$14,2),"M","T","W","TH","F","S","S"))</f>
        <v>M</v>
      </c>
      <c r="AB17" s="71" t="str">
        <f>IF(AB$14="","",CHOOSE(WEEKDAY(AB$14,2),"M","T","W","TH","F","S","S"))</f>
        <v>T</v>
      </c>
      <c r="AC17" s="72"/>
      <c r="AD17" s="69"/>
      <c r="AE17" s="68" t="str">
        <f>IF(AE$14="","",CHOOSE(WEEKDAY(AE$14,2),"M","T","W","TH","F","S","S"))</f>
        <v>W</v>
      </c>
      <c r="AF17" s="72"/>
      <c r="AG17" s="69"/>
      <c r="AH17" s="70" t="str">
        <f>IF(AH$14="","",CHOOSE(WEEKDAY(AH$14,2),"M","T","W","TH","F","S","S"))</f>
        <v>TH</v>
      </c>
      <c r="AI17" s="71" t="str">
        <f>IF(AI$14="","",CHOOSE(WEEKDAY(AI$14,2),"M","T","W","TH","F","S","S"))</f>
        <v>F</v>
      </c>
      <c r="AJ17" s="72"/>
      <c r="AK17" s="69"/>
      <c r="AL17" s="71" t="str">
        <f>IF(AL$14="","",CHOOSE(WEEKDAY(AL$14,2),"M","T","W","TH","F","S","S"))</f>
        <v>M</v>
      </c>
      <c r="AM17" s="69"/>
      <c r="AN17" s="71" t="str">
        <f>IF(AN$14="","",CHOOSE(WEEKDAY(AN$14,2),"M","T","W","TH","F","S","S"))</f>
        <v>T</v>
      </c>
      <c r="AO17" s="69"/>
      <c r="AP17" s="68" t="str">
        <f>IF(AP$14="","",CHOOSE(WEEKDAY(AP$14,2),"M","T","W","TH","F","S","S"))</f>
        <v>W</v>
      </c>
      <c r="AQ17" s="69"/>
      <c r="AR17" s="70" t="str">
        <f>IF(AR$14="","",CHOOSE(WEEKDAY(AR$14,2),"M","T","W","TH","F","S","S"))</f>
        <v>TH</v>
      </c>
      <c r="AS17" s="71" t="str">
        <f>IF(AS$14="","",CHOOSE(WEEKDAY(AS$14,2),"M","T","W","TH","F","S","S"))</f>
        <v>F</v>
      </c>
      <c r="AT17" s="69"/>
      <c r="AU17" s="70" t="str">
        <f>IF(AU$14="","",CHOOSE(WEEKDAY(AU$14,2),"M","T","W","TH","F","S","S"))</f>
        <v>M</v>
      </c>
      <c r="AV17" s="70" t="str">
        <f>IF(AV$14="","",CHOOSE(WEEKDAY(AV$14,2),"M","T","W","TH","F","S","S"))</f>
        <v>T</v>
      </c>
      <c r="AW17" s="68" t="str">
        <f>IF(AW$14="","",CHOOSE(WEEKDAY(AW$14,2),"M","T","W","TH","F","S","S"))</f>
        <v>W</v>
      </c>
      <c r="AX17" s="69"/>
      <c r="AY17" s="71" t="str">
        <f>IF(AY$14="","",CHOOSE(WEEKDAY(AY$14,2),"M","T","W","TH","F","S","S"))</f>
        <v>TH</v>
      </c>
      <c r="AZ17" s="72"/>
      <c r="BA17" s="69"/>
      <c r="BB17" s="71" t="str">
        <f>IF(BB$14="","",CHOOSE(WEEKDAY(BB$14,2),"M","T","W","TH","F","S","S"))</f>
        <v>F</v>
      </c>
      <c r="BC17" s="69"/>
      <c r="BD17" s="70" t="str">
        <f>IF(BD$14="","",CHOOSE(WEEKDAY(BD$14,2),"M","T","W","TH","F","S","S"))</f>
        <v/>
      </c>
      <c r="BE17" s="71" t="str">
        <f>IF(BE$14="","",CHOOSE(WEEKDAY(BE$14,2),"M","T","W","TH","F","S","S"))</f>
        <v/>
      </c>
      <c r="BF17" s="72"/>
      <c r="BG17" s="72"/>
      <c r="BH17" s="69"/>
      <c r="BI17" s="74" t="s">
        <v>19</v>
      </c>
      <c r="BJ17" s="75"/>
      <c r="BK17" s="76"/>
      <c r="BL17" s="74" t="s">
        <v>20</v>
      </c>
      <c r="BM17" s="75"/>
      <c r="BN17" s="75"/>
      <c r="BO17" s="76"/>
      <c r="BP17" s="77"/>
      <c r="BQ17" s="78"/>
      <c r="BR17" s="78"/>
      <c r="BS17" s="78"/>
      <c r="BT17" s="78"/>
      <c r="BU17" s="78"/>
      <c r="BV17" s="78"/>
      <c r="BW17" s="78"/>
      <c r="BX17" s="78"/>
      <c r="BY17" s="78"/>
      <c r="BZ17" s="78"/>
      <c r="CA17" s="79"/>
    </row>
    <row r="18" spans="1:81" ht="19.95" customHeight="1">
      <c r="A18" s="80">
        <v>1</v>
      </c>
      <c r="B18" s="81"/>
      <c r="C18" s="81"/>
      <c r="D18" s="81"/>
      <c r="E18" s="81"/>
      <c r="F18" s="82"/>
      <c r="G18" s="83" t="str">
        <f>IF($CC18="","",INDEX('[1]ATTENDANCE DAILY'!$E$4:$E$663,$CC18))</f>
        <v>ACAYAN, ELIJAH DITALO</v>
      </c>
      <c r="H18" s="84"/>
      <c r="I18" s="84"/>
      <c r="J18" s="85"/>
      <c r="K18" s="54" t="str">
        <f>_xlfn.LET(_xlpm._r,_xlfn.SINGLE(IF(OR($CC18="",K$14="",K$14&lt;_xlfn.SINGLE(INDEX('[1]ATTENDANCE DAILY'!$AV$4:$AV$663,$CC18)),K$14&gt;_xlfn.SINGLE(INDEX('[1]ATTENDANCE DAILY'!$AW$4:$AW$663,$CC18))),"",IF(_xlfn.SINGLE(INDEX('[1]ATTENDANCE DAILY'!$I$4:$AM$663,$CC18,DAY(K$14)))="T-Late","T-L",IF(_xlfn.SINGLE(INDEX('[1]ATTENDANCE DAILY'!$I$4:$AM$663,$CC18,DAY(K$14)))="T-Cutting","T-C",INDEX('[1]ATTENDANCE DAILY'!$I$4:$AM$663,$CC18,DAY(K$14)))))),IFERROR(IF(_xlpm._r=0,"",_xlpm._r),""))</f>
        <v/>
      </c>
      <c r="L18" s="55"/>
      <c r="M18" s="56" t="str">
        <f>_xlfn.LET(_xlpm._r,_xlfn.SINGLE(IF(OR($CC18="",M$14="",M$14&lt;_xlfn.SINGLE(INDEX('[1]ATTENDANCE DAILY'!$AV$4:$AV$663,$CC18)),M$14&gt;_xlfn.SINGLE(INDEX('[1]ATTENDANCE DAILY'!$AW$4:$AW$663,$CC18))),"",IF(_xlfn.SINGLE(INDEX('[1]ATTENDANCE DAILY'!$I$4:$AM$663,$CC18,DAY(M$14)))="T-Late","T-L",IF(_xlfn.SINGLE(INDEX('[1]ATTENDANCE DAILY'!$I$4:$AM$663,$CC18,DAY(M$14)))="T-Cutting","T-C",INDEX('[1]ATTENDANCE DAILY'!$I$4:$AM$663,$CC18,DAY(M$14)))))),IFERROR(IF(_xlpm._r=0,"",_xlpm._r),""))</f>
        <v/>
      </c>
      <c r="N18" s="56" t="str">
        <f>_xlfn.LET(_xlpm._r,_xlfn.SINGLE(IF(OR($CC18="",N$14="",N$14&lt;_xlfn.SINGLE(INDEX('[1]ATTENDANCE DAILY'!$AV$4:$AV$663,$CC18)),N$14&gt;_xlfn.SINGLE(INDEX('[1]ATTENDANCE DAILY'!$AW$4:$AW$663,$CC18))),"",IF(_xlfn.SINGLE(INDEX('[1]ATTENDANCE DAILY'!$I$4:$AM$663,$CC18,DAY(N$14)))="T-Late","T-L",IF(_xlfn.SINGLE(INDEX('[1]ATTENDANCE DAILY'!$I$4:$AM$663,$CC18,DAY(N$14)))="T-Cutting","T-C",INDEX('[1]ATTENDANCE DAILY'!$I$4:$AM$663,$CC18,DAY(N$14)))))),IFERROR(IF(_xlpm._r=0,"",_xlpm._r),""))</f>
        <v/>
      </c>
      <c r="O18" s="57" t="str">
        <f>_xlfn.LET(_xlpm._r,_xlfn.SINGLE(IF(OR($CC18="",O$14="",O$14&lt;_xlfn.SINGLE(INDEX('[1]ATTENDANCE DAILY'!$AV$4:$AV$663,$CC18)),O$14&gt;_xlfn.SINGLE(INDEX('[1]ATTENDANCE DAILY'!$AW$4:$AW$663,$CC18))),"",IF(_xlfn.SINGLE(INDEX('[1]ATTENDANCE DAILY'!$I$4:$AM$663,$CC18,DAY(O$14)))="T-Late","T-L",IF(_xlfn.SINGLE(INDEX('[1]ATTENDANCE DAILY'!$I$4:$AM$663,$CC18,DAY(O$14)))="T-Cutting","T-C",INDEX('[1]ATTENDANCE DAILY'!$I$4:$AM$663,$CC18,DAY(O$14)))))),IFERROR(IF(_xlpm._r=0,"",_xlpm._r),""))</f>
        <v/>
      </c>
      <c r="P18" s="58"/>
      <c r="Q18" s="58"/>
      <c r="R18" s="55"/>
      <c r="S18" s="57" t="str">
        <f>_xlfn.LET(_xlpm._r,_xlfn.SINGLE(IF(OR($CC18="",S$14="",S$14&lt;_xlfn.SINGLE(INDEX('[1]ATTENDANCE DAILY'!$AV$4:$AV$663,$CC18)),S$14&gt;_xlfn.SINGLE(INDEX('[1]ATTENDANCE DAILY'!$AW$4:$AW$663,$CC18))),"",IF(_xlfn.SINGLE(INDEX('[1]ATTENDANCE DAILY'!$I$4:$AM$663,$CC18,DAY(S$14)))="T-Late","T-L",IF(_xlfn.SINGLE(INDEX('[1]ATTENDANCE DAILY'!$I$4:$AM$663,$CC18,DAY(S$14)))="T-Cutting","T-C",INDEX('[1]ATTENDANCE DAILY'!$I$4:$AM$663,$CC18,DAY(S$14)))))),IFERROR(IF(_xlpm._r=0,"",_xlpm._r),""))</f>
        <v/>
      </c>
      <c r="T18" s="58"/>
      <c r="U18" s="86"/>
      <c r="V18" s="59" t="str">
        <f>_xlfn.LET(_xlpm._r,_xlfn.SINGLE(IF(OR($CC18="",V$14="",V$14&lt;_xlfn.SINGLE(INDEX('[1]ATTENDANCE DAILY'!$AV$4:$AV$663,$CC18)),V$14&gt;_xlfn.SINGLE(INDEX('[1]ATTENDANCE DAILY'!$AW$4:$AW$663,$CC18))),"",IF(_xlfn.SINGLE(INDEX('[1]ATTENDANCE DAILY'!$I$4:$AM$663,$CC18,DAY(V$14)))="T-Late","T-L",IF(_xlfn.SINGLE(INDEX('[1]ATTENDANCE DAILY'!$I$4:$AM$663,$CC18,DAY(V$14)))="T-Cutting","T-C",INDEX('[1]ATTENDANCE DAILY'!$I$4:$AM$663,$CC18,DAY(V$14)))))),IFERROR(IF(_xlpm._r=0,"",_xlpm._r),""))</f>
        <v/>
      </c>
      <c r="W18" s="57" t="str">
        <f>_xlfn.LET(_xlpm._r,_xlfn.SINGLE(IF(OR($CC18="",W$14="",W$14&lt;_xlfn.SINGLE(INDEX('[1]ATTENDANCE DAILY'!$AV$4:$AV$663,$CC18)),W$14&gt;_xlfn.SINGLE(INDEX('[1]ATTENDANCE DAILY'!$AW$4:$AW$663,$CC18))),"",IF(_xlfn.SINGLE(INDEX('[1]ATTENDANCE DAILY'!$I$4:$AM$663,$CC18,DAY(W$14)))="T-Late","T-L",IF(_xlfn.SINGLE(INDEX('[1]ATTENDANCE DAILY'!$I$4:$AM$663,$CC18,DAY(W$14)))="T-Cutting","T-C",INDEX('[1]ATTENDANCE DAILY'!$I$4:$AM$663,$CC18,DAY(W$14)))))),IFERROR(IF(_xlpm._r=0,"",_xlpm._r),""))</f>
        <v/>
      </c>
      <c r="X18" s="58"/>
      <c r="Y18" s="55"/>
      <c r="Z18" s="56" t="str">
        <f>_xlfn.LET(_xlpm._r,_xlfn.SINGLE(IF(OR($CC18="",Z$14="",Z$14&lt;_xlfn.SINGLE(INDEX('[1]ATTENDANCE DAILY'!$AV$4:$AV$663,$CC18)),Z$14&gt;_xlfn.SINGLE(INDEX('[1]ATTENDANCE DAILY'!$AW$4:$AW$663,$CC18))),"",IF(_xlfn.SINGLE(INDEX('[1]ATTENDANCE DAILY'!$I$4:$AM$663,$CC18,DAY(Z$14)))="T-Late","T-L",IF(_xlfn.SINGLE(INDEX('[1]ATTENDANCE DAILY'!$I$4:$AM$663,$CC18,DAY(Z$14)))="T-Cutting","T-C",INDEX('[1]ATTENDANCE DAILY'!$I$4:$AM$663,$CC18,DAY(Z$14)))))),IFERROR(IF(_xlpm._r=0,"",_xlpm._r),""))</f>
        <v/>
      </c>
      <c r="AA18" s="56" t="str">
        <f>_xlfn.LET(_xlpm._r,_xlfn.SINGLE(IF(OR($CC18="",AA$14="",AA$14&lt;_xlfn.SINGLE(INDEX('[1]ATTENDANCE DAILY'!$AV$4:$AV$663,$CC18)),AA$14&gt;_xlfn.SINGLE(INDEX('[1]ATTENDANCE DAILY'!$AW$4:$AW$663,$CC18))),"",IF(_xlfn.SINGLE(INDEX('[1]ATTENDANCE DAILY'!$I$4:$AM$663,$CC18,DAY(AA$14)))="T-Late","T-L",IF(_xlfn.SINGLE(INDEX('[1]ATTENDANCE DAILY'!$I$4:$AM$663,$CC18,DAY(AA$14)))="T-Cutting","T-C",INDEX('[1]ATTENDANCE DAILY'!$I$4:$AM$663,$CC18,DAY(AA$14)))))),IFERROR(IF(_xlpm._r=0,"",_xlpm._r),""))</f>
        <v/>
      </c>
      <c r="AB18" s="57" t="str">
        <f>_xlfn.LET(_xlpm._r,_xlfn.SINGLE(IF(OR($CC18="",AB$14="",AB$14&lt;_xlfn.SINGLE(INDEX('[1]ATTENDANCE DAILY'!$AV$4:$AV$663,$CC18)),AB$14&gt;_xlfn.SINGLE(INDEX('[1]ATTENDANCE DAILY'!$AW$4:$AW$663,$CC18))),"",IF(_xlfn.SINGLE(INDEX('[1]ATTENDANCE DAILY'!$I$4:$AM$663,$CC18,DAY(AB$14)))="T-Late","T-L",IF(_xlfn.SINGLE(INDEX('[1]ATTENDANCE DAILY'!$I$4:$AM$663,$CC18,DAY(AB$14)))="T-Cutting","T-C",INDEX('[1]ATTENDANCE DAILY'!$I$4:$AM$663,$CC18,DAY(AB$14)))))),IFERROR(IF(_xlpm._r=0,"",_xlpm._r),""))</f>
        <v/>
      </c>
      <c r="AC18" s="58"/>
      <c r="AD18" s="86"/>
      <c r="AE18" s="54" t="str">
        <f>_xlfn.LET(_xlpm._r,_xlfn.SINGLE(IF(OR($CC18="",AE$14="",AE$14&lt;_xlfn.SINGLE(INDEX('[1]ATTENDANCE DAILY'!$AV$4:$AV$663,$CC18)),AE$14&gt;_xlfn.SINGLE(INDEX('[1]ATTENDANCE DAILY'!$AW$4:$AW$663,$CC18))),"",IF(_xlfn.SINGLE(INDEX('[1]ATTENDANCE DAILY'!$I$4:$AM$663,$CC18,DAY(AE$14)))="T-Late","T-L",IF(_xlfn.SINGLE(INDEX('[1]ATTENDANCE DAILY'!$I$4:$AM$663,$CC18,DAY(AE$14)))="T-Cutting","T-C",INDEX('[1]ATTENDANCE DAILY'!$I$4:$AM$663,$CC18,DAY(AE$14)))))),IFERROR(IF(_xlpm._r=0,"",_xlpm._r),""))</f>
        <v/>
      </c>
      <c r="AF18" s="58"/>
      <c r="AG18" s="55"/>
      <c r="AH18" s="56" t="str">
        <f>_xlfn.LET(_xlpm._r,_xlfn.SINGLE(IF(OR($CC18="",AH$14="",AH$14&lt;_xlfn.SINGLE(INDEX('[1]ATTENDANCE DAILY'!$AV$4:$AV$663,$CC18)),AH$14&gt;_xlfn.SINGLE(INDEX('[1]ATTENDANCE DAILY'!$AW$4:$AW$663,$CC18))),"",IF(_xlfn.SINGLE(INDEX('[1]ATTENDANCE DAILY'!$I$4:$AM$663,$CC18,DAY(AH$14)))="T-Late","T-L",IF(_xlfn.SINGLE(INDEX('[1]ATTENDANCE DAILY'!$I$4:$AM$663,$CC18,DAY(AH$14)))="T-Cutting","T-C",INDEX('[1]ATTENDANCE DAILY'!$I$4:$AM$663,$CC18,DAY(AH$14)))))),IFERROR(IF(_xlpm._r=0,"",_xlpm._r),""))</f>
        <v/>
      </c>
      <c r="AI18" s="57" t="str">
        <f>_xlfn.LET(_xlpm._r,_xlfn.SINGLE(IF(OR($CC18="",AI$14="",AI$14&lt;_xlfn.SINGLE(INDEX('[1]ATTENDANCE DAILY'!$AV$4:$AV$663,$CC18)),AI$14&gt;_xlfn.SINGLE(INDEX('[1]ATTENDANCE DAILY'!$AW$4:$AW$663,$CC18))),"",IF(_xlfn.SINGLE(INDEX('[1]ATTENDANCE DAILY'!$I$4:$AM$663,$CC18,DAY(AI$14)))="T-Late","T-L",IF(_xlfn.SINGLE(INDEX('[1]ATTENDANCE DAILY'!$I$4:$AM$663,$CC18,DAY(AI$14)))="T-Cutting","T-C",INDEX('[1]ATTENDANCE DAILY'!$I$4:$AM$663,$CC18,DAY(AI$14)))))),IFERROR(IF(_xlpm._r=0,"",_xlpm._r),""))</f>
        <v/>
      </c>
      <c r="AJ18" s="58"/>
      <c r="AK18" s="55"/>
      <c r="AL18" s="57" t="str">
        <f>_xlfn.LET(_xlpm._r,_xlfn.SINGLE(IF(OR($CC18="",AL$14="",AL$14&lt;_xlfn.SINGLE(INDEX('[1]ATTENDANCE DAILY'!$AV$4:$AV$663,$CC18)),AL$14&gt;_xlfn.SINGLE(INDEX('[1]ATTENDANCE DAILY'!$AW$4:$AW$663,$CC18))),"",IF(_xlfn.SINGLE(INDEX('[1]ATTENDANCE DAILY'!$I$4:$AM$663,$CC18,DAY(AL$14)))="T-Late","T-L",IF(_xlfn.SINGLE(INDEX('[1]ATTENDANCE DAILY'!$I$4:$AM$663,$CC18,DAY(AL$14)))="T-Cutting","T-C",INDEX('[1]ATTENDANCE DAILY'!$I$4:$AM$663,$CC18,DAY(AL$14)))))),IFERROR(IF(_xlpm._r=0,"",_xlpm._r),""))</f>
        <v/>
      </c>
      <c r="AM18" s="55"/>
      <c r="AN18" s="57" t="str">
        <f>_xlfn.LET(_xlpm._r,_xlfn.SINGLE(IF(OR($CC18="",AN$14="",AN$14&lt;_xlfn.SINGLE(INDEX('[1]ATTENDANCE DAILY'!$AV$4:$AV$663,$CC18)),AN$14&gt;_xlfn.SINGLE(INDEX('[1]ATTENDANCE DAILY'!$AW$4:$AW$663,$CC18))),"",IF(_xlfn.SINGLE(INDEX('[1]ATTENDANCE DAILY'!$I$4:$AM$663,$CC18,DAY(AN$14)))="T-Late","T-L",IF(_xlfn.SINGLE(INDEX('[1]ATTENDANCE DAILY'!$I$4:$AM$663,$CC18,DAY(AN$14)))="T-Cutting","T-C",INDEX('[1]ATTENDANCE DAILY'!$I$4:$AM$663,$CC18,DAY(AN$14)))))),IFERROR(IF(_xlpm._r=0,"",_xlpm._r),""))</f>
        <v/>
      </c>
      <c r="AO18" s="86"/>
      <c r="AP18" s="54" t="str">
        <f>_xlfn.LET(_xlpm._r,_xlfn.SINGLE(IF(OR($CC18="",AP$14="",AP$14&lt;_xlfn.SINGLE(INDEX('[1]ATTENDANCE DAILY'!$AV$4:$AV$663,$CC18)),AP$14&gt;_xlfn.SINGLE(INDEX('[1]ATTENDANCE DAILY'!$AW$4:$AW$663,$CC18))),"",IF(_xlfn.SINGLE(INDEX('[1]ATTENDANCE DAILY'!$I$4:$AM$663,$CC18,DAY(AP$14)))="T-Late","T-L",IF(_xlfn.SINGLE(INDEX('[1]ATTENDANCE DAILY'!$I$4:$AM$663,$CC18,DAY(AP$14)))="T-Cutting","T-C",INDEX('[1]ATTENDANCE DAILY'!$I$4:$AM$663,$CC18,DAY(AP$14)))))),IFERROR(IF(_xlpm._r=0,"",_xlpm._r),""))</f>
        <v/>
      </c>
      <c r="AQ18" s="55"/>
      <c r="AR18" s="56" t="str">
        <f>_xlfn.LET(_xlpm._r,_xlfn.SINGLE(IF(OR($CC18="",AR$14="",AR$14&lt;_xlfn.SINGLE(INDEX('[1]ATTENDANCE DAILY'!$AV$4:$AV$663,$CC18)),AR$14&gt;_xlfn.SINGLE(INDEX('[1]ATTENDANCE DAILY'!$AW$4:$AW$663,$CC18))),"",IF(_xlfn.SINGLE(INDEX('[1]ATTENDANCE DAILY'!$I$4:$AM$663,$CC18,DAY(AR$14)))="T-Late","T-L",IF(_xlfn.SINGLE(INDEX('[1]ATTENDANCE DAILY'!$I$4:$AM$663,$CC18,DAY(AR$14)))="T-Cutting","T-C",INDEX('[1]ATTENDANCE DAILY'!$I$4:$AM$663,$CC18,DAY(AR$14)))))),IFERROR(IF(_xlpm._r=0,"",_xlpm._r),""))</f>
        <v/>
      </c>
      <c r="AS18" s="57" t="str">
        <f>_xlfn.LET(_xlpm._r,_xlfn.SINGLE(IF(OR($CC18="",AS$14="",AS$14&lt;_xlfn.SINGLE(INDEX('[1]ATTENDANCE DAILY'!$AV$4:$AV$663,$CC18)),AS$14&gt;_xlfn.SINGLE(INDEX('[1]ATTENDANCE DAILY'!$AW$4:$AW$663,$CC18))),"",IF(_xlfn.SINGLE(INDEX('[1]ATTENDANCE DAILY'!$I$4:$AM$663,$CC18,DAY(AS$14)))="T-Late","T-L",IF(_xlfn.SINGLE(INDEX('[1]ATTENDANCE DAILY'!$I$4:$AM$663,$CC18,DAY(AS$14)))="T-Cutting","T-C",INDEX('[1]ATTENDANCE DAILY'!$I$4:$AM$663,$CC18,DAY(AS$14)))))),IFERROR(IF(_xlpm._r=0,"",_xlpm._r),""))</f>
        <v/>
      </c>
      <c r="AT18" s="55"/>
      <c r="AU18" s="56" t="str">
        <f>_xlfn.LET(_xlpm._r,_xlfn.SINGLE(IF(OR($CC18="",AU$14="",AU$14&lt;_xlfn.SINGLE(INDEX('[1]ATTENDANCE DAILY'!$AV$4:$AV$663,$CC18)),AU$14&gt;_xlfn.SINGLE(INDEX('[1]ATTENDANCE DAILY'!$AW$4:$AW$663,$CC18))),"",IF(_xlfn.SINGLE(INDEX('[1]ATTENDANCE DAILY'!$I$4:$AM$663,$CC18,DAY(AU$14)))="T-Late","T-L",IF(_xlfn.SINGLE(INDEX('[1]ATTENDANCE DAILY'!$I$4:$AM$663,$CC18,DAY(AU$14)))="T-Cutting","T-C",INDEX('[1]ATTENDANCE DAILY'!$I$4:$AM$663,$CC18,DAY(AU$14)))))),IFERROR(IF(_xlpm._r=0,"",_xlpm._r),""))</f>
        <v/>
      </c>
      <c r="AV18" s="87" t="str">
        <f>_xlfn.LET(_xlpm._r,_xlfn.SINGLE(IF(OR($CC18="",AV$14="",AV$14&lt;_xlfn.SINGLE(INDEX('[1]ATTENDANCE DAILY'!$AV$4:$AV$663,$CC18)),AV$14&gt;_xlfn.SINGLE(INDEX('[1]ATTENDANCE DAILY'!$AW$4:$AW$663,$CC18))),"",IF(_xlfn.SINGLE(INDEX('[1]ATTENDANCE DAILY'!$I$4:$AM$663,$CC18,DAY(AV$14)))="T-Late","T-L",IF(_xlfn.SINGLE(INDEX('[1]ATTENDANCE DAILY'!$I$4:$AM$663,$CC18,DAY(AV$14)))="T-Cutting","T-C",INDEX('[1]ATTENDANCE DAILY'!$I$4:$AM$663,$CC18,DAY(AV$14)))))),IFERROR(IF(_xlpm._r=0,"",_xlpm._r),""))</f>
        <v/>
      </c>
      <c r="AW18" s="54" t="str">
        <f>_xlfn.LET(_xlpm._r,_xlfn.SINGLE(IF(OR($CC18="",AW$14="",AW$14&lt;_xlfn.SINGLE(INDEX('[1]ATTENDANCE DAILY'!$AV$4:$AV$663,$CC18)),AW$14&gt;_xlfn.SINGLE(INDEX('[1]ATTENDANCE DAILY'!$AW$4:$AW$663,$CC18))),"",IF(_xlfn.SINGLE(INDEX('[1]ATTENDANCE DAILY'!$I$4:$AM$663,$CC18,DAY(AW$14)))="T-Late","T-L",IF(_xlfn.SINGLE(INDEX('[1]ATTENDANCE DAILY'!$I$4:$AM$663,$CC18,DAY(AW$14)))="T-Cutting","T-C",INDEX('[1]ATTENDANCE DAILY'!$I$4:$AM$663,$CC18,DAY(AW$14)))))),IFERROR(IF(_xlpm._r=0,"",_xlpm._r),""))</f>
        <v/>
      </c>
      <c r="AX18" s="55"/>
      <c r="AY18" s="57" t="str">
        <f>_xlfn.LET(_xlpm._r,_xlfn.SINGLE(IF(OR($CC18="",AY$14="",AY$14&lt;_xlfn.SINGLE(INDEX('[1]ATTENDANCE DAILY'!$AV$4:$AV$663,$CC18)),AY$14&gt;_xlfn.SINGLE(INDEX('[1]ATTENDANCE DAILY'!$AW$4:$AW$663,$CC18))),"",IF(_xlfn.SINGLE(INDEX('[1]ATTENDANCE DAILY'!$I$4:$AM$663,$CC18,DAY(AY$14)))="T-Late","T-L",IF(_xlfn.SINGLE(INDEX('[1]ATTENDANCE DAILY'!$I$4:$AM$663,$CC18,DAY(AY$14)))="T-Cutting","T-C",INDEX('[1]ATTENDANCE DAILY'!$I$4:$AM$663,$CC18,DAY(AY$14)))))),IFERROR(IF(_xlpm._r=0,"",_xlpm._r),""))</f>
        <v/>
      </c>
      <c r="AZ18" s="58"/>
      <c r="BA18" s="55"/>
      <c r="BB18" s="57" t="str">
        <f>_xlfn.LET(_xlpm._r,_xlfn.SINGLE(IF(OR($CC18="",BB$14="",BB$14&lt;_xlfn.SINGLE(INDEX('[1]ATTENDANCE DAILY'!$AV$4:$AV$663,$CC18)),BB$14&gt;_xlfn.SINGLE(INDEX('[1]ATTENDANCE DAILY'!$AW$4:$AW$663,$CC18))),"",IF(_xlfn.SINGLE(INDEX('[1]ATTENDANCE DAILY'!$I$4:$AM$663,$CC18,DAY(BB$14)))="T-Late","T-L",IF(_xlfn.SINGLE(INDEX('[1]ATTENDANCE DAILY'!$I$4:$AM$663,$CC18,DAY(BB$14)))="T-Cutting","T-C",INDEX('[1]ATTENDANCE DAILY'!$I$4:$AM$663,$CC18,DAY(BB$14)))))),IFERROR(IF(_xlpm._r=0,"",_xlpm._r),""))</f>
        <v/>
      </c>
      <c r="BC18" s="55"/>
      <c r="BD18" s="56" t="str">
        <f>_xlfn.LET(_xlpm._r,_xlfn.SINGLE(IF(OR($CC18="",BD$14="",BD$14&lt;_xlfn.SINGLE(INDEX('[1]ATTENDANCE DAILY'!$AV$4:$AV$663,$CC18)),BD$14&gt;_xlfn.SINGLE(INDEX('[1]ATTENDANCE DAILY'!$AW$4:$AW$663,$CC18))),"",IF(_xlfn.SINGLE(INDEX('[1]ATTENDANCE DAILY'!$I$4:$AM$663,$CC18,DAY(BD$14)))="T-Late","T-L",IF(_xlfn.SINGLE(INDEX('[1]ATTENDANCE DAILY'!$I$4:$AM$663,$CC18,DAY(BD$14)))="T-Cutting","T-C",INDEX('[1]ATTENDANCE DAILY'!$I$4:$AM$663,$CC18,DAY(BD$14)))))),IFERROR(IF(_xlpm._r=0,"",_xlpm._r),""))</f>
        <v/>
      </c>
      <c r="BE18" s="57" t="str">
        <f>_xlfn.LET(_xlpm._r,_xlfn.SINGLE(IF(OR($CC18="",BE$14="",BE$14&lt;_xlfn.SINGLE(INDEX('[1]ATTENDANCE DAILY'!$AV$4:$AV$663,$CC18)),BE$14&gt;_xlfn.SINGLE(INDEX('[1]ATTENDANCE DAILY'!$AW$4:$AW$663,$CC18))),"",IF(_xlfn.SINGLE(INDEX('[1]ATTENDANCE DAILY'!$I$4:$AM$663,$CC18,DAY(BE$14)))="T-Late","T-L",IF(_xlfn.SINGLE(INDEX('[1]ATTENDANCE DAILY'!$I$4:$AM$663,$CC18,DAY(BE$14)))="T-Cutting","T-C",INDEX('[1]ATTENDANCE DAILY'!$I$4:$AM$663,$CC18,DAY(BE$14)))))),IFERROR(IF(_xlpm._r=0,"",_xlpm._r),""))</f>
        <v/>
      </c>
      <c r="BF18" s="58"/>
      <c r="BG18" s="58"/>
      <c r="BH18" s="86"/>
      <c r="BI18" s="88">
        <f>IF($CC18="","",INDEX('[1]ATTENDANCE DAILY'!$AR$4:$AR$663,$CC18))</f>
        <v>0</v>
      </c>
      <c r="BJ18" s="89"/>
      <c r="BK18" s="90"/>
      <c r="BL18" s="88">
        <f>IF($CC18="","",INDEX('[1]ATTENDANCE DAILY'!$AS$4:$AS$663,$CC18))</f>
        <v>23</v>
      </c>
      <c r="BM18" s="89"/>
      <c r="BN18" s="89"/>
      <c r="BO18" s="90"/>
      <c r="BP18" s="91" t="str">
        <f>IF($CC18="","",IF(INDEX('[1]ATTENDANCE DAILY'!$AN$4:$AN$663,$CC18)="","",INDEX('[1]ATTENDANCE DAILY'!$AN$4:$AN$663,$CC18)&amp;IF(INDEX('[1]ATTENDANCE DAILY'!$AO$4:$AO$663,$CC18)="",""," ("&amp;TEXT(INDEX('[1]ATTENDANCE DAILY'!$AO$4:$AO$663,$CC18),"mm-dd-yyyy")&amp;")")&amp;IF(INDEX('[1]ATTENDANCE DAILY'!$AP$4:$AP$663,$CC18)="",""," - "&amp;INDEX('[1]ATTENDANCE DAILY'!$AP$4:$AP$663,$CC18))))</f>
        <v/>
      </c>
      <c r="BQ18" s="89"/>
      <c r="BR18" s="89"/>
      <c r="BS18" s="89"/>
      <c r="BT18" s="89"/>
      <c r="BU18" s="89"/>
      <c r="BV18" s="89"/>
      <c r="BW18" s="89"/>
      <c r="BX18" s="89"/>
      <c r="BY18" s="89"/>
      <c r="BZ18" s="89"/>
      <c r="CA18" s="90"/>
      <c r="CC18">
        <f>IF(COUNTIFS('[1]ATTENDANCE DAILY'!$C$4:$C$663,$BN$11,'[1]ATTENDANCE DAILY'!$F$4:$F$663,"Male",'[1]ATTENDANCE DAILY'!$G$4:$G$663,1,'[1]ATTENDANCE DAILY'!$BA$4:$BA$663,1)=0,"",SUMIFS('[1]ATTENDANCE DAILY'!$A$4:$A$663,'[1]ATTENDANCE DAILY'!$C$4:$C$663,$BN$11,'[1]ATTENDANCE DAILY'!$F$4:$F$663,"Male",'[1]ATTENDANCE DAILY'!$G$4:$G$663,1,'[1]ATTENDANCE DAILY'!$BA$4:$BA$663,1))</f>
        <v>61</v>
      </c>
    </row>
    <row r="19" spans="1:81" ht="19.95" customHeight="1">
      <c r="A19" s="80">
        <v>2</v>
      </c>
      <c r="B19" s="81"/>
      <c r="C19" s="81"/>
      <c r="D19" s="81"/>
      <c r="E19" s="81"/>
      <c r="F19" s="82"/>
      <c r="G19" s="83" t="str">
        <f>IF($CC19="","",INDEX('[1]ATTENDANCE DAILY'!$E$4:$E$663,$CC19))</f>
        <v>ARCILLA, KYLE XANDRE MATUS</v>
      </c>
      <c r="H19" s="84"/>
      <c r="I19" s="84"/>
      <c r="J19" s="85"/>
      <c r="K19" s="54" t="str">
        <f>_xlfn.LET(_xlpm._r,_xlfn.SINGLE(IF(OR($CC19="",K$14="",K$14&lt;_xlfn.SINGLE(INDEX('[1]ATTENDANCE DAILY'!$AV$4:$AV$663,$CC19)),K$14&gt;_xlfn.SINGLE(INDEX('[1]ATTENDANCE DAILY'!$AW$4:$AW$663,$CC19))),"",IF(_xlfn.SINGLE(INDEX('[1]ATTENDANCE DAILY'!$I$4:$AM$663,$CC19,DAY(K$14)))="T-Late","T-L",IF(_xlfn.SINGLE(INDEX('[1]ATTENDANCE DAILY'!$I$4:$AM$663,$CC19,DAY(K$14)))="T-Cutting","T-C",INDEX('[1]ATTENDANCE DAILY'!$I$4:$AM$663,$CC19,DAY(K$14)))))),IFERROR(IF(_xlpm._r=0,"",_xlpm._r),""))</f>
        <v/>
      </c>
      <c r="L19" s="55"/>
      <c r="M19" s="56" t="str">
        <f>_xlfn.LET(_xlpm._r,_xlfn.SINGLE(IF(OR($CC19="",M$14="",M$14&lt;_xlfn.SINGLE(INDEX('[1]ATTENDANCE DAILY'!$AV$4:$AV$663,$CC19)),M$14&gt;_xlfn.SINGLE(INDEX('[1]ATTENDANCE DAILY'!$AW$4:$AW$663,$CC19))),"",IF(_xlfn.SINGLE(INDEX('[1]ATTENDANCE DAILY'!$I$4:$AM$663,$CC19,DAY(M$14)))="T-Late","T-L",IF(_xlfn.SINGLE(INDEX('[1]ATTENDANCE DAILY'!$I$4:$AM$663,$CC19,DAY(M$14)))="T-Cutting","T-C",INDEX('[1]ATTENDANCE DAILY'!$I$4:$AM$663,$CC19,DAY(M$14)))))),IFERROR(IF(_xlpm._r=0,"",_xlpm._r),""))</f>
        <v/>
      </c>
      <c r="N19" s="56" t="str">
        <f>_xlfn.LET(_xlpm._r,_xlfn.SINGLE(IF(OR($CC19="",N$14="",N$14&lt;_xlfn.SINGLE(INDEX('[1]ATTENDANCE DAILY'!$AV$4:$AV$663,$CC19)),N$14&gt;_xlfn.SINGLE(INDEX('[1]ATTENDANCE DAILY'!$AW$4:$AW$663,$CC19))),"",IF(_xlfn.SINGLE(INDEX('[1]ATTENDANCE DAILY'!$I$4:$AM$663,$CC19,DAY(N$14)))="T-Late","T-L",IF(_xlfn.SINGLE(INDEX('[1]ATTENDANCE DAILY'!$I$4:$AM$663,$CC19,DAY(N$14)))="T-Cutting","T-C",INDEX('[1]ATTENDANCE DAILY'!$I$4:$AM$663,$CC19,DAY(N$14)))))),IFERROR(IF(_xlpm._r=0,"",_xlpm._r),""))</f>
        <v/>
      </c>
      <c r="O19" s="57" t="str">
        <f>_xlfn.LET(_xlpm._r,_xlfn.SINGLE(IF(OR($CC19="",O$14="",O$14&lt;_xlfn.SINGLE(INDEX('[1]ATTENDANCE DAILY'!$AV$4:$AV$663,$CC19)),O$14&gt;_xlfn.SINGLE(INDEX('[1]ATTENDANCE DAILY'!$AW$4:$AW$663,$CC19))),"",IF(_xlfn.SINGLE(INDEX('[1]ATTENDANCE DAILY'!$I$4:$AM$663,$CC19,DAY(O$14)))="T-Late","T-L",IF(_xlfn.SINGLE(INDEX('[1]ATTENDANCE DAILY'!$I$4:$AM$663,$CC19,DAY(O$14)))="T-Cutting","T-C",INDEX('[1]ATTENDANCE DAILY'!$I$4:$AM$663,$CC19,DAY(O$14)))))),IFERROR(IF(_xlpm._r=0,"",_xlpm._r),""))</f>
        <v/>
      </c>
      <c r="P19" s="58"/>
      <c r="Q19" s="58"/>
      <c r="R19" s="55"/>
      <c r="S19" s="57" t="str">
        <f>_xlfn.LET(_xlpm._r,_xlfn.SINGLE(IF(OR($CC19="",S$14="",S$14&lt;_xlfn.SINGLE(INDEX('[1]ATTENDANCE DAILY'!$AV$4:$AV$663,$CC19)),S$14&gt;_xlfn.SINGLE(INDEX('[1]ATTENDANCE DAILY'!$AW$4:$AW$663,$CC19))),"",IF(_xlfn.SINGLE(INDEX('[1]ATTENDANCE DAILY'!$I$4:$AM$663,$CC19,DAY(S$14)))="T-Late","T-L",IF(_xlfn.SINGLE(INDEX('[1]ATTENDANCE DAILY'!$I$4:$AM$663,$CC19,DAY(S$14)))="T-Cutting","T-C",INDEX('[1]ATTENDANCE DAILY'!$I$4:$AM$663,$CC19,DAY(S$14)))))),IFERROR(IF(_xlpm._r=0,"",_xlpm._r),""))</f>
        <v/>
      </c>
      <c r="T19" s="58"/>
      <c r="U19" s="86"/>
      <c r="V19" s="59" t="str">
        <f>_xlfn.LET(_xlpm._r,_xlfn.SINGLE(IF(OR($CC19="",V$14="",V$14&lt;_xlfn.SINGLE(INDEX('[1]ATTENDANCE DAILY'!$AV$4:$AV$663,$CC19)),V$14&gt;_xlfn.SINGLE(INDEX('[1]ATTENDANCE DAILY'!$AW$4:$AW$663,$CC19))),"",IF(_xlfn.SINGLE(INDEX('[1]ATTENDANCE DAILY'!$I$4:$AM$663,$CC19,DAY(V$14)))="T-Late","T-L",IF(_xlfn.SINGLE(INDEX('[1]ATTENDANCE DAILY'!$I$4:$AM$663,$CC19,DAY(V$14)))="T-Cutting","T-C",INDEX('[1]ATTENDANCE DAILY'!$I$4:$AM$663,$CC19,DAY(V$14)))))),IFERROR(IF(_xlpm._r=0,"",_xlpm._r),""))</f>
        <v/>
      </c>
      <c r="W19" s="57" t="str">
        <f>_xlfn.LET(_xlpm._r,_xlfn.SINGLE(IF(OR($CC19="",W$14="",W$14&lt;_xlfn.SINGLE(INDEX('[1]ATTENDANCE DAILY'!$AV$4:$AV$663,$CC19)),W$14&gt;_xlfn.SINGLE(INDEX('[1]ATTENDANCE DAILY'!$AW$4:$AW$663,$CC19))),"",IF(_xlfn.SINGLE(INDEX('[1]ATTENDANCE DAILY'!$I$4:$AM$663,$CC19,DAY(W$14)))="T-Late","T-L",IF(_xlfn.SINGLE(INDEX('[1]ATTENDANCE DAILY'!$I$4:$AM$663,$CC19,DAY(W$14)))="T-Cutting","T-C",INDEX('[1]ATTENDANCE DAILY'!$I$4:$AM$663,$CC19,DAY(W$14)))))),IFERROR(IF(_xlpm._r=0,"",_xlpm._r),""))</f>
        <v/>
      </c>
      <c r="X19" s="58"/>
      <c r="Y19" s="55"/>
      <c r="Z19" s="56" t="str">
        <f>_xlfn.LET(_xlpm._r,_xlfn.SINGLE(IF(OR($CC19="",Z$14="",Z$14&lt;_xlfn.SINGLE(INDEX('[1]ATTENDANCE DAILY'!$AV$4:$AV$663,$CC19)),Z$14&gt;_xlfn.SINGLE(INDEX('[1]ATTENDANCE DAILY'!$AW$4:$AW$663,$CC19))),"",IF(_xlfn.SINGLE(INDEX('[1]ATTENDANCE DAILY'!$I$4:$AM$663,$CC19,DAY(Z$14)))="T-Late","T-L",IF(_xlfn.SINGLE(INDEX('[1]ATTENDANCE DAILY'!$I$4:$AM$663,$CC19,DAY(Z$14)))="T-Cutting","T-C",INDEX('[1]ATTENDANCE DAILY'!$I$4:$AM$663,$CC19,DAY(Z$14)))))),IFERROR(IF(_xlpm._r=0,"",_xlpm._r),""))</f>
        <v/>
      </c>
      <c r="AA19" s="56" t="str">
        <f>_xlfn.LET(_xlpm._r,_xlfn.SINGLE(IF(OR($CC19="",AA$14="",AA$14&lt;_xlfn.SINGLE(INDEX('[1]ATTENDANCE DAILY'!$AV$4:$AV$663,$CC19)),AA$14&gt;_xlfn.SINGLE(INDEX('[1]ATTENDANCE DAILY'!$AW$4:$AW$663,$CC19))),"",IF(_xlfn.SINGLE(INDEX('[1]ATTENDANCE DAILY'!$I$4:$AM$663,$CC19,DAY(AA$14)))="T-Late","T-L",IF(_xlfn.SINGLE(INDEX('[1]ATTENDANCE DAILY'!$I$4:$AM$663,$CC19,DAY(AA$14)))="T-Cutting","T-C",INDEX('[1]ATTENDANCE DAILY'!$I$4:$AM$663,$CC19,DAY(AA$14)))))),IFERROR(IF(_xlpm._r=0,"",_xlpm._r),""))</f>
        <v/>
      </c>
      <c r="AB19" s="57" t="str">
        <f>_xlfn.LET(_xlpm._r,_xlfn.SINGLE(IF(OR($CC19="",AB$14="",AB$14&lt;_xlfn.SINGLE(INDEX('[1]ATTENDANCE DAILY'!$AV$4:$AV$663,$CC19)),AB$14&gt;_xlfn.SINGLE(INDEX('[1]ATTENDANCE DAILY'!$AW$4:$AW$663,$CC19))),"",IF(_xlfn.SINGLE(INDEX('[1]ATTENDANCE DAILY'!$I$4:$AM$663,$CC19,DAY(AB$14)))="T-Late","T-L",IF(_xlfn.SINGLE(INDEX('[1]ATTENDANCE DAILY'!$I$4:$AM$663,$CC19,DAY(AB$14)))="T-Cutting","T-C",INDEX('[1]ATTENDANCE DAILY'!$I$4:$AM$663,$CC19,DAY(AB$14)))))),IFERROR(IF(_xlpm._r=0,"",_xlpm._r),""))</f>
        <v/>
      </c>
      <c r="AC19" s="58"/>
      <c r="AD19" s="86"/>
      <c r="AE19" s="54" t="str">
        <f>_xlfn.LET(_xlpm._r,_xlfn.SINGLE(IF(OR($CC19="",AE$14="",AE$14&lt;_xlfn.SINGLE(INDEX('[1]ATTENDANCE DAILY'!$AV$4:$AV$663,$CC19)),AE$14&gt;_xlfn.SINGLE(INDEX('[1]ATTENDANCE DAILY'!$AW$4:$AW$663,$CC19))),"",IF(_xlfn.SINGLE(INDEX('[1]ATTENDANCE DAILY'!$I$4:$AM$663,$CC19,DAY(AE$14)))="T-Late","T-L",IF(_xlfn.SINGLE(INDEX('[1]ATTENDANCE DAILY'!$I$4:$AM$663,$CC19,DAY(AE$14)))="T-Cutting","T-C",INDEX('[1]ATTENDANCE DAILY'!$I$4:$AM$663,$CC19,DAY(AE$14)))))),IFERROR(IF(_xlpm._r=0,"",_xlpm._r),""))</f>
        <v/>
      </c>
      <c r="AF19" s="58"/>
      <c r="AG19" s="55"/>
      <c r="AH19" s="56" t="str">
        <f>_xlfn.LET(_xlpm._r,_xlfn.SINGLE(IF(OR($CC19="",AH$14="",AH$14&lt;_xlfn.SINGLE(INDEX('[1]ATTENDANCE DAILY'!$AV$4:$AV$663,$CC19)),AH$14&gt;_xlfn.SINGLE(INDEX('[1]ATTENDANCE DAILY'!$AW$4:$AW$663,$CC19))),"",IF(_xlfn.SINGLE(INDEX('[1]ATTENDANCE DAILY'!$I$4:$AM$663,$CC19,DAY(AH$14)))="T-Late","T-L",IF(_xlfn.SINGLE(INDEX('[1]ATTENDANCE DAILY'!$I$4:$AM$663,$CC19,DAY(AH$14)))="T-Cutting","T-C",INDEX('[1]ATTENDANCE DAILY'!$I$4:$AM$663,$CC19,DAY(AH$14)))))),IFERROR(IF(_xlpm._r=0,"",_xlpm._r),""))</f>
        <v/>
      </c>
      <c r="AI19" s="57" t="str">
        <f>_xlfn.LET(_xlpm._r,_xlfn.SINGLE(IF(OR($CC19="",AI$14="",AI$14&lt;_xlfn.SINGLE(INDEX('[1]ATTENDANCE DAILY'!$AV$4:$AV$663,$CC19)),AI$14&gt;_xlfn.SINGLE(INDEX('[1]ATTENDANCE DAILY'!$AW$4:$AW$663,$CC19))),"",IF(_xlfn.SINGLE(INDEX('[1]ATTENDANCE DAILY'!$I$4:$AM$663,$CC19,DAY(AI$14)))="T-Late","T-L",IF(_xlfn.SINGLE(INDEX('[1]ATTENDANCE DAILY'!$I$4:$AM$663,$CC19,DAY(AI$14)))="T-Cutting","T-C",INDEX('[1]ATTENDANCE DAILY'!$I$4:$AM$663,$CC19,DAY(AI$14)))))),IFERROR(IF(_xlpm._r=0,"",_xlpm._r),""))</f>
        <v/>
      </c>
      <c r="AJ19" s="58"/>
      <c r="AK19" s="55"/>
      <c r="AL19" s="57" t="str">
        <f>_xlfn.LET(_xlpm._r,_xlfn.SINGLE(IF(OR($CC19="",AL$14="",AL$14&lt;_xlfn.SINGLE(INDEX('[1]ATTENDANCE DAILY'!$AV$4:$AV$663,$CC19)),AL$14&gt;_xlfn.SINGLE(INDEX('[1]ATTENDANCE DAILY'!$AW$4:$AW$663,$CC19))),"",IF(_xlfn.SINGLE(INDEX('[1]ATTENDANCE DAILY'!$I$4:$AM$663,$CC19,DAY(AL$14)))="T-Late","T-L",IF(_xlfn.SINGLE(INDEX('[1]ATTENDANCE DAILY'!$I$4:$AM$663,$CC19,DAY(AL$14)))="T-Cutting","T-C",INDEX('[1]ATTENDANCE DAILY'!$I$4:$AM$663,$CC19,DAY(AL$14)))))),IFERROR(IF(_xlpm._r=0,"",_xlpm._r),""))</f>
        <v/>
      </c>
      <c r="AM19" s="55"/>
      <c r="AN19" s="57" t="str">
        <f>_xlfn.LET(_xlpm._r,_xlfn.SINGLE(IF(OR($CC19="",AN$14="",AN$14&lt;_xlfn.SINGLE(INDEX('[1]ATTENDANCE DAILY'!$AV$4:$AV$663,$CC19)),AN$14&gt;_xlfn.SINGLE(INDEX('[1]ATTENDANCE DAILY'!$AW$4:$AW$663,$CC19))),"",IF(_xlfn.SINGLE(INDEX('[1]ATTENDANCE DAILY'!$I$4:$AM$663,$CC19,DAY(AN$14)))="T-Late","T-L",IF(_xlfn.SINGLE(INDEX('[1]ATTENDANCE DAILY'!$I$4:$AM$663,$CC19,DAY(AN$14)))="T-Cutting","T-C",INDEX('[1]ATTENDANCE DAILY'!$I$4:$AM$663,$CC19,DAY(AN$14)))))),IFERROR(IF(_xlpm._r=0,"",_xlpm._r),""))</f>
        <v/>
      </c>
      <c r="AO19" s="86"/>
      <c r="AP19" s="54" t="str">
        <f>_xlfn.LET(_xlpm._r,_xlfn.SINGLE(IF(OR($CC19="",AP$14="",AP$14&lt;_xlfn.SINGLE(INDEX('[1]ATTENDANCE DAILY'!$AV$4:$AV$663,$CC19)),AP$14&gt;_xlfn.SINGLE(INDEX('[1]ATTENDANCE DAILY'!$AW$4:$AW$663,$CC19))),"",IF(_xlfn.SINGLE(INDEX('[1]ATTENDANCE DAILY'!$I$4:$AM$663,$CC19,DAY(AP$14)))="T-Late","T-L",IF(_xlfn.SINGLE(INDEX('[1]ATTENDANCE DAILY'!$I$4:$AM$663,$CC19,DAY(AP$14)))="T-Cutting","T-C",INDEX('[1]ATTENDANCE DAILY'!$I$4:$AM$663,$CC19,DAY(AP$14)))))),IFERROR(IF(_xlpm._r=0,"",_xlpm._r),""))</f>
        <v/>
      </c>
      <c r="AQ19" s="55"/>
      <c r="AR19" s="56" t="str">
        <f>_xlfn.LET(_xlpm._r,_xlfn.SINGLE(IF(OR($CC19="",AR$14="",AR$14&lt;_xlfn.SINGLE(INDEX('[1]ATTENDANCE DAILY'!$AV$4:$AV$663,$CC19)),AR$14&gt;_xlfn.SINGLE(INDEX('[1]ATTENDANCE DAILY'!$AW$4:$AW$663,$CC19))),"",IF(_xlfn.SINGLE(INDEX('[1]ATTENDANCE DAILY'!$I$4:$AM$663,$CC19,DAY(AR$14)))="T-Late","T-L",IF(_xlfn.SINGLE(INDEX('[1]ATTENDANCE DAILY'!$I$4:$AM$663,$CC19,DAY(AR$14)))="T-Cutting","T-C",INDEX('[1]ATTENDANCE DAILY'!$I$4:$AM$663,$CC19,DAY(AR$14)))))),IFERROR(IF(_xlpm._r=0,"",_xlpm._r),""))</f>
        <v/>
      </c>
      <c r="AS19" s="57" t="str">
        <f>_xlfn.LET(_xlpm._r,_xlfn.SINGLE(IF(OR($CC19="",AS$14="",AS$14&lt;_xlfn.SINGLE(INDEX('[1]ATTENDANCE DAILY'!$AV$4:$AV$663,$CC19)),AS$14&gt;_xlfn.SINGLE(INDEX('[1]ATTENDANCE DAILY'!$AW$4:$AW$663,$CC19))),"",IF(_xlfn.SINGLE(INDEX('[1]ATTENDANCE DAILY'!$I$4:$AM$663,$CC19,DAY(AS$14)))="T-Late","T-L",IF(_xlfn.SINGLE(INDEX('[1]ATTENDANCE DAILY'!$I$4:$AM$663,$CC19,DAY(AS$14)))="T-Cutting","T-C",INDEX('[1]ATTENDANCE DAILY'!$I$4:$AM$663,$CC19,DAY(AS$14)))))),IFERROR(IF(_xlpm._r=0,"",_xlpm._r),""))</f>
        <v/>
      </c>
      <c r="AT19" s="55"/>
      <c r="AU19" s="56" t="str">
        <f>_xlfn.LET(_xlpm._r,_xlfn.SINGLE(IF(OR($CC19="",AU$14="",AU$14&lt;_xlfn.SINGLE(INDEX('[1]ATTENDANCE DAILY'!$AV$4:$AV$663,$CC19)),AU$14&gt;_xlfn.SINGLE(INDEX('[1]ATTENDANCE DAILY'!$AW$4:$AW$663,$CC19))),"",IF(_xlfn.SINGLE(INDEX('[1]ATTENDANCE DAILY'!$I$4:$AM$663,$CC19,DAY(AU$14)))="T-Late","T-L",IF(_xlfn.SINGLE(INDEX('[1]ATTENDANCE DAILY'!$I$4:$AM$663,$CC19,DAY(AU$14)))="T-Cutting","T-C",INDEX('[1]ATTENDANCE DAILY'!$I$4:$AM$663,$CC19,DAY(AU$14)))))),IFERROR(IF(_xlpm._r=0,"",_xlpm._r),""))</f>
        <v/>
      </c>
      <c r="AV19" s="87" t="str">
        <f>_xlfn.LET(_xlpm._r,_xlfn.SINGLE(IF(OR($CC19="",AV$14="",AV$14&lt;_xlfn.SINGLE(INDEX('[1]ATTENDANCE DAILY'!$AV$4:$AV$663,$CC19)),AV$14&gt;_xlfn.SINGLE(INDEX('[1]ATTENDANCE DAILY'!$AW$4:$AW$663,$CC19))),"",IF(_xlfn.SINGLE(INDEX('[1]ATTENDANCE DAILY'!$I$4:$AM$663,$CC19,DAY(AV$14)))="T-Late","T-L",IF(_xlfn.SINGLE(INDEX('[1]ATTENDANCE DAILY'!$I$4:$AM$663,$CC19,DAY(AV$14)))="T-Cutting","T-C",INDEX('[1]ATTENDANCE DAILY'!$I$4:$AM$663,$CC19,DAY(AV$14)))))),IFERROR(IF(_xlpm._r=0,"",_xlpm._r),""))</f>
        <v/>
      </c>
      <c r="AW19" s="54" t="str">
        <f>_xlfn.LET(_xlpm._r,_xlfn.SINGLE(IF(OR($CC19="",AW$14="",AW$14&lt;_xlfn.SINGLE(INDEX('[1]ATTENDANCE DAILY'!$AV$4:$AV$663,$CC19)),AW$14&gt;_xlfn.SINGLE(INDEX('[1]ATTENDANCE DAILY'!$AW$4:$AW$663,$CC19))),"",IF(_xlfn.SINGLE(INDEX('[1]ATTENDANCE DAILY'!$I$4:$AM$663,$CC19,DAY(AW$14)))="T-Late","T-L",IF(_xlfn.SINGLE(INDEX('[1]ATTENDANCE DAILY'!$I$4:$AM$663,$CC19,DAY(AW$14)))="T-Cutting","T-C",INDEX('[1]ATTENDANCE DAILY'!$I$4:$AM$663,$CC19,DAY(AW$14)))))),IFERROR(IF(_xlpm._r=0,"",_xlpm._r),""))</f>
        <v/>
      </c>
      <c r="AX19" s="55"/>
      <c r="AY19" s="57" t="str">
        <f>_xlfn.LET(_xlpm._r,_xlfn.SINGLE(IF(OR($CC19="",AY$14="",AY$14&lt;_xlfn.SINGLE(INDEX('[1]ATTENDANCE DAILY'!$AV$4:$AV$663,$CC19)),AY$14&gt;_xlfn.SINGLE(INDEX('[1]ATTENDANCE DAILY'!$AW$4:$AW$663,$CC19))),"",IF(_xlfn.SINGLE(INDEX('[1]ATTENDANCE DAILY'!$I$4:$AM$663,$CC19,DAY(AY$14)))="T-Late","T-L",IF(_xlfn.SINGLE(INDEX('[1]ATTENDANCE DAILY'!$I$4:$AM$663,$CC19,DAY(AY$14)))="T-Cutting","T-C",INDEX('[1]ATTENDANCE DAILY'!$I$4:$AM$663,$CC19,DAY(AY$14)))))),IFERROR(IF(_xlpm._r=0,"",_xlpm._r),""))</f>
        <v/>
      </c>
      <c r="AZ19" s="58"/>
      <c r="BA19" s="55"/>
      <c r="BB19" s="57" t="str">
        <f>_xlfn.LET(_xlpm._r,_xlfn.SINGLE(IF(OR($CC19="",BB$14="",BB$14&lt;_xlfn.SINGLE(INDEX('[1]ATTENDANCE DAILY'!$AV$4:$AV$663,$CC19)),BB$14&gt;_xlfn.SINGLE(INDEX('[1]ATTENDANCE DAILY'!$AW$4:$AW$663,$CC19))),"",IF(_xlfn.SINGLE(INDEX('[1]ATTENDANCE DAILY'!$I$4:$AM$663,$CC19,DAY(BB$14)))="T-Late","T-L",IF(_xlfn.SINGLE(INDEX('[1]ATTENDANCE DAILY'!$I$4:$AM$663,$CC19,DAY(BB$14)))="T-Cutting","T-C",INDEX('[1]ATTENDANCE DAILY'!$I$4:$AM$663,$CC19,DAY(BB$14)))))),IFERROR(IF(_xlpm._r=0,"",_xlpm._r),""))</f>
        <v/>
      </c>
      <c r="BC19" s="55"/>
      <c r="BD19" s="56" t="str">
        <f>_xlfn.LET(_xlpm._r,_xlfn.SINGLE(IF(OR($CC19="",BD$14="",BD$14&lt;_xlfn.SINGLE(INDEX('[1]ATTENDANCE DAILY'!$AV$4:$AV$663,$CC19)),BD$14&gt;_xlfn.SINGLE(INDEX('[1]ATTENDANCE DAILY'!$AW$4:$AW$663,$CC19))),"",IF(_xlfn.SINGLE(INDEX('[1]ATTENDANCE DAILY'!$I$4:$AM$663,$CC19,DAY(BD$14)))="T-Late","T-L",IF(_xlfn.SINGLE(INDEX('[1]ATTENDANCE DAILY'!$I$4:$AM$663,$CC19,DAY(BD$14)))="T-Cutting","T-C",INDEX('[1]ATTENDANCE DAILY'!$I$4:$AM$663,$CC19,DAY(BD$14)))))),IFERROR(IF(_xlpm._r=0,"",_xlpm._r),""))</f>
        <v/>
      </c>
      <c r="BE19" s="57" t="str">
        <f>_xlfn.LET(_xlpm._r,_xlfn.SINGLE(IF(OR($CC19="",BE$14="",BE$14&lt;_xlfn.SINGLE(INDEX('[1]ATTENDANCE DAILY'!$AV$4:$AV$663,$CC19)),BE$14&gt;_xlfn.SINGLE(INDEX('[1]ATTENDANCE DAILY'!$AW$4:$AW$663,$CC19))),"",IF(_xlfn.SINGLE(INDEX('[1]ATTENDANCE DAILY'!$I$4:$AM$663,$CC19,DAY(BE$14)))="T-Late","T-L",IF(_xlfn.SINGLE(INDEX('[1]ATTENDANCE DAILY'!$I$4:$AM$663,$CC19,DAY(BE$14)))="T-Cutting","T-C",INDEX('[1]ATTENDANCE DAILY'!$I$4:$AM$663,$CC19,DAY(BE$14)))))),IFERROR(IF(_xlpm._r=0,"",_xlpm._r),""))</f>
        <v/>
      </c>
      <c r="BF19" s="58"/>
      <c r="BG19" s="58"/>
      <c r="BH19" s="86"/>
      <c r="BI19" s="88">
        <f>IF($CC19="","",INDEX('[1]ATTENDANCE DAILY'!$AR$4:$AR$663,$CC19))</f>
        <v>0</v>
      </c>
      <c r="BJ19" s="89"/>
      <c r="BK19" s="90"/>
      <c r="BL19" s="88">
        <f>IF($CC19="","",INDEX('[1]ATTENDANCE DAILY'!$AS$4:$AS$663,$CC19))</f>
        <v>23</v>
      </c>
      <c r="BM19" s="89"/>
      <c r="BN19" s="89"/>
      <c r="BO19" s="90"/>
      <c r="BP19" s="91" t="str">
        <f>IF($CC19="","",IF(INDEX('[1]ATTENDANCE DAILY'!$AN$4:$AN$663,$CC19)="","",INDEX('[1]ATTENDANCE DAILY'!$AN$4:$AN$663,$CC19)&amp;IF(INDEX('[1]ATTENDANCE DAILY'!$AO$4:$AO$663,$CC19)="",""," ("&amp;TEXT(INDEX('[1]ATTENDANCE DAILY'!$AO$4:$AO$663,$CC19),"mm-dd-yyyy")&amp;")")&amp;IF(INDEX('[1]ATTENDANCE DAILY'!$AP$4:$AP$663,$CC19)="",""," - "&amp;INDEX('[1]ATTENDANCE DAILY'!$AP$4:$AP$663,$CC19))))</f>
        <v/>
      </c>
      <c r="BQ19" s="89"/>
      <c r="BR19" s="89"/>
      <c r="BS19" s="89"/>
      <c r="BT19" s="89"/>
      <c r="BU19" s="89"/>
      <c r="BV19" s="89"/>
      <c r="BW19" s="89"/>
      <c r="BX19" s="89"/>
      <c r="BY19" s="89"/>
      <c r="BZ19" s="89"/>
      <c r="CA19" s="90"/>
      <c r="CC19">
        <f>IF(COUNTIFS('[1]ATTENDANCE DAILY'!$C$4:$C$663,$BN$11,'[1]ATTENDANCE DAILY'!$F$4:$F$663,"Male",'[1]ATTENDANCE DAILY'!$G$4:$G$663,1,'[1]ATTENDANCE DAILY'!$BA$4:$BA$663,2)=0,"",SUMIFS('[1]ATTENDANCE DAILY'!$A$4:$A$663,'[1]ATTENDANCE DAILY'!$C$4:$C$663,$BN$11,'[1]ATTENDANCE DAILY'!$F$4:$F$663,"Male",'[1]ATTENDANCE DAILY'!$G$4:$G$663,1,'[1]ATTENDANCE DAILY'!$BA$4:$BA$663,2))</f>
        <v>62</v>
      </c>
    </row>
    <row r="20" spans="1:81" ht="19.95" customHeight="1">
      <c r="A20" s="80">
        <v>3</v>
      </c>
      <c r="B20" s="81"/>
      <c r="C20" s="81"/>
      <c r="D20" s="81"/>
      <c r="E20" s="81"/>
      <c r="F20" s="82"/>
      <c r="G20" s="83" t="str">
        <f>IF($CC20="","",INDEX('[1]ATTENDANCE DAILY'!$E$4:$E$663,$CC20))</f>
        <v>CAPAYAN, DENVER CORPUZ</v>
      </c>
      <c r="H20" s="84"/>
      <c r="I20" s="84"/>
      <c r="J20" s="85"/>
      <c r="K20" s="54" t="str">
        <f>_xlfn.LET(_xlpm._r,_xlfn.SINGLE(IF(OR($CC20="",K$14="",K$14&lt;_xlfn.SINGLE(INDEX('[1]ATTENDANCE DAILY'!$AV$4:$AV$663,$CC20)),K$14&gt;_xlfn.SINGLE(INDEX('[1]ATTENDANCE DAILY'!$AW$4:$AW$663,$CC20))),"",IF(_xlfn.SINGLE(INDEX('[1]ATTENDANCE DAILY'!$I$4:$AM$663,$CC20,DAY(K$14)))="T-Late","T-L",IF(_xlfn.SINGLE(INDEX('[1]ATTENDANCE DAILY'!$I$4:$AM$663,$CC20,DAY(K$14)))="T-Cutting","T-C",INDEX('[1]ATTENDANCE DAILY'!$I$4:$AM$663,$CC20,DAY(K$14)))))),IFERROR(IF(_xlpm._r=0,"",_xlpm._r),""))</f>
        <v/>
      </c>
      <c r="L20" s="55"/>
      <c r="M20" s="56" t="str">
        <f>_xlfn.LET(_xlpm._r,_xlfn.SINGLE(IF(OR($CC20="",M$14="",M$14&lt;_xlfn.SINGLE(INDEX('[1]ATTENDANCE DAILY'!$AV$4:$AV$663,$CC20)),M$14&gt;_xlfn.SINGLE(INDEX('[1]ATTENDANCE DAILY'!$AW$4:$AW$663,$CC20))),"",IF(_xlfn.SINGLE(INDEX('[1]ATTENDANCE DAILY'!$I$4:$AM$663,$CC20,DAY(M$14)))="T-Late","T-L",IF(_xlfn.SINGLE(INDEX('[1]ATTENDANCE DAILY'!$I$4:$AM$663,$CC20,DAY(M$14)))="T-Cutting","T-C",INDEX('[1]ATTENDANCE DAILY'!$I$4:$AM$663,$CC20,DAY(M$14)))))),IFERROR(IF(_xlpm._r=0,"",_xlpm._r),""))</f>
        <v/>
      </c>
      <c r="N20" s="56" t="str">
        <f>_xlfn.LET(_xlpm._r,_xlfn.SINGLE(IF(OR($CC20="",N$14="",N$14&lt;_xlfn.SINGLE(INDEX('[1]ATTENDANCE DAILY'!$AV$4:$AV$663,$CC20)),N$14&gt;_xlfn.SINGLE(INDEX('[1]ATTENDANCE DAILY'!$AW$4:$AW$663,$CC20))),"",IF(_xlfn.SINGLE(INDEX('[1]ATTENDANCE DAILY'!$I$4:$AM$663,$CC20,DAY(N$14)))="T-Late","T-L",IF(_xlfn.SINGLE(INDEX('[1]ATTENDANCE DAILY'!$I$4:$AM$663,$CC20,DAY(N$14)))="T-Cutting","T-C",INDEX('[1]ATTENDANCE DAILY'!$I$4:$AM$663,$CC20,DAY(N$14)))))),IFERROR(IF(_xlpm._r=0,"",_xlpm._r),""))</f>
        <v/>
      </c>
      <c r="O20" s="57" t="str">
        <f>_xlfn.LET(_xlpm._r,_xlfn.SINGLE(IF(OR($CC20="",O$14="",O$14&lt;_xlfn.SINGLE(INDEX('[1]ATTENDANCE DAILY'!$AV$4:$AV$663,$CC20)),O$14&gt;_xlfn.SINGLE(INDEX('[1]ATTENDANCE DAILY'!$AW$4:$AW$663,$CC20))),"",IF(_xlfn.SINGLE(INDEX('[1]ATTENDANCE DAILY'!$I$4:$AM$663,$CC20,DAY(O$14)))="T-Late","T-L",IF(_xlfn.SINGLE(INDEX('[1]ATTENDANCE DAILY'!$I$4:$AM$663,$CC20,DAY(O$14)))="T-Cutting","T-C",INDEX('[1]ATTENDANCE DAILY'!$I$4:$AM$663,$CC20,DAY(O$14)))))),IFERROR(IF(_xlpm._r=0,"",_xlpm._r),""))</f>
        <v/>
      </c>
      <c r="P20" s="58"/>
      <c r="Q20" s="58"/>
      <c r="R20" s="55"/>
      <c r="S20" s="57" t="str">
        <f>_xlfn.LET(_xlpm._r,_xlfn.SINGLE(IF(OR($CC20="",S$14="",S$14&lt;_xlfn.SINGLE(INDEX('[1]ATTENDANCE DAILY'!$AV$4:$AV$663,$CC20)),S$14&gt;_xlfn.SINGLE(INDEX('[1]ATTENDANCE DAILY'!$AW$4:$AW$663,$CC20))),"",IF(_xlfn.SINGLE(INDEX('[1]ATTENDANCE DAILY'!$I$4:$AM$663,$CC20,DAY(S$14)))="T-Late","T-L",IF(_xlfn.SINGLE(INDEX('[1]ATTENDANCE DAILY'!$I$4:$AM$663,$CC20,DAY(S$14)))="T-Cutting","T-C",INDEX('[1]ATTENDANCE DAILY'!$I$4:$AM$663,$CC20,DAY(S$14)))))),IFERROR(IF(_xlpm._r=0,"",_xlpm._r),""))</f>
        <v/>
      </c>
      <c r="T20" s="58"/>
      <c r="U20" s="86"/>
      <c r="V20" s="59" t="str">
        <f>_xlfn.LET(_xlpm._r,_xlfn.SINGLE(IF(OR($CC20="",V$14="",V$14&lt;_xlfn.SINGLE(INDEX('[1]ATTENDANCE DAILY'!$AV$4:$AV$663,$CC20)),V$14&gt;_xlfn.SINGLE(INDEX('[1]ATTENDANCE DAILY'!$AW$4:$AW$663,$CC20))),"",IF(_xlfn.SINGLE(INDEX('[1]ATTENDANCE DAILY'!$I$4:$AM$663,$CC20,DAY(V$14)))="T-Late","T-L",IF(_xlfn.SINGLE(INDEX('[1]ATTENDANCE DAILY'!$I$4:$AM$663,$CC20,DAY(V$14)))="T-Cutting","T-C",INDEX('[1]ATTENDANCE DAILY'!$I$4:$AM$663,$CC20,DAY(V$14)))))),IFERROR(IF(_xlpm._r=0,"",_xlpm._r),""))</f>
        <v/>
      </c>
      <c r="W20" s="57" t="str">
        <f>_xlfn.LET(_xlpm._r,_xlfn.SINGLE(IF(OR($CC20="",W$14="",W$14&lt;_xlfn.SINGLE(INDEX('[1]ATTENDANCE DAILY'!$AV$4:$AV$663,$CC20)),W$14&gt;_xlfn.SINGLE(INDEX('[1]ATTENDANCE DAILY'!$AW$4:$AW$663,$CC20))),"",IF(_xlfn.SINGLE(INDEX('[1]ATTENDANCE DAILY'!$I$4:$AM$663,$CC20,DAY(W$14)))="T-Late","T-L",IF(_xlfn.SINGLE(INDEX('[1]ATTENDANCE DAILY'!$I$4:$AM$663,$CC20,DAY(W$14)))="T-Cutting","T-C",INDEX('[1]ATTENDANCE DAILY'!$I$4:$AM$663,$CC20,DAY(W$14)))))),IFERROR(IF(_xlpm._r=0,"",_xlpm._r),""))</f>
        <v/>
      </c>
      <c r="X20" s="58"/>
      <c r="Y20" s="55"/>
      <c r="Z20" s="56" t="str">
        <f>_xlfn.LET(_xlpm._r,_xlfn.SINGLE(IF(OR($CC20="",Z$14="",Z$14&lt;_xlfn.SINGLE(INDEX('[1]ATTENDANCE DAILY'!$AV$4:$AV$663,$CC20)),Z$14&gt;_xlfn.SINGLE(INDEX('[1]ATTENDANCE DAILY'!$AW$4:$AW$663,$CC20))),"",IF(_xlfn.SINGLE(INDEX('[1]ATTENDANCE DAILY'!$I$4:$AM$663,$CC20,DAY(Z$14)))="T-Late","T-L",IF(_xlfn.SINGLE(INDEX('[1]ATTENDANCE DAILY'!$I$4:$AM$663,$CC20,DAY(Z$14)))="T-Cutting","T-C",INDEX('[1]ATTENDANCE DAILY'!$I$4:$AM$663,$CC20,DAY(Z$14)))))),IFERROR(IF(_xlpm._r=0,"",_xlpm._r),""))</f>
        <v/>
      </c>
      <c r="AA20" s="56" t="str">
        <f>_xlfn.LET(_xlpm._r,_xlfn.SINGLE(IF(OR($CC20="",AA$14="",AA$14&lt;_xlfn.SINGLE(INDEX('[1]ATTENDANCE DAILY'!$AV$4:$AV$663,$CC20)),AA$14&gt;_xlfn.SINGLE(INDEX('[1]ATTENDANCE DAILY'!$AW$4:$AW$663,$CC20))),"",IF(_xlfn.SINGLE(INDEX('[1]ATTENDANCE DAILY'!$I$4:$AM$663,$CC20,DAY(AA$14)))="T-Late","T-L",IF(_xlfn.SINGLE(INDEX('[1]ATTENDANCE DAILY'!$I$4:$AM$663,$CC20,DAY(AA$14)))="T-Cutting","T-C",INDEX('[1]ATTENDANCE DAILY'!$I$4:$AM$663,$CC20,DAY(AA$14)))))),IFERROR(IF(_xlpm._r=0,"",_xlpm._r),""))</f>
        <v/>
      </c>
      <c r="AB20" s="57" t="str">
        <f>_xlfn.LET(_xlpm._r,_xlfn.SINGLE(IF(OR($CC20="",AB$14="",AB$14&lt;_xlfn.SINGLE(INDEX('[1]ATTENDANCE DAILY'!$AV$4:$AV$663,$CC20)),AB$14&gt;_xlfn.SINGLE(INDEX('[1]ATTENDANCE DAILY'!$AW$4:$AW$663,$CC20))),"",IF(_xlfn.SINGLE(INDEX('[1]ATTENDANCE DAILY'!$I$4:$AM$663,$CC20,DAY(AB$14)))="T-Late","T-L",IF(_xlfn.SINGLE(INDEX('[1]ATTENDANCE DAILY'!$I$4:$AM$663,$CC20,DAY(AB$14)))="T-Cutting","T-C",INDEX('[1]ATTENDANCE DAILY'!$I$4:$AM$663,$CC20,DAY(AB$14)))))),IFERROR(IF(_xlpm._r=0,"",_xlpm._r),""))</f>
        <v/>
      </c>
      <c r="AC20" s="58"/>
      <c r="AD20" s="86"/>
      <c r="AE20" s="54" t="str">
        <f>_xlfn.LET(_xlpm._r,_xlfn.SINGLE(IF(OR($CC20="",AE$14="",AE$14&lt;_xlfn.SINGLE(INDEX('[1]ATTENDANCE DAILY'!$AV$4:$AV$663,$CC20)),AE$14&gt;_xlfn.SINGLE(INDEX('[1]ATTENDANCE DAILY'!$AW$4:$AW$663,$CC20))),"",IF(_xlfn.SINGLE(INDEX('[1]ATTENDANCE DAILY'!$I$4:$AM$663,$CC20,DAY(AE$14)))="T-Late","T-L",IF(_xlfn.SINGLE(INDEX('[1]ATTENDANCE DAILY'!$I$4:$AM$663,$CC20,DAY(AE$14)))="T-Cutting","T-C",INDEX('[1]ATTENDANCE DAILY'!$I$4:$AM$663,$CC20,DAY(AE$14)))))),IFERROR(IF(_xlpm._r=0,"",_xlpm._r),""))</f>
        <v/>
      </c>
      <c r="AF20" s="58"/>
      <c r="AG20" s="55"/>
      <c r="AH20" s="56" t="str">
        <f>_xlfn.LET(_xlpm._r,_xlfn.SINGLE(IF(OR($CC20="",AH$14="",AH$14&lt;_xlfn.SINGLE(INDEX('[1]ATTENDANCE DAILY'!$AV$4:$AV$663,$CC20)),AH$14&gt;_xlfn.SINGLE(INDEX('[1]ATTENDANCE DAILY'!$AW$4:$AW$663,$CC20))),"",IF(_xlfn.SINGLE(INDEX('[1]ATTENDANCE DAILY'!$I$4:$AM$663,$CC20,DAY(AH$14)))="T-Late","T-L",IF(_xlfn.SINGLE(INDEX('[1]ATTENDANCE DAILY'!$I$4:$AM$663,$CC20,DAY(AH$14)))="T-Cutting","T-C",INDEX('[1]ATTENDANCE DAILY'!$I$4:$AM$663,$CC20,DAY(AH$14)))))),IFERROR(IF(_xlpm._r=0,"",_xlpm._r),""))</f>
        <v/>
      </c>
      <c r="AI20" s="57" t="str">
        <f>_xlfn.LET(_xlpm._r,_xlfn.SINGLE(IF(OR($CC20="",AI$14="",AI$14&lt;_xlfn.SINGLE(INDEX('[1]ATTENDANCE DAILY'!$AV$4:$AV$663,$CC20)),AI$14&gt;_xlfn.SINGLE(INDEX('[1]ATTENDANCE DAILY'!$AW$4:$AW$663,$CC20))),"",IF(_xlfn.SINGLE(INDEX('[1]ATTENDANCE DAILY'!$I$4:$AM$663,$CC20,DAY(AI$14)))="T-Late","T-L",IF(_xlfn.SINGLE(INDEX('[1]ATTENDANCE DAILY'!$I$4:$AM$663,$CC20,DAY(AI$14)))="T-Cutting","T-C",INDEX('[1]ATTENDANCE DAILY'!$I$4:$AM$663,$CC20,DAY(AI$14)))))),IFERROR(IF(_xlpm._r=0,"",_xlpm._r),""))</f>
        <v/>
      </c>
      <c r="AJ20" s="58"/>
      <c r="AK20" s="55"/>
      <c r="AL20" s="57" t="str">
        <f>_xlfn.LET(_xlpm._r,_xlfn.SINGLE(IF(OR($CC20="",AL$14="",AL$14&lt;_xlfn.SINGLE(INDEX('[1]ATTENDANCE DAILY'!$AV$4:$AV$663,$CC20)),AL$14&gt;_xlfn.SINGLE(INDEX('[1]ATTENDANCE DAILY'!$AW$4:$AW$663,$CC20))),"",IF(_xlfn.SINGLE(INDEX('[1]ATTENDANCE DAILY'!$I$4:$AM$663,$CC20,DAY(AL$14)))="T-Late","T-L",IF(_xlfn.SINGLE(INDEX('[1]ATTENDANCE DAILY'!$I$4:$AM$663,$CC20,DAY(AL$14)))="T-Cutting","T-C",INDEX('[1]ATTENDANCE DAILY'!$I$4:$AM$663,$CC20,DAY(AL$14)))))),IFERROR(IF(_xlpm._r=0,"",_xlpm._r),""))</f>
        <v/>
      </c>
      <c r="AM20" s="55"/>
      <c r="AN20" s="57" t="str">
        <f>_xlfn.LET(_xlpm._r,_xlfn.SINGLE(IF(OR($CC20="",AN$14="",AN$14&lt;_xlfn.SINGLE(INDEX('[1]ATTENDANCE DAILY'!$AV$4:$AV$663,$CC20)),AN$14&gt;_xlfn.SINGLE(INDEX('[1]ATTENDANCE DAILY'!$AW$4:$AW$663,$CC20))),"",IF(_xlfn.SINGLE(INDEX('[1]ATTENDANCE DAILY'!$I$4:$AM$663,$CC20,DAY(AN$14)))="T-Late","T-L",IF(_xlfn.SINGLE(INDEX('[1]ATTENDANCE DAILY'!$I$4:$AM$663,$CC20,DAY(AN$14)))="T-Cutting","T-C",INDEX('[1]ATTENDANCE DAILY'!$I$4:$AM$663,$CC20,DAY(AN$14)))))),IFERROR(IF(_xlpm._r=0,"",_xlpm._r),""))</f>
        <v/>
      </c>
      <c r="AO20" s="86"/>
      <c r="AP20" s="54" t="str">
        <f>_xlfn.LET(_xlpm._r,_xlfn.SINGLE(IF(OR($CC20="",AP$14="",AP$14&lt;_xlfn.SINGLE(INDEX('[1]ATTENDANCE DAILY'!$AV$4:$AV$663,$CC20)),AP$14&gt;_xlfn.SINGLE(INDEX('[1]ATTENDANCE DAILY'!$AW$4:$AW$663,$CC20))),"",IF(_xlfn.SINGLE(INDEX('[1]ATTENDANCE DAILY'!$I$4:$AM$663,$CC20,DAY(AP$14)))="T-Late","T-L",IF(_xlfn.SINGLE(INDEX('[1]ATTENDANCE DAILY'!$I$4:$AM$663,$CC20,DAY(AP$14)))="T-Cutting","T-C",INDEX('[1]ATTENDANCE DAILY'!$I$4:$AM$663,$CC20,DAY(AP$14)))))),IFERROR(IF(_xlpm._r=0,"",_xlpm._r),""))</f>
        <v/>
      </c>
      <c r="AQ20" s="55"/>
      <c r="AR20" s="56" t="str">
        <f>_xlfn.LET(_xlpm._r,_xlfn.SINGLE(IF(OR($CC20="",AR$14="",AR$14&lt;_xlfn.SINGLE(INDEX('[1]ATTENDANCE DAILY'!$AV$4:$AV$663,$CC20)),AR$14&gt;_xlfn.SINGLE(INDEX('[1]ATTENDANCE DAILY'!$AW$4:$AW$663,$CC20))),"",IF(_xlfn.SINGLE(INDEX('[1]ATTENDANCE DAILY'!$I$4:$AM$663,$CC20,DAY(AR$14)))="T-Late","T-L",IF(_xlfn.SINGLE(INDEX('[1]ATTENDANCE DAILY'!$I$4:$AM$663,$CC20,DAY(AR$14)))="T-Cutting","T-C",INDEX('[1]ATTENDANCE DAILY'!$I$4:$AM$663,$CC20,DAY(AR$14)))))),IFERROR(IF(_xlpm._r=0,"",_xlpm._r),""))</f>
        <v/>
      </c>
      <c r="AS20" s="57" t="str">
        <f>_xlfn.LET(_xlpm._r,_xlfn.SINGLE(IF(OR($CC20="",AS$14="",AS$14&lt;_xlfn.SINGLE(INDEX('[1]ATTENDANCE DAILY'!$AV$4:$AV$663,$CC20)),AS$14&gt;_xlfn.SINGLE(INDEX('[1]ATTENDANCE DAILY'!$AW$4:$AW$663,$CC20))),"",IF(_xlfn.SINGLE(INDEX('[1]ATTENDANCE DAILY'!$I$4:$AM$663,$CC20,DAY(AS$14)))="T-Late","T-L",IF(_xlfn.SINGLE(INDEX('[1]ATTENDANCE DAILY'!$I$4:$AM$663,$CC20,DAY(AS$14)))="T-Cutting","T-C",INDEX('[1]ATTENDANCE DAILY'!$I$4:$AM$663,$CC20,DAY(AS$14)))))),IFERROR(IF(_xlpm._r=0,"",_xlpm._r),""))</f>
        <v/>
      </c>
      <c r="AT20" s="55"/>
      <c r="AU20" s="56" t="str">
        <f>_xlfn.LET(_xlpm._r,_xlfn.SINGLE(IF(OR($CC20="",AU$14="",AU$14&lt;_xlfn.SINGLE(INDEX('[1]ATTENDANCE DAILY'!$AV$4:$AV$663,$CC20)),AU$14&gt;_xlfn.SINGLE(INDEX('[1]ATTENDANCE DAILY'!$AW$4:$AW$663,$CC20))),"",IF(_xlfn.SINGLE(INDEX('[1]ATTENDANCE DAILY'!$I$4:$AM$663,$CC20,DAY(AU$14)))="T-Late","T-L",IF(_xlfn.SINGLE(INDEX('[1]ATTENDANCE DAILY'!$I$4:$AM$663,$CC20,DAY(AU$14)))="T-Cutting","T-C",INDEX('[1]ATTENDANCE DAILY'!$I$4:$AM$663,$CC20,DAY(AU$14)))))),IFERROR(IF(_xlpm._r=0,"",_xlpm._r),""))</f>
        <v/>
      </c>
      <c r="AV20" s="87" t="str">
        <f>_xlfn.LET(_xlpm._r,_xlfn.SINGLE(IF(OR($CC20="",AV$14="",AV$14&lt;_xlfn.SINGLE(INDEX('[1]ATTENDANCE DAILY'!$AV$4:$AV$663,$CC20)),AV$14&gt;_xlfn.SINGLE(INDEX('[1]ATTENDANCE DAILY'!$AW$4:$AW$663,$CC20))),"",IF(_xlfn.SINGLE(INDEX('[1]ATTENDANCE DAILY'!$I$4:$AM$663,$CC20,DAY(AV$14)))="T-Late","T-L",IF(_xlfn.SINGLE(INDEX('[1]ATTENDANCE DAILY'!$I$4:$AM$663,$CC20,DAY(AV$14)))="T-Cutting","T-C",INDEX('[1]ATTENDANCE DAILY'!$I$4:$AM$663,$CC20,DAY(AV$14)))))),IFERROR(IF(_xlpm._r=0,"",_xlpm._r),""))</f>
        <v/>
      </c>
      <c r="AW20" s="54" t="str">
        <f>_xlfn.LET(_xlpm._r,_xlfn.SINGLE(IF(OR($CC20="",AW$14="",AW$14&lt;_xlfn.SINGLE(INDEX('[1]ATTENDANCE DAILY'!$AV$4:$AV$663,$CC20)),AW$14&gt;_xlfn.SINGLE(INDEX('[1]ATTENDANCE DAILY'!$AW$4:$AW$663,$CC20))),"",IF(_xlfn.SINGLE(INDEX('[1]ATTENDANCE DAILY'!$I$4:$AM$663,$CC20,DAY(AW$14)))="T-Late","T-L",IF(_xlfn.SINGLE(INDEX('[1]ATTENDANCE DAILY'!$I$4:$AM$663,$CC20,DAY(AW$14)))="T-Cutting","T-C",INDEX('[1]ATTENDANCE DAILY'!$I$4:$AM$663,$CC20,DAY(AW$14)))))),IFERROR(IF(_xlpm._r=0,"",_xlpm._r),""))</f>
        <v/>
      </c>
      <c r="AX20" s="55"/>
      <c r="AY20" s="57" t="str">
        <f>_xlfn.LET(_xlpm._r,_xlfn.SINGLE(IF(OR($CC20="",AY$14="",AY$14&lt;_xlfn.SINGLE(INDEX('[1]ATTENDANCE DAILY'!$AV$4:$AV$663,$CC20)),AY$14&gt;_xlfn.SINGLE(INDEX('[1]ATTENDANCE DAILY'!$AW$4:$AW$663,$CC20))),"",IF(_xlfn.SINGLE(INDEX('[1]ATTENDANCE DAILY'!$I$4:$AM$663,$CC20,DAY(AY$14)))="T-Late","T-L",IF(_xlfn.SINGLE(INDEX('[1]ATTENDANCE DAILY'!$I$4:$AM$663,$CC20,DAY(AY$14)))="T-Cutting","T-C",INDEX('[1]ATTENDANCE DAILY'!$I$4:$AM$663,$CC20,DAY(AY$14)))))),IFERROR(IF(_xlpm._r=0,"",_xlpm._r),""))</f>
        <v/>
      </c>
      <c r="AZ20" s="58"/>
      <c r="BA20" s="55"/>
      <c r="BB20" s="57" t="str">
        <f>_xlfn.LET(_xlpm._r,_xlfn.SINGLE(IF(OR($CC20="",BB$14="",BB$14&lt;_xlfn.SINGLE(INDEX('[1]ATTENDANCE DAILY'!$AV$4:$AV$663,$CC20)),BB$14&gt;_xlfn.SINGLE(INDEX('[1]ATTENDANCE DAILY'!$AW$4:$AW$663,$CC20))),"",IF(_xlfn.SINGLE(INDEX('[1]ATTENDANCE DAILY'!$I$4:$AM$663,$CC20,DAY(BB$14)))="T-Late","T-L",IF(_xlfn.SINGLE(INDEX('[1]ATTENDANCE DAILY'!$I$4:$AM$663,$CC20,DAY(BB$14)))="T-Cutting","T-C",INDEX('[1]ATTENDANCE DAILY'!$I$4:$AM$663,$CC20,DAY(BB$14)))))),IFERROR(IF(_xlpm._r=0,"",_xlpm._r),""))</f>
        <v/>
      </c>
      <c r="BC20" s="55"/>
      <c r="BD20" s="56" t="str">
        <f>_xlfn.LET(_xlpm._r,_xlfn.SINGLE(IF(OR($CC20="",BD$14="",BD$14&lt;_xlfn.SINGLE(INDEX('[1]ATTENDANCE DAILY'!$AV$4:$AV$663,$CC20)),BD$14&gt;_xlfn.SINGLE(INDEX('[1]ATTENDANCE DAILY'!$AW$4:$AW$663,$CC20))),"",IF(_xlfn.SINGLE(INDEX('[1]ATTENDANCE DAILY'!$I$4:$AM$663,$CC20,DAY(BD$14)))="T-Late","T-L",IF(_xlfn.SINGLE(INDEX('[1]ATTENDANCE DAILY'!$I$4:$AM$663,$CC20,DAY(BD$14)))="T-Cutting","T-C",INDEX('[1]ATTENDANCE DAILY'!$I$4:$AM$663,$CC20,DAY(BD$14)))))),IFERROR(IF(_xlpm._r=0,"",_xlpm._r),""))</f>
        <v/>
      </c>
      <c r="BE20" s="57" t="str">
        <f>_xlfn.LET(_xlpm._r,_xlfn.SINGLE(IF(OR($CC20="",BE$14="",BE$14&lt;_xlfn.SINGLE(INDEX('[1]ATTENDANCE DAILY'!$AV$4:$AV$663,$CC20)),BE$14&gt;_xlfn.SINGLE(INDEX('[1]ATTENDANCE DAILY'!$AW$4:$AW$663,$CC20))),"",IF(_xlfn.SINGLE(INDEX('[1]ATTENDANCE DAILY'!$I$4:$AM$663,$CC20,DAY(BE$14)))="T-Late","T-L",IF(_xlfn.SINGLE(INDEX('[1]ATTENDANCE DAILY'!$I$4:$AM$663,$CC20,DAY(BE$14)))="T-Cutting","T-C",INDEX('[1]ATTENDANCE DAILY'!$I$4:$AM$663,$CC20,DAY(BE$14)))))),IFERROR(IF(_xlpm._r=0,"",_xlpm._r),""))</f>
        <v/>
      </c>
      <c r="BF20" s="58"/>
      <c r="BG20" s="58"/>
      <c r="BH20" s="86"/>
      <c r="BI20" s="88">
        <f>IF($CC20="","",INDEX('[1]ATTENDANCE DAILY'!$AR$4:$AR$663,$CC20))</f>
        <v>0</v>
      </c>
      <c r="BJ20" s="89"/>
      <c r="BK20" s="90"/>
      <c r="BL20" s="88">
        <f>IF($CC20="","",INDEX('[1]ATTENDANCE DAILY'!$AS$4:$AS$663,$CC20))</f>
        <v>23</v>
      </c>
      <c r="BM20" s="89"/>
      <c r="BN20" s="89"/>
      <c r="BO20" s="90"/>
      <c r="BP20" s="91" t="str">
        <f>IF($CC20="","",IF(INDEX('[1]ATTENDANCE DAILY'!$AN$4:$AN$663,$CC20)="","",INDEX('[1]ATTENDANCE DAILY'!$AN$4:$AN$663,$CC20)&amp;IF(INDEX('[1]ATTENDANCE DAILY'!$AO$4:$AO$663,$CC20)="",""," ("&amp;TEXT(INDEX('[1]ATTENDANCE DAILY'!$AO$4:$AO$663,$CC20),"mm-dd-yyyy")&amp;")")&amp;IF(INDEX('[1]ATTENDANCE DAILY'!$AP$4:$AP$663,$CC20)="",""," - "&amp;INDEX('[1]ATTENDANCE DAILY'!$AP$4:$AP$663,$CC20))))</f>
        <v/>
      </c>
      <c r="BQ20" s="89"/>
      <c r="BR20" s="89"/>
      <c r="BS20" s="89"/>
      <c r="BT20" s="89"/>
      <c r="BU20" s="89"/>
      <c r="BV20" s="89"/>
      <c r="BW20" s="89"/>
      <c r="BX20" s="89"/>
      <c r="BY20" s="89"/>
      <c r="BZ20" s="89"/>
      <c r="CA20" s="90"/>
      <c r="CC20">
        <f>IF(COUNTIFS('[1]ATTENDANCE DAILY'!$C$4:$C$663,$BN$11,'[1]ATTENDANCE DAILY'!$F$4:$F$663,"Male",'[1]ATTENDANCE DAILY'!$G$4:$G$663,1,'[1]ATTENDANCE DAILY'!$BA$4:$BA$663,3)=0,"",SUMIFS('[1]ATTENDANCE DAILY'!$A$4:$A$663,'[1]ATTENDANCE DAILY'!$C$4:$C$663,$BN$11,'[1]ATTENDANCE DAILY'!$F$4:$F$663,"Male",'[1]ATTENDANCE DAILY'!$G$4:$G$663,1,'[1]ATTENDANCE DAILY'!$BA$4:$BA$663,3))</f>
        <v>63</v>
      </c>
    </row>
    <row r="21" spans="1:81" ht="19.95" customHeight="1">
      <c r="A21" s="80">
        <v>4</v>
      </c>
      <c r="B21" s="81"/>
      <c r="C21" s="81"/>
      <c r="D21" s="81"/>
      <c r="E21" s="81"/>
      <c r="F21" s="82"/>
      <c r="G21" s="83" t="str">
        <f>IF($CC21="","",INDEX('[1]ATTENDANCE DAILY'!$E$4:$E$663,$CC21))</f>
        <v>DOMINGO, FRYNNS LIAM ATIENZA</v>
      </c>
      <c r="H21" s="84"/>
      <c r="I21" s="84"/>
      <c r="J21" s="85"/>
      <c r="K21" s="54" t="str">
        <f>_xlfn.LET(_xlpm._r,_xlfn.SINGLE(IF(OR($CC21="",K$14="",K$14&lt;_xlfn.SINGLE(INDEX('[1]ATTENDANCE DAILY'!$AV$4:$AV$663,$CC21)),K$14&gt;_xlfn.SINGLE(INDEX('[1]ATTENDANCE DAILY'!$AW$4:$AW$663,$CC21))),"",IF(_xlfn.SINGLE(INDEX('[1]ATTENDANCE DAILY'!$I$4:$AM$663,$CC21,DAY(K$14)))="T-Late","T-L",IF(_xlfn.SINGLE(INDEX('[1]ATTENDANCE DAILY'!$I$4:$AM$663,$CC21,DAY(K$14)))="T-Cutting","T-C",INDEX('[1]ATTENDANCE DAILY'!$I$4:$AM$663,$CC21,DAY(K$14)))))),IFERROR(IF(_xlpm._r=0,"",_xlpm._r),""))</f>
        <v/>
      </c>
      <c r="L21" s="55"/>
      <c r="M21" s="56" t="str">
        <f>_xlfn.LET(_xlpm._r,_xlfn.SINGLE(IF(OR($CC21="",M$14="",M$14&lt;_xlfn.SINGLE(INDEX('[1]ATTENDANCE DAILY'!$AV$4:$AV$663,$CC21)),M$14&gt;_xlfn.SINGLE(INDEX('[1]ATTENDANCE DAILY'!$AW$4:$AW$663,$CC21))),"",IF(_xlfn.SINGLE(INDEX('[1]ATTENDANCE DAILY'!$I$4:$AM$663,$CC21,DAY(M$14)))="T-Late","T-L",IF(_xlfn.SINGLE(INDEX('[1]ATTENDANCE DAILY'!$I$4:$AM$663,$CC21,DAY(M$14)))="T-Cutting","T-C",INDEX('[1]ATTENDANCE DAILY'!$I$4:$AM$663,$CC21,DAY(M$14)))))),IFERROR(IF(_xlpm._r=0,"",_xlpm._r),""))</f>
        <v/>
      </c>
      <c r="N21" s="56" t="str">
        <f>_xlfn.LET(_xlpm._r,_xlfn.SINGLE(IF(OR($CC21="",N$14="",N$14&lt;_xlfn.SINGLE(INDEX('[1]ATTENDANCE DAILY'!$AV$4:$AV$663,$CC21)),N$14&gt;_xlfn.SINGLE(INDEX('[1]ATTENDANCE DAILY'!$AW$4:$AW$663,$CC21))),"",IF(_xlfn.SINGLE(INDEX('[1]ATTENDANCE DAILY'!$I$4:$AM$663,$CC21,DAY(N$14)))="T-Late","T-L",IF(_xlfn.SINGLE(INDEX('[1]ATTENDANCE DAILY'!$I$4:$AM$663,$CC21,DAY(N$14)))="T-Cutting","T-C",INDEX('[1]ATTENDANCE DAILY'!$I$4:$AM$663,$CC21,DAY(N$14)))))),IFERROR(IF(_xlpm._r=0,"",_xlpm._r),""))</f>
        <v/>
      </c>
      <c r="O21" s="57" t="str">
        <f>_xlfn.LET(_xlpm._r,_xlfn.SINGLE(IF(OR($CC21="",O$14="",O$14&lt;_xlfn.SINGLE(INDEX('[1]ATTENDANCE DAILY'!$AV$4:$AV$663,$CC21)),O$14&gt;_xlfn.SINGLE(INDEX('[1]ATTENDANCE DAILY'!$AW$4:$AW$663,$CC21))),"",IF(_xlfn.SINGLE(INDEX('[1]ATTENDANCE DAILY'!$I$4:$AM$663,$CC21,DAY(O$14)))="T-Late","T-L",IF(_xlfn.SINGLE(INDEX('[1]ATTENDANCE DAILY'!$I$4:$AM$663,$CC21,DAY(O$14)))="T-Cutting","T-C",INDEX('[1]ATTENDANCE DAILY'!$I$4:$AM$663,$CC21,DAY(O$14)))))),IFERROR(IF(_xlpm._r=0,"",_xlpm._r),""))</f>
        <v/>
      </c>
      <c r="P21" s="58"/>
      <c r="Q21" s="58"/>
      <c r="R21" s="55"/>
      <c r="S21" s="57" t="str">
        <f>_xlfn.LET(_xlpm._r,_xlfn.SINGLE(IF(OR($CC21="",S$14="",S$14&lt;_xlfn.SINGLE(INDEX('[1]ATTENDANCE DAILY'!$AV$4:$AV$663,$CC21)),S$14&gt;_xlfn.SINGLE(INDEX('[1]ATTENDANCE DAILY'!$AW$4:$AW$663,$CC21))),"",IF(_xlfn.SINGLE(INDEX('[1]ATTENDANCE DAILY'!$I$4:$AM$663,$CC21,DAY(S$14)))="T-Late","T-L",IF(_xlfn.SINGLE(INDEX('[1]ATTENDANCE DAILY'!$I$4:$AM$663,$CC21,DAY(S$14)))="T-Cutting","T-C",INDEX('[1]ATTENDANCE DAILY'!$I$4:$AM$663,$CC21,DAY(S$14)))))),IFERROR(IF(_xlpm._r=0,"",_xlpm._r),""))</f>
        <v/>
      </c>
      <c r="T21" s="58"/>
      <c r="U21" s="86"/>
      <c r="V21" s="59" t="str">
        <f>_xlfn.LET(_xlpm._r,_xlfn.SINGLE(IF(OR($CC21="",V$14="",V$14&lt;_xlfn.SINGLE(INDEX('[1]ATTENDANCE DAILY'!$AV$4:$AV$663,$CC21)),V$14&gt;_xlfn.SINGLE(INDEX('[1]ATTENDANCE DAILY'!$AW$4:$AW$663,$CC21))),"",IF(_xlfn.SINGLE(INDEX('[1]ATTENDANCE DAILY'!$I$4:$AM$663,$CC21,DAY(V$14)))="T-Late","T-L",IF(_xlfn.SINGLE(INDEX('[1]ATTENDANCE DAILY'!$I$4:$AM$663,$CC21,DAY(V$14)))="T-Cutting","T-C",INDEX('[1]ATTENDANCE DAILY'!$I$4:$AM$663,$CC21,DAY(V$14)))))),IFERROR(IF(_xlpm._r=0,"",_xlpm._r),""))</f>
        <v/>
      </c>
      <c r="W21" s="57" t="str">
        <f>_xlfn.LET(_xlpm._r,_xlfn.SINGLE(IF(OR($CC21="",W$14="",W$14&lt;_xlfn.SINGLE(INDEX('[1]ATTENDANCE DAILY'!$AV$4:$AV$663,$CC21)),W$14&gt;_xlfn.SINGLE(INDEX('[1]ATTENDANCE DAILY'!$AW$4:$AW$663,$CC21))),"",IF(_xlfn.SINGLE(INDEX('[1]ATTENDANCE DAILY'!$I$4:$AM$663,$CC21,DAY(W$14)))="T-Late","T-L",IF(_xlfn.SINGLE(INDEX('[1]ATTENDANCE DAILY'!$I$4:$AM$663,$CC21,DAY(W$14)))="T-Cutting","T-C",INDEX('[1]ATTENDANCE DAILY'!$I$4:$AM$663,$CC21,DAY(W$14)))))),IFERROR(IF(_xlpm._r=0,"",_xlpm._r),""))</f>
        <v/>
      </c>
      <c r="X21" s="58"/>
      <c r="Y21" s="55"/>
      <c r="Z21" s="56" t="str">
        <f>_xlfn.LET(_xlpm._r,_xlfn.SINGLE(IF(OR($CC21="",Z$14="",Z$14&lt;_xlfn.SINGLE(INDEX('[1]ATTENDANCE DAILY'!$AV$4:$AV$663,$CC21)),Z$14&gt;_xlfn.SINGLE(INDEX('[1]ATTENDANCE DAILY'!$AW$4:$AW$663,$CC21))),"",IF(_xlfn.SINGLE(INDEX('[1]ATTENDANCE DAILY'!$I$4:$AM$663,$CC21,DAY(Z$14)))="T-Late","T-L",IF(_xlfn.SINGLE(INDEX('[1]ATTENDANCE DAILY'!$I$4:$AM$663,$CC21,DAY(Z$14)))="T-Cutting","T-C",INDEX('[1]ATTENDANCE DAILY'!$I$4:$AM$663,$CC21,DAY(Z$14)))))),IFERROR(IF(_xlpm._r=0,"",_xlpm._r),""))</f>
        <v/>
      </c>
      <c r="AA21" s="56" t="str">
        <f>_xlfn.LET(_xlpm._r,_xlfn.SINGLE(IF(OR($CC21="",AA$14="",AA$14&lt;_xlfn.SINGLE(INDEX('[1]ATTENDANCE DAILY'!$AV$4:$AV$663,$CC21)),AA$14&gt;_xlfn.SINGLE(INDEX('[1]ATTENDANCE DAILY'!$AW$4:$AW$663,$CC21))),"",IF(_xlfn.SINGLE(INDEX('[1]ATTENDANCE DAILY'!$I$4:$AM$663,$CC21,DAY(AA$14)))="T-Late","T-L",IF(_xlfn.SINGLE(INDEX('[1]ATTENDANCE DAILY'!$I$4:$AM$663,$CC21,DAY(AA$14)))="T-Cutting","T-C",INDEX('[1]ATTENDANCE DAILY'!$I$4:$AM$663,$CC21,DAY(AA$14)))))),IFERROR(IF(_xlpm._r=0,"",_xlpm._r),""))</f>
        <v/>
      </c>
      <c r="AB21" s="57" t="str">
        <f>_xlfn.LET(_xlpm._r,_xlfn.SINGLE(IF(OR($CC21="",AB$14="",AB$14&lt;_xlfn.SINGLE(INDEX('[1]ATTENDANCE DAILY'!$AV$4:$AV$663,$CC21)),AB$14&gt;_xlfn.SINGLE(INDEX('[1]ATTENDANCE DAILY'!$AW$4:$AW$663,$CC21))),"",IF(_xlfn.SINGLE(INDEX('[1]ATTENDANCE DAILY'!$I$4:$AM$663,$CC21,DAY(AB$14)))="T-Late","T-L",IF(_xlfn.SINGLE(INDEX('[1]ATTENDANCE DAILY'!$I$4:$AM$663,$CC21,DAY(AB$14)))="T-Cutting","T-C",INDEX('[1]ATTENDANCE DAILY'!$I$4:$AM$663,$CC21,DAY(AB$14)))))),IFERROR(IF(_xlpm._r=0,"",_xlpm._r),""))</f>
        <v/>
      </c>
      <c r="AC21" s="58"/>
      <c r="AD21" s="86"/>
      <c r="AE21" s="54" t="str">
        <f>_xlfn.LET(_xlpm._r,_xlfn.SINGLE(IF(OR($CC21="",AE$14="",AE$14&lt;_xlfn.SINGLE(INDEX('[1]ATTENDANCE DAILY'!$AV$4:$AV$663,$CC21)),AE$14&gt;_xlfn.SINGLE(INDEX('[1]ATTENDANCE DAILY'!$AW$4:$AW$663,$CC21))),"",IF(_xlfn.SINGLE(INDEX('[1]ATTENDANCE DAILY'!$I$4:$AM$663,$CC21,DAY(AE$14)))="T-Late","T-L",IF(_xlfn.SINGLE(INDEX('[1]ATTENDANCE DAILY'!$I$4:$AM$663,$CC21,DAY(AE$14)))="T-Cutting","T-C",INDEX('[1]ATTENDANCE DAILY'!$I$4:$AM$663,$CC21,DAY(AE$14)))))),IFERROR(IF(_xlpm._r=0,"",_xlpm._r),""))</f>
        <v/>
      </c>
      <c r="AF21" s="58"/>
      <c r="AG21" s="55"/>
      <c r="AH21" s="56" t="str">
        <f>_xlfn.LET(_xlpm._r,_xlfn.SINGLE(IF(OR($CC21="",AH$14="",AH$14&lt;_xlfn.SINGLE(INDEX('[1]ATTENDANCE DAILY'!$AV$4:$AV$663,$CC21)),AH$14&gt;_xlfn.SINGLE(INDEX('[1]ATTENDANCE DAILY'!$AW$4:$AW$663,$CC21))),"",IF(_xlfn.SINGLE(INDEX('[1]ATTENDANCE DAILY'!$I$4:$AM$663,$CC21,DAY(AH$14)))="T-Late","T-L",IF(_xlfn.SINGLE(INDEX('[1]ATTENDANCE DAILY'!$I$4:$AM$663,$CC21,DAY(AH$14)))="T-Cutting","T-C",INDEX('[1]ATTENDANCE DAILY'!$I$4:$AM$663,$CC21,DAY(AH$14)))))),IFERROR(IF(_xlpm._r=0,"",_xlpm._r),""))</f>
        <v/>
      </c>
      <c r="AI21" s="57" t="str">
        <f>_xlfn.LET(_xlpm._r,_xlfn.SINGLE(IF(OR($CC21="",AI$14="",AI$14&lt;_xlfn.SINGLE(INDEX('[1]ATTENDANCE DAILY'!$AV$4:$AV$663,$CC21)),AI$14&gt;_xlfn.SINGLE(INDEX('[1]ATTENDANCE DAILY'!$AW$4:$AW$663,$CC21))),"",IF(_xlfn.SINGLE(INDEX('[1]ATTENDANCE DAILY'!$I$4:$AM$663,$CC21,DAY(AI$14)))="T-Late","T-L",IF(_xlfn.SINGLE(INDEX('[1]ATTENDANCE DAILY'!$I$4:$AM$663,$CC21,DAY(AI$14)))="T-Cutting","T-C",INDEX('[1]ATTENDANCE DAILY'!$I$4:$AM$663,$CC21,DAY(AI$14)))))),IFERROR(IF(_xlpm._r=0,"",_xlpm._r),""))</f>
        <v/>
      </c>
      <c r="AJ21" s="58"/>
      <c r="AK21" s="55"/>
      <c r="AL21" s="57" t="str">
        <f>_xlfn.LET(_xlpm._r,_xlfn.SINGLE(IF(OR($CC21="",AL$14="",AL$14&lt;_xlfn.SINGLE(INDEX('[1]ATTENDANCE DAILY'!$AV$4:$AV$663,$CC21)),AL$14&gt;_xlfn.SINGLE(INDEX('[1]ATTENDANCE DAILY'!$AW$4:$AW$663,$CC21))),"",IF(_xlfn.SINGLE(INDEX('[1]ATTENDANCE DAILY'!$I$4:$AM$663,$CC21,DAY(AL$14)))="T-Late","T-L",IF(_xlfn.SINGLE(INDEX('[1]ATTENDANCE DAILY'!$I$4:$AM$663,$CC21,DAY(AL$14)))="T-Cutting","T-C",INDEX('[1]ATTENDANCE DAILY'!$I$4:$AM$663,$CC21,DAY(AL$14)))))),IFERROR(IF(_xlpm._r=0,"",_xlpm._r),""))</f>
        <v/>
      </c>
      <c r="AM21" s="55"/>
      <c r="AN21" s="57" t="str">
        <f>_xlfn.LET(_xlpm._r,_xlfn.SINGLE(IF(OR($CC21="",AN$14="",AN$14&lt;_xlfn.SINGLE(INDEX('[1]ATTENDANCE DAILY'!$AV$4:$AV$663,$CC21)),AN$14&gt;_xlfn.SINGLE(INDEX('[1]ATTENDANCE DAILY'!$AW$4:$AW$663,$CC21))),"",IF(_xlfn.SINGLE(INDEX('[1]ATTENDANCE DAILY'!$I$4:$AM$663,$CC21,DAY(AN$14)))="T-Late","T-L",IF(_xlfn.SINGLE(INDEX('[1]ATTENDANCE DAILY'!$I$4:$AM$663,$CC21,DAY(AN$14)))="T-Cutting","T-C",INDEX('[1]ATTENDANCE DAILY'!$I$4:$AM$663,$CC21,DAY(AN$14)))))),IFERROR(IF(_xlpm._r=0,"",_xlpm._r),""))</f>
        <v/>
      </c>
      <c r="AO21" s="86"/>
      <c r="AP21" s="54" t="str">
        <f>_xlfn.LET(_xlpm._r,_xlfn.SINGLE(IF(OR($CC21="",AP$14="",AP$14&lt;_xlfn.SINGLE(INDEX('[1]ATTENDANCE DAILY'!$AV$4:$AV$663,$CC21)),AP$14&gt;_xlfn.SINGLE(INDEX('[1]ATTENDANCE DAILY'!$AW$4:$AW$663,$CC21))),"",IF(_xlfn.SINGLE(INDEX('[1]ATTENDANCE DAILY'!$I$4:$AM$663,$CC21,DAY(AP$14)))="T-Late","T-L",IF(_xlfn.SINGLE(INDEX('[1]ATTENDANCE DAILY'!$I$4:$AM$663,$CC21,DAY(AP$14)))="T-Cutting","T-C",INDEX('[1]ATTENDANCE DAILY'!$I$4:$AM$663,$CC21,DAY(AP$14)))))),IFERROR(IF(_xlpm._r=0,"",_xlpm._r),""))</f>
        <v/>
      </c>
      <c r="AQ21" s="55"/>
      <c r="AR21" s="56" t="str">
        <f>_xlfn.LET(_xlpm._r,_xlfn.SINGLE(IF(OR($CC21="",AR$14="",AR$14&lt;_xlfn.SINGLE(INDEX('[1]ATTENDANCE DAILY'!$AV$4:$AV$663,$CC21)),AR$14&gt;_xlfn.SINGLE(INDEX('[1]ATTENDANCE DAILY'!$AW$4:$AW$663,$CC21))),"",IF(_xlfn.SINGLE(INDEX('[1]ATTENDANCE DAILY'!$I$4:$AM$663,$CC21,DAY(AR$14)))="T-Late","T-L",IF(_xlfn.SINGLE(INDEX('[1]ATTENDANCE DAILY'!$I$4:$AM$663,$CC21,DAY(AR$14)))="T-Cutting","T-C",INDEX('[1]ATTENDANCE DAILY'!$I$4:$AM$663,$CC21,DAY(AR$14)))))),IFERROR(IF(_xlpm._r=0,"",_xlpm._r),""))</f>
        <v/>
      </c>
      <c r="AS21" s="57" t="str">
        <f>_xlfn.LET(_xlpm._r,_xlfn.SINGLE(IF(OR($CC21="",AS$14="",AS$14&lt;_xlfn.SINGLE(INDEX('[1]ATTENDANCE DAILY'!$AV$4:$AV$663,$CC21)),AS$14&gt;_xlfn.SINGLE(INDEX('[1]ATTENDANCE DAILY'!$AW$4:$AW$663,$CC21))),"",IF(_xlfn.SINGLE(INDEX('[1]ATTENDANCE DAILY'!$I$4:$AM$663,$CC21,DAY(AS$14)))="T-Late","T-L",IF(_xlfn.SINGLE(INDEX('[1]ATTENDANCE DAILY'!$I$4:$AM$663,$CC21,DAY(AS$14)))="T-Cutting","T-C",INDEX('[1]ATTENDANCE DAILY'!$I$4:$AM$663,$CC21,DAY(AS$14)))))),IFERROR(IF(_xlpm._r=0,"",_xlpm._r),""))</f>
        <v/>
      </c>
      <c r="AT21" s="55"/>
      <c r="AU21" s="56" t="str">
        <f>_xlfn.LET(_xlpm._r,_xlfn.SINGLE(IF(OR($CC21="",AU$14="",AU$14&lt;_xlfn.SINGLE(INDEX('[1]ATTENDANCE DAILY'!$AV$4:$AV$663,$CC21)),AU$14&gt;_xlfn.SINGLE(INDEX('[1]ATTENDANCE DAILY'!$AW$4:$AW$663,$CC21))),"",IF(_xlfn.SINGLE(INDEX('[1]ATTENDANCE DAILY'!$I$4:$AM$663,$CC21,DAY(AU$14)))="T-Late","T-L",IF(_xlfn.SINGLE(INDEX('[1]ATTENDANCE DAILY'!$I$4:$AM$663,$CC21,DAY(AU$14)))="T-Cutting","T-C",INDEX('[1]ATTENDANCE DAILY'!$I$4:$AM$663,$CC21,DAY(AU$14)))))),IFERROR(IF(_xlpm._r=0,"",_xlpm._r),""))</f>
        <v/>
      </c>
      <c r="AV21" s="87" t="str">
        <f>_xlfn.LET(_xlpm._r,_xlfn.SINGLE(IF(OR($CC21="",AV$14="",AV$14&lt;_xlfn.SINGLE(INDEX('[1]ATTENDANCE DAILY'!$AV$4:$AV$663,$CC21)),AV$14&gt;_xlfn.SINGLE(INDEX('[1]ATTENDANCE DAILY'!$AW$4:$AW$663,$CC21))),"",IF(_xlfn.SINGLE(INDEX('[1]ATTENDANCE DAILY'!$I$4:$AM$663,$CC21,DAY(AV$14)))="T-Late","T-L",IF(_xlfn.SINGLE(INDEX('[1]ATTENDANCE DAILY'!$I$4:$AM$663,$CC21,DAY(AV$14)))="T-Cutting","T-C",INDEX('[1]ATTENDANCE DAILY'!$I$4:$AM$663,$CC21,DAY(AV$14)))))),IFERROR(IF(_xlpm._r=0,"",_xlpm._r),""))</f>
        <v/>
      </c>
      <c r="AW21" s="54" t="str">
        <f>_xlfn.LET(_xlpm._r,_xlfn.SINGLE(IF(OR($CC21="",AW$14="",AW$14&lt;_xlfn.SINGLE(INDEX('[1]ATTENDANCE DAILY'!$AV$4:$AV$663,$CC21)),AW$14&gt;_xlfn.SINGLE(INDEX('[1]ATTENDANCE DAILY'!$AW$4:$AW$663,$CC21))),"",IF(_xlfn.SINGLE(INDEX('[1]ATTENDANCE DAILY'!$I$4:$AM$663,$CC21,DAY(AW$14)))="T-Late","T-L",IF(_xlfn.SINGLE(INDEX('[1]ATTENDANCE DAILY'!$I$4:$AM$663,$CC21,DAY(AW$14)))="T-Cutting","T-C",INDEX('[1]ATTENDANCE DAILY'!$I$4:$AM$663,$CC21,DAY(AW$14)))))),IFERROR(IF(_xlpm._r=0,"",_xlpm._r),""))</f>
        <v/>
      </c>
      <c r="AX21" s="55"/>
      <c r="AY21" s="57" t="str">
        <f>_xlfn.LET(_xlpm._r,_xlfn.SINGLE(IF(OR($CC21="",AY$14="",AY$14&lt;_xlfn.SINGLE(INDEX('[1]ATTENDANCE DAILY'!$AV$4:$AV$663,$CC21)),AY$14&gt;_xlfn.SINGLE(INDEX('[1]ATTENDANCE DAILY'!$AW$4:$AW$663,$CC21))),"",IF(_xlfn.SINGLE(INDEX('[1]ATTENDANCE DAILY'!$I$4:$AM$663,$CC21,DAY(AY$14)))="T-Late","T-L",IF(_xlfn.SINGLE(INDEX('[1]ATTENDANCE DAILY'!$I$4:$AM$663,$CC21,DAY(AY$14)))="T-Cutting","T-C",INDEX('[1]ATTENDANCE DAILY'!$I$4:$AM$663,$CC21,DAY(AY$14)))))),IFERROR(IF(_xlpm._r=0,"",_xlpm._r),""))</f>
        <v/>
      </c>
      <c r="AZ21" s="58"/>
      <c r="BA21" s="55"/>
      <c r="BB21" s="57" t="str">
        <f>_xlfn.LET(_xlpm._r,_xlfn.SINGLE(IF(OR($CC21="",BB$14="",BB$14&lt;_xlfn.SINGLE(INDEX('[1]ATTENDANCE DAILY'!$AV$4:$AV$663,$CC21)),BB$14&gt;_xlfn.SINGLE(INDEX('[1]ATTENDANCE DAILY'!$AW$4:$AW$663,$CC21))),"",IF(_xlfn.SINGLE(INDEX('[1]ATTENDANCE DAILY'!$I$4:$AM$663,$CC21,DAY(BB$14)))="T-Late","T-L",IF(_xlfn.SINGLE(INDEX('[1]ATTENDANCE DAILY'!$I$4:$AM$663,$CC21,DAY(BB$14)))="T-Cutting","T-C",INDEX('[1]ATTENDANCE DAILY'!$I$4:$AM$663,$CC21,DAY(BB$14)))))),IFERROR(IF(_xlpm._r=0,"",_xlpm._r),""))</f>
        <v/>
      </c>
      <c r="BC21" s="55"/>
      <c r="BD21" s="56" t="str">
        <f>_xlfn.LET(_xlpm._r,_xlfn.SINGLE(IF(OR($CC21="",BD$14="",BD$14&lt;_xlfn.SINGLE(INDEX('[1]ATTENDANCE DAILY'!$AV$4:$AV$663,$CC21)),BD$14&gt;_xlfn.SINGLE(INDEX('[1]ATTENDANCE DAILY'!$AW$4:$AW$663,$CC21))),"",IF(_xlfn.SINGLE(INDEX('[1]ATTENDANCE DAILY'!$I$4:$AM$663,$CC21,DAY(BD$14)))="T-Late","T-L",IF(_xlfn.SINGLE(INDEX('[1]ATTENDANCE DAILY'!$I$4:$AM$663,$CC21,DAY(BD$14)))="T-Cutting","T-C",INDEX('[1]ATTENDANCE DAILY'!$I$4:$AM$663,$CC21,DAY(BD$14)))))),IFERROR(IF(_xlpm._r=0,"",_xlpm._r),""))</f>
        <v/>
      </c>
      <c r="BE21" s="57" t="str">
        <f>_xlfn.LET(_xlpm._r,_xlfn.SINGLE(IF(OR($CC21="",BE$14="",BE$14&lt;_xlfn.SINGLE(INDEX('[1]ATTENDANCE DAILY'!$AV$4:$AV$663,$CC21)),BE$14&gt;_xlfn.SINGLE(INDEX('[1]ATTENDANCE DAILY'!$AW$4:$AW$663,$CC21))),"",IF(_xlfn.SINGLE(INDEX('[1]ATTENDANCE DAILY'!$I$4:$AM$663,$CC21,DAY(BE$14)))="T-Late","T-L",IF(_xlfn.SINGLE(INDEX('[1]ATTENDANCE DAILY'!$I$4:$AM$663,$CC21,DAY(BE$14)))="T-Cutting","T-C",INDEX('[1]ATTENDANCE DAILY'!$I$4:$AM$663,$CC21,DAY(BE$14)))))),IFERROR(IF(_xlpm._r=0,"",_xlpm._r),""))</f>
        <v/>
      </c>
      <c r="BF21" s="58"/>
      <c r="BG21" s="58"/>
      <c r="BH21" s="86"/>
      <c r="BI21" s="88">
        <f>IF($CC21="","",INDEX('[1]ATTENDANCE DAILY'!$AR$4:$AR$663,$CC21))</f>
        <v>0</v>
      </c>
      <c r="BJ21" s="89"/>
      <c r="BK21" s="90"/>
      <c r="BL21" s="88">
        <f>IF($CC21="","",INDEX('[1]ATTENDANCE DAILY'!$AS$4:$AS$663,$CC21))</f>
        <v>23</v>
      </c>
      <c r="BM21" s="89"/>
      <c r="BN21" s="89"/>
      <c r="BO21" s="90"/>
      <c r="BP21" s="91" t="str">
        <f>IF($CC21="","",IF(INDEX('[1]ATTENDANCE DAILY'!$AN$4:$AN$663,$CC21)="","",INDEX('[1]ATTENDANCE DAILY'!$AN$4:$AN$663,$CC21)&amp;IF(INDEX('[1]ATTENDANCE DAILY'!$AO$4:$AO$663,$CC21)="",""," ("&amp;TEXT(INDEX('[1]ATTENDANCE DAILY'!$AO$4:$AO$663,$CC21),"mm-dd-yyyy")&amp;")")&amp;IF(INDEX('[1]ATTENDANCE DAILY'!$AP$4:$AP$663,$CC21)="",""," - "&amp;INDEX('[1]ATTENDANCE DAILY'!$AP$4:$AP$663,$CC21))))</f>
        <v/>
      </c>
      <c r="BQ21" s="89"/>
      <c r="BR21" s="89"/>
      <c r="BS21" s="89"/>
      <c r="BT21" s="89"/>
      <c r="BU21" s="89"/>
      <c r="BV21" s="89"/>
      <c r="BW21" s="89"/>
      <c r="BX21" s="89"/>
      <c r="BY21" s="89"/>
      <c r="BZ21" s="89"/>
      <c r="CA21" s="90"/>
      <c r="CC21">
        <f>IF(COUNTIFS('[1]ATTENDANCE DAILY'!$C$4:$C$663,$BN$11,'[1]ATTENDANCE DAILY'!$F$4:$F$663,"Male",'[1]ATTENDANCE DAILY'!$G$4:$G$663,1,'[1]ATTENDANCE DAILY'!$BA$4:$BA$663,4)=0,"",SUMIFS('[1]ATTENDANCE DAILY'!$A$4:$A$663,'[1]ATTENDANCE DAILY'!$C$4:$C$663,$BN$11,'[1]ATTENDANCE DAILY'!$F$4:$F$663,"Male",'[1]ATTENDANCE DAILY'!$G$4:$G$663,1,'[1]ATTENDANCE DAILY'!$BA$4:$BA$663,4))</f>
        <v>64</v>
      </c>
    </row>
    <row r="22" spans="1:81" ht="19.95" customHeight="1">
      <c r="A22" s="80">
        <v>5</v>
      </c>
      <c r="B22" s="81"/>
      <c r="C22" s="81"/>
      <c r="D22" s="81"/>
      <c r="E22" s="81"/>
      <c r="F22" s="82"/>
      <c r="G22" s="83" t="str">
        <f>IF($CC22="","",INDEX('[1]ATTENDANCE DAILY'!$E$4:$E$663,$CC22))</f>
        <v>DUMADALUG, JAMES DIZON</v>
      </c>
      <c r="H22" s="84"/>
      <c r="I22" s="84"/>
      <c r="J22" s="85"/>
      <c r="K22" s="54" t="str">
        <f>_xlfn.LET(_xlpm._r,_xlfn.SINGLE(IF(OR($CC22="",K$14="",K$14&lt;_xlfn.SINGLE(INDEX('[1]ATTENDANCE DAILY'!$AV$4:$AV$663,$CC22)),K$14&gt;_xlfn.SINGLE(INDEX('[1]ATTENDANCE DAILY'!$AW$4:$AW$663,$CC22))),"",IF(_xlfn.SINGLE(INDEX('[1]ATTENDANCE DAILY'!$I$4:$AM$663,$CC22,DAY(K$14)))="T-Late","T-L",IF(_xlfn.SINGLE(INDEX('[1]ATTENDANCE DAILY'!$I$4:$AM$663,$CC22,DAY(K$14)))="T-Cutting","T-C",INDEX('[1]ATTENDANCE DAILY'!$I$4:$AM$663,$CC22,DAY(K$14)))))),IFERROR(IF(_xlpm._r=0,"",_xlpm._r),""))</f>
        <v/>
      </c>
      <c r="L22" s="55"/>
      <c r="M22" s="56" t="str">
        <f>_xlfn.LET(_xlpm._r,_xlfn.SINGLE(IF(OR($CC22="",M$14="",M$14&lt;_xlfn.SINGLE(INDEX('[1]ATTENDANCE DAILY'!$AV$4:$AV$663,$CC22)),M$14&gt;_xlfn.SINGLE(INDEX('[1]ATTENDANCE DAILY'!$AW$4:$AW$663,$CC22))),"",IF(_xlfn.SINGLE(INDEX('[1]ATTENDANCE DAILY'!$I$4:$AM$663,$CC22,DAY(M$14)))="T-Late","T-L",IF(_xlfn.SINGLE(INDEX('[1]ATTENDANCE DAILY'!$I$4:$AM$663,$CC22,DAY(M$14)))="T-Cutting","T-C",INDEX('[1]ATTENDANCE DAILY'!$I$4:$AM$663,$CC22,DAY(M$14)))))),IFERROR(IF(_xlpm._r=0,"",_xlpm._r),""))</f>
        <v/>
      </c>
      <c r="N22" s="56" t="str">
        <f>_xlfn.LET(_xlpm._r,_xlfn.SINGLE(IF(OR($CC22="",N$14="",N$14&lt;_xlfn.SINGLE(INDEX('[1]ATTENDANCE DAILY'!$AV$4:$AV$663,$CC22)),N$14&gt;_xlfn.SINGLE(INDEX('[1]ATTENDANCE DAILY'!$AW$4:$AW$663,$CC22))),"",IF(_xlfn.SINGLE(INDEX('[1]ATTENDANCE DAILY'!$I$4:$AM$663,$CC22,DAY(N$14)))="T-Late","T-L",IF(_xlfn.SINGLE(INDEX('[1]ATTENDANCE DAILY'!$I$4:$AM$663,$CC22,DAY(N$14)))="T-Cutting","T-C",INDEX('[1]ATTENDANCE DAILY'!$I$4:$AM$663,$CC22,DAY(N$14)))))),IFERROR(IF(_xlpm._r=0,"",_xlpm._r),""))</f>
        <v/>
      </c>
      <c r="O22" s="57" t="str">
        <f>_xlfn.LET(_xlpm._r,_xlfn.SINGLE(IF(OR($CC22="",O$14="",O$14&lt;_xlfn.SINGLE(INDEX('[1]ATTENDANCE DAILY'!$AV$4:$AV$663,$CC22)),O$14&gt;_xlfn.SINGLE(INDEX('[1]ATTENDANCE DAILY'!$AW$4:$AW$663,$CC22))),"",IF(_xlfn.SINGLE(INDEX('[1]ATTENDANCE DAILY'!$I$4:$AM$663,$CC22,DAY(O$14)))="T-Late","T-L",IF(_xlfn.SINGLE(INDEX('[1]ATTENDANCE DAILY'!$I$4:$AM$663,$CC22,DAY(O$14)))="T-Cutting","T-C",INDEX('[1]ATTENDANCE DAILY'!$I$4:$AM$663,$CC22,DAY(O$14)))))),IFERROR(IF(_xlpm._r=0,"",_xlpm._r),""))</f>
        <v/>
      </c>
      <c r="P22" s="58"/>
      <c r="Q22" s="58"/>
      <c r="R22" s="55"/>
      <c r="S22" s="57" t="str">
        <f>_xlfn.LET(_xlpm._r,_xlfn.SINGLE(IF(OR($CC22="",S$14="",S$14&lt;_xlfn.SINGLE(INDEX('[1]ATTENDANCE DAILY'!$AV$4:$AV$663,$CC22)),S$14&gt;_xlfn.SINGLE(INDEX('[1]ATTENDANCE DAILY'!$AW$4:$AW$663,$CC22))),"",IF(_xlfn.SINGLE(INDEX('[1]ATTENDANCE DAILY'!$I$4:$AM$663,$CC22,DAY(S$14)))="T-Late","T-L",IF(_xlfn.SINGLE(INDEX('[1]ATTENDANCE DAILY'!$I$4:$AM$663,$CC22,DAY(S$14)))="T-Cutting","T-C",INDEX('[1]ATTENDANCE DAILY'!$I$4:$AM$663,$CC22,DAY(S$14)))))),IFERROR(IF(_xlpm._r=0,"",_xlpm._r),""))</f>
        <v/>
      </c>
      <c r="T22" s="58"/>
      <c r="U22" s="86"/>
      <c r="V22" s="59" t="str">
        <f>_xlfn.LET(_xlpm._r,_xlfn.SINGLE(IF(OR($CC22="",V$14="",V$14&lt;_xlfn.SINGLE(INDEX('[1]ATTENDANCE DAILY'!$AV$4:$AV$663,$CC22)),V$14&gt;_xlfn.SINGLE(INDEX('[1]ATTENDANCE DAILY'!$AW$4:$AW$663,$CC22))),"",IF(_xlfn.SINGLE(INDEX('[1]ATTENDANCE DAILY'!$I$4:$AM$663,$CC22,DAY(V$14)))="T-Late","T-L",IF(_xlfn.SINGLE(INDEX('[1]ATTENDANCE DAILY'!$I$4:$AM$663,$CC22,DAY(V$14)))="T-Cutting","T-C",INDEX('[1]ATTENDANCE DAILY'!$I$4:$AM$663,$CC22,DAY(V$14)))))),IFERROR(IF(_xlpm._r=0,"",_xlpm._r),""))</f>
        <v/>
      </c>
      <c r="W22" s="57" t="str">
        <f>_xlfn.LET(_xlpm._r,_xlfn.SINGLE(IF(OR($CC22="",W$14="",W$14&lt;_xlfn.SINGLE(INDEX('[1]ATTENDANCE DAILY'!$AV$4:$AV$663,$CC22)),W$14&gt;_xlfn.SINGLE(INDEX('[1]ATTENDANCE DAILY'!$AW$4:$AW$663,$CC22))),"",IF(_xlfn.SINGLE(INDEX('[1]ATTENDANCE DAILY'!$I$4:$AM$663,$CC22,DAY(W$14)))="T-Late","T-L",IF(_xlfn.SINGLE(INDEX('[1]ATTENDANCE DAILY'!$I$4:$AM$663,$CC22,DAY(W$14)))="T-Cutting","T-C",INDEX('[1]ATTENDANCE DAILY'!$I$4:$AM$663,$CC22,DAY(W$14)))))),IFERROR(IF(_xlpm._r=0,"",_xlpm._r),""))</f>
        <v/>
      </c>
      <c r="X22" s="58"/>
      <c r="Y22" s="55"/>
      <c r="Z22" s="56" t="str">
        <f>_xlfn.LET(_xlpm._r,_xlfn.SINGLE(IF(OR($CC22="",Z$14="",Z$14&lt;_xlfn.SINGLE(INDEX('[1]ATTENDANCE DAILY'!$AV$4:$AV$663,$CC22)),Z$14&gt;_xlfn.SINGLE(INDEX('[1]ATTENDANCE DAILY'!$AW$4:$AW$663,$CC22))),"",IF(_xlfn.SINGLE(INDEX('[1]ATTENDANCE DAILY'!$I$4:$AM$663,$CC22,DAY(Z$14)))="T-Late","T-L",IF(_xlfn.SINGLE(INDEX('[1]ATTENDANCE DAILY'!$I$4:$AM$663,$CC22,DAY(Z$14)))="T-Cutting","T-C",INDEX('[1]ATTENDANCE DAILY'!$I$4:$AM$663,$CC22,DAY(Z$14)))))),IFERROR(IF(_xlpm._r=0,"",_xlpm._r),""))</f>
        <v/>
      </c>
      <c r="AA22" s="56" t="str">
        <f>_xlfn.LET(_xlpm._r,_xlfn.SINGLE(IF(OR($CC22="",AA$14="",AA$14&lt;_xlfn.SINGLE(INDEX('[1]ATTENDANCE DAILY'!$AV$4:$AV$663,$CC22)),AA$14&gt;_xlfn.SINGLE(INDEX('[1]ATTENDANCE DAILY'!$AW$4:$AW$663,$CC22))),"",IF(_xlfn.SINGLE(INDEX('[1]ATTENDANCE DAILY'!$I$4:$AM$663,$CC22,DAY(AA$14)))="T-Late","T-L",IF(_xlfn.SINGLE(INDEX('[1]ATTENDANCE DAILY'!$I$4:$AM$663,$CC22,DAY(AA$14)))="T-Cutting","T-C",INDEX('[1]ATTENDANCE DAILY'!$I$4:$AM$663,$CC22,DAY(AA$14)))))),IFERROR(IF(_xlpm._r=0,"",_xlpm._r),""))</f>
        <v/>
      </c>
      <c r="AB22" s="57" t="str">
        <f>_xlfn.LET(_xlpm._r,_xlfn.SINGLE(IF(OR($CC22="",AB$14="",AB$14&lt;_xlfn.SINGLE(INDEX('[1]ATTENDANCE DAILY'!$AV$4:$AV$663,$CC22)),AB$14&gt;_xlfn.SINGLE(INDEX('[1]ATTENDANCE DAILY'!$AW$4:$AW$663,$CC22))),"",IF(_xlfn.SINGLE(INDEX('[1]ATTENDANCE DAILY'!$I$4:$AM$663,$CC22,DAY(AB$14)))="T-Late","T-L",IF(_xlfn.SINGLE(INDEX('[1]ATTENDANCE DAILY'!$I$4:$AM$663,$CC22,DAY(AB$14)))="T-Cutting","T-C",INDEX('[1]ATTENDANCE DAILY'!$I$4:$AM$663,$CC22,DAY(AB$14)))))),IFERROR(IF(_xlpm._r=0,"",_xlpm._r),""))</f>
        <v/>
      </c>
      <c r="AC22" s="58"/>
      <c r="AD22" s="86"/>
      <c r="AE22" s="54" t="str">
        <f>_xlfn.LET(_xlpm._r,_xlfn.SINGLE(IF(OR($CC22="",AE$14="",AE$14&lt;_xlfn.SINGLE(INDEX('[1]ATTENDANCE DAILY'!$AV$4:$AV$663,$CC22)),AE$14&gt;_xlfn.SINGLE(INDEX('[1]ATTENDANCE DAILY'!$AW$4:$AW$663,$CC22))),"",IF(_xlfn.SINGLE(INDEX('[1]ATTENDANCE DAILY'!$I$4:$AM$663,$CC22,DAY(AE$14)))="T-Late","T-L",IF(_xlfn.SINGLE(INDEX('[1]ATTENDANCE DAILY'!$I$4:$AM$663,$CC22,DAY(AE$14)))="T-Cutting","T-C",INDEX('[1]ATTENDANCE DAILY'!$I$4:$AM$663,$CC22,DAY(AE$14)))))),IFERROR(IF(_xlpm._r=0,"",_xlpm._r),""))</f>
        <v/>
      </c>
      <c r="AF22" s="58"/>
      <c r="AG22" s="55"/>
      <c r="AH22" s="56" t="str">
        <f>_xlfn.LET(_xlpm._r,_xlfn.SINGLE(IF(OR($CC22="",AH$14="",AH$14&lt;_xlfn.SINGLE(INDEX('[1]ATTENDANCE DAILY'!$AV$4:$AV$663,$CC22)),AH$14&gt;_xlfn.SINGLE(INDEX('[1]ATTENDANCE DAILY'!$AW$4:$AW$663,$CC22))),"",IF(_xlfn.SINGLE(INDEX('[1]ATTENDANCE DAILY'!$I$4:$AM$663,$CC22,DAY(AH$14)))="T-Late","T-L",IF(_xlfn.SINGLE(INDEX('[1]ATTENDANCE DAILY'!$I$4:$AM$663,$CC22,DAY(AH$14)))="T-Cutting","T-C",INDEX('[1]ATTENDANCE DAILY'!$I$4:$AM$663,$CC22,DAY(AH$14)))))),IFERROR(IF(_xlpm._r=0,"",_xlpm._r),""))</f>
        <v/>
      </c>
      <c r="AI22" s="57" t="str">
        <f>_xlfn.LET(_xlpm._r,_xlfn.SINGLE(IF(OR($CC22="",AI$14="",AI$14&lt;_xlfn.SINGLE(INDEX('[1]ATTENDANCE DAILY'!$AV$4:$AV$663,$CC22)),AI$14&gt;_xlfn.SINGLE(INDEX('[1]ATTENDANCE DAILY'!$AW$4:$AW$663,$CC22))),"",IF(_xlfn.SINGLE(INDEX('[1]ATTENDANCE DAILY'!$I$4:$AM$663,$CC22,DAY(AI$14)))="T-Late","T-L",IF(_xlfn.SINGLE(INDEX('[1]ATTENDANCE DAILY'!$I$4:$AM$663,$CC22,DAY(AI$14)))="T-Cutting","T-C",INDEX('[1]ATTENDANCE DAILY'!$I$4:$AM$663,$CC22,DAY(AI$14)))))),IFERROR(IF(_xlpm._r=0,"",_xlpm._r),""))</f>
        <v/>
      </c>
      <c r="AJ22" s="58"/>
      <c r="AK22" s="55"/>
      <c r="AL22" s="57" t="str">
        <f>_xlfn.LET(_xlpm._r,_xlfn.SINGLE(IF(OR($CC22="",AL$14="",AL$14&lt;_xlfn.SINGLE(INDEX('[1]ATTENDANCE DAILY'!$AV$4:$AV$663,$CC22)),AL$14&gt;_xlfn.SINGLE(INDEX('[1]ATTENDANCE DAILY'!$AW$4:$AW$663,$CC22))),"",IF(_xlfn.SINGLE(INDEX('[1]ATTENDANCE DAILY'!$I$4:$AM$663,$CC22,DAY(AL$14)))="T-Late","T-L",IF(_xlfn.SINGLE(INDEX('[1]ATTENDANCE DAILY'!$I$4:$AM$663,$CC22,DAY(AL$14)))="T-Cutting","T-C",INDEX('[1]ATTENDANCE DAILY'!$I$4:$AM$663,$CC22,DAY(AL$14)))))),IFERROR(IF(_xlpm._r=0,"",_xlpm._r),""))</f>
        <v/>
      </c>
      <c r="AM22" s="55"/>
      <c r="AN22" s="57" t="str">
        <f>_xlfn.LET(_xlpm._r,_xlfn.SINGLE(IF(OR($CC22="",AN$14="",AN$14&lt;_xlfn.SINGLE(INDEX('[1]ATTENDANCE DAILY'!$AV$4:$AV$663,$CC22)),AN$14&gt;_xlfn.SINGLE(INDEX('[1]ATTENDANCE DAILY'!$AW$4:$AW$663,$CC22))),"",IF(_xlfn.SINGLE(INDEX('[1]ATTENDANCE DAILY'!$I$4:$AM$663,$CC22,DAY(AN$14)))="T-Late","T-L",IF(_xlfn.SINGLE(INDEX('[1]ATTENDANCE DAILY'!$I$4:$AM$663,$CC22,DAY(AN$14)))="T-Cutting","T-C",INDEX('[1]ATTENDANCE DAILY'!$I$4:$AM$663,$CC22,DAY(AN$14)))))),IFERROR(IF(_xlpm._r=0,"",_xlpm._r),""))</f>
        <v/>
      </c>
      <c r="AO22" s="86"/>
      <c r="AP22" s="54" t="str">
        <f>_xlfn.LET(_xlpm._r,_xlfn.SINGLE(IF(OR($CC22="",AP$14="",AP$14&lt;_xlfn.SINGLE(INDEX('[1]ATTENDANCE DAILY'!$AV$4:$AV$663,$CC22)),AP$14&gt;_xlfn.SINGLE(INDEX('[1]ATTENDANCE DAILY'!$AW$4:$AW$663,$CC22))),"",IF(_xlfn.SINGLE(INDEX('[1]ATTENDANCE DAILY'!$I$4:$AM$663,$CC22,DAY(AP$14)))="T-Late","T-L",IF(_xlfn.SINGLE(INDEX('[1]ATTENDANCE DAILY'!$I$4:$AM$663,$CC22,DAY(AP$14)))="T-Cutting","T-C",INDEX('[1]ATTENDANCE DAILY'!$I$4:$AM$663,$CC22,DAY(AP$14)))))),IFERROR(IF(_xlpm._r=0,"",_xlpm._r),""))</f>
        <v/>
      </c>
      <c r="AQ22" s="55"/>
      <c r="AR22" s="56" t="str">
        <f>_xlfn.LET(_xlpm._r,_xlfn.SINGLE(IF(OR($CC22="",AR$14="",AR$14&lt;_xlfn.SINGLE(INDEX('[1]ATTENDANCE DAILY'!$AV$4:$AV$663,$CC22)),AR$14&gt;_xlfn.SINGLE(INDEX('[1]ATTENDANCE DAILY'!$AW$4:$AW$663,$CC22))),"",IF(_xlfn.SINGLE(INDEX('[1]ATTENDANCE DAILY'!$I$4:$AM$663,$CC22,DAY(AR$14)))="T-Late","T-L",IF(_xlfn.SINGLE(INDEX('[1]ATTENDANCE DAILY'!$I$4:$AM$663,$CC22,DAY(AR$14)))="T-Cutting","T-C",INDEX('[1]ATTENDANCE DAILY'!$I$4:$AM$663,$CC22,DAY(AR$14)))))),IFERROR(IF(_xlpm._r=0,"",_xlpm._r),""))</f>
        <v/>
      </c>
      <c r="AS22" s="57" t="str">
        <f>_xlfn.LET(_xlpm._r,_xlfn.SINGLE(IF(OR($CC22="",AS$14="",AS$14&lt;_xlfn.SINGLE(INDEX('[1]ATTENDANCE DAILY'!$AV$4:$AV$663,$CC22)),AS$14&gt;_xlfn.SINGLE(INDEX('[1]ATTENDANCE DAILY'!$AW$4:$AW$663,$CC22))),"",IF(_xlfn.SINGLE(INDEX('[1]ATTENDANCE DAILY'!$I$4:$AM$663,$CC22,DAY(AS$14)))="T-Late","T-L",IF(_xlfn.SINGLE(INDEX('[1]ATTENDANCE DAILY'!$I$4:$AM$663,$CC22,DAY(AS$14)))="T-Cutting","T-C",INDEX('[1]ATTENDANCE DAILY'!$I$4:$AM$663,$CC22,DAY(AS$14)))))),IFERROR(IF(_xlpm._r=0,"",_xlpm._r),""))</f>
        <v/>
      </c>
      <c r="AT22" s="55"/>
      <c r="AU22" s="56" t="str">
        <f>_xlfn.LET(_xlpm._r,_xlfn.SINGLE(IF(OR($CC22="",AU$14="",AU$14&lt;_xlfn.SINGLE(INDEX('[1]ATTENDANCE DAILY'!$AV$4:$AV$663,$CC22)),AU$14&gt;_xlfn.SINGLE(INDEX('[1]ATTENDANCE DAILY'!$AW$4:$AW$663,$CC22))),"",IF(_xlfn.SINGLE(INDEX('[1]ATTENDANCE DAILY'!$I$4:$AM$663,$CC22,DAY(AU$14)))="T-Late","T-L",IF(_xlfn.SINGLE(INDEX('[1]ATTENDANCE DAILY'!$I$4:$AM$663,$CC22,DAY(AU$14)))="T-Cutting","T-C",INDEX('[1]ATTENDANCE DAILY'!$I$4:$AM$663,$CC22,DAY(AU$14)))))),IFERROR(IF(_xlpm._r=0,"",_xlpm._r),""))</f>
        <v/>
      </c>
      <c r="AV22" s="87" t="str">
        <f>_xlfn.LET(_xlpm._r,_xlfn.SINGLE(IF(OR($CC22="",AV$14="",AV$14&lt;_xlfn.SINGLE(INDEX('[1]ATTENDANCE DAILY'!$AV$4:$AV$663,$CC22)),AV$14&gt;_xlfn.SINGLE(INDEX('[1]ATTENDANCE DAILY'!$AW$4:$AW$663,$CC22))),"",IF(_xlfn.SINGLE(INDEX('[1]ATTENDANCE DAILY'!$I$4:$AM$663,$CC22,DAY(AV$14)))="T-Late","T-L",IF(_xlfn.SINGLE(INDEX('[1]ATTENDANCE DAILY'!$I$4:$AM$663,$CC22,DAY(AV$14)))="T-Cutting","T-C",INDEX('[1]ATTENDANCE DAILY'!$I$4:$AM$663,$CC22,DAY(AV$14)))))),IFERROR(IF(_xlpm._r=0,"",_xlpm._r),""))</f>
        <v/>
      </c>
      <c r="AW22" s="54" t="str">
        <f>_xlfn.LET(_xlpm._r,_xlfn.SINGLE(IF(OR($CC22="",AW$14="",AW$14&lt;_xlfn.SINGLE(INDEX('[1]ATTENDANCE DAILY'!$AV$4:$AV$663,$CC22)),AW$14&gt;_xlfn.SINGLE(INDEX('[1]ATTENDANCE DAILY'!$AW$4:$AW$663,$CC22))),"",IF(_xlfn.SINGLE(INDEX('[1]ATTENDANCE DAILY'!$I$4:$AM$663,$CC22,DAY(AW$14)))="T-Late","T-L",IF(_xlfn.SINGLE(INDEX('[1]ATTENDANCE DAILY'!$I$4:$AM$663,$CC22,DAY(AW$14)))="T-Cutting","T-C",INDEX('[1]ATTENDANCE DAILY'!$I$4:$AM$663,$CC22,DAY(AW$14)))))),IFERROR(IF(_xlpm._r=0,"",_xlpm._r),""))</f>
        <v/>
      </c>
      <c r="AX22" s="55"/>
      <c r="AY22" s="57" t="str">
        <f>_xlfn.LET(_xlpm._r,_xlfn.SINGLE(IF(OR($CC22="",AY$14="",AY$14&lt;_xlfn.SINGLE(INDEX('[1]ATTENDANCE DAILY'!$AV$4:$AV$663,$CC22)),AY$14&gt;_xlfn.SINGLE(INDEX('[1]ATTENDANCE DAILY'!$AW$4:$AW$663,$CC22))),"",IF(_xlfn.SINGLE(INDEX('[1]ATTENDANCE DAILY'!$I$4:$AM$663,$CC22,DAY(AY$14)))="T-Late","T-L",IF(_xlfn.SINGLE(INDEX('[1]ATTENDANCE DAILY'!$I$4:$AM$663,$CC22,DAY(AY$14)))="T-Cutting","T-C",INDEX('[1]ATTENDANCE DAILY'!$I$4:$AM$663,$CC22,DAY(AY$14)))))),IFERROR(IF(_xlpm._r=0,"",_xlpm._r),""))</f>
        <v/>
      </c>
      <c r="AZ22" s="58"/>
      <c r="BA22" s="55"/>
      <c r="BB22" s="57" t="str">
        <f>_xlfn.LET(_xlpm._r,_xlfn.SINGLE(IF(OR($CC22="",BB$14="",BB$14&lt;_xlfn.SINGLE(INDEX('[1]ATTENDANCE DAILY'!$AV$4:$AV$663,$CC22)),BB$14&gt;_xlfn.SINGLE(INDEX('[1]ATTENDANCE DAILY'!$AW$4:$AW$663,$CC22))),"",IF(_xlfn.SINGLE(INDEX('[1]ATTENDANCE DAILY'!$I$4:$AM$663,$CC22,DAY(BB$14)))="T-Late","T-L",IF(_xlfn.SINGLE(INDEX('[1]ATTENDANCE DAILY'!$I$4:$AM$663,$CC22,DAY(BB$14)))="T-Cutting","T-C",INDEX('[1]ATTENDANCE DAILY'!$I$4:$AM$663,$CC22,DAY(BB$14)))))),IFERROR(IF(_xlpm._r=0,"",_xlpm._r),""))</f>
        <v/>
      </c>
      <c r="BC22" s="55"/>
      <c r="BD22" s="56" t="str">
        <f>_xlfn.LET(_xlpm._r,_xlfn.SINGLE(IF(OR($CC22="",BD$14="",BD$14&lt;_xlfn.SINGLE(INDEX('[1]ATTENDANCE DAILY'!$AV$4:$AV$663,$CC22)),BD$14&gt;_xlfn.SINGLE(INDEX('[1]ATTENDANCE DAILY'!$AW$4:$AW$663,$CC22))),"",IF(_xlfn.SINGLE(INDEX('[1]ATTENDANCE DAILY'!$I$4:$AM$663,$CC22,DAY(BD$14)))="T-Late","T-L",IF(_xlfn.SINGLE(INDEX('[1]ATTENDANCE DAILY'!$I$4:$AM$663,$CC22,DAY(BD$14)))="T-Cutting","T-C",INDEX('[1]ATTENDANCE DAILY'!$I$4:$AM$663,$CC22,DAY(BD$14)))))),IFERROR(IF(_xlpm._r=0,"",_xlpm._r),""))</f>
        <v/>
      </c>
      <c r="BE22" s="57" t="str">
        <f>_xlfn.LET(_xlpm._r,_xlfn.SINGLE(IF(OR($CC22="",BE$14="",BE$14&lt;_xlfn.SINGLE(INDEX('[1]ATTENDANCE DAILY'!$AV$4:$AV$663,$CC22)),BE$14&gt;_xlfn.SINGLE(INDEX('[1]ATTENDANCE DAILY'!$AW$4:$AW$663,$CC22))),"",IF(_xlfn.SINGLE(INDEX('[1]ATTENDANCE DAILY'!$I$4:$AM$663,$CC22,DAY(BE$14)))="T-Late","T-L",IF(_xlfn.SINGLE(INDEX('[1]ATTENDANCE DAILY'!$I$4:$AM$663,$CC22,DAY(BE$14)))="T-Cutting","T-C",INDEX('[1]ATTENDANCE DAILY'!$I$4:$AM$663,$CC22,DAY(BE$14)))))),IFERROR(IF(_xlpm._r=0,"",_xlpm._r),""))</f>
        <v/>
      </c>
      <c r="BF22" s="58"/>
      <c r="BG22" s="58"/>
      <c r="BH22" s="86"/>
      <c r="BI22" s="88">
        <f>IF($CC22="","",INDEX('[1]ATTENDANCE DAILY'!$AR$4:$AR$663,$CC22))</f>
        <v>0</v>
      </c>
      <c r="BJ22" s="89"/>
      <c r="BK22" s="90"/>
      <c r="BL22" s="88">
        <f>IF($CC22="","",INDEX('[1]ATTENDANCE DAILY'!$AS$4:$AS$663,$CC22))</f>
        <v>23</v>
      </c>
      <c r="BM22" s="89"/>
      <c r="BN22" s="89"/>
      <c r="BO22" s="90"/>
      <c r="BP22" s="91" t="str">
        <f>IF($CC22="","",IF(INDEX('[1]ATTENDANCE DAILY'!$AN$4:$AN$663,$CC22)="","",INDEX('[1]ATTENDANCE DAILY'!$AN$4:$AN$663,$CC22)&amp;IF(INDEX('[1]ATTENDANCE DAILY'!$AO$4:$AO$663,$CC22)="",""," ("&amp;TEXT(INDEX('[1]ATTENDANCE DAILY'!$AO$4:$AO$663,$CC22),"mm-dd-yyyy")&amp;")")&amp;IF(INDEX('[1]ATTENDANCE DAILY'!$AP$4:$AP$663,$CC22)="",""," - "&amp;INDEX('[1]ATTENDANCE DAILY'!$AP$4:$AP$663,$CC22))))</f>
        <v/>
      </c>
      <c r="BQ22" s="89"/>
      <c r="BR22" s="89"/>
      <c r="BS22" s="89"/>
      <c r="BT22" s="89"/>
      <c r="BU22" s="89"/>
      <c r="BV22" s="89"/>
      <c r="BW22" s="89"/>
      <c r="BX22" s="89"/>
      <c r="BY22" s="89"/>
      <c r="BZ22" s="89"/>
      <c r="CA22" s="90"/>
      <c r="CC22">
        <f>IF(COUNTIFS('[1]ATTENDANCE DAILY'!$C$4:$C$663,$BN$11,'[1]ATTENDANCE DAILY'!$F$4:$F$663,"Male",'[1]ATTENDANCE DAILY'!$G$4:$G$663,1,'[1]ATTENDANCE DAILY'!$BA$4:$BA$663,5)=0,"",SUMIFS('[1]ATTENDANCE DAILY'!$A$4:$A$663,'[1]ATTENDANCE DAILY'!$C$4:$C$663,$BN$11,'[1]ATTENDANCE DAILY'!$F$4:$F$663,"Male",'[1]ATTENDANCE DAILY'!$G$4:$G$663,1,'[1]ATTENDANCE DAILY'!$BA$4:$BA$663,5))</f>
        <v>65</v>
      </c>
    </row>
    <row r="23" spans="1:81" ht="19.95" customHeight="1">
      <c r="A23" s="80">
        <v>6</v>
      </c>
      <c r="B23" s="81"/>
      <c r="C23" s="81"/>
      <c r="D23" s="81"/>
      <c r="E23" s="81"/>
      <c r="F23" s="82"/>
      <c r="G23" s="83" t="str">
        <f>IF($CC23="","",INDEX('[1]ATTENDANCE DAILY'!$E$4:$E$663,$CC23))</f>
        <v>GARCIA, KIRK NATHAN BOLSICO</v>
      </c>
      <c r="H23" s="84"/>
      <c r="I23" s="84"/>
      <c r="J23" s="85"/>
      <c r="K23" s="54" t="str">
        <f>_xlfn.LET(_xlpm._r,_xlfn.SINGLE(IF(OR($CC23="",K$14="",K$14&lt;_xlfn.SINGLE(INDEX('[1]ATTENDANCE DAILY'!$AV$4:$AV$663,$CC23)),K$14&gt;_xlfn.SINGLE(INDEX('[1]ATTENDANCE DAILY'!$AW$4:$AW$663,$CC23))),"",IF(_xlfn.SINGLE(INDEX('[1]ATTENDANCE DAILY'!$I$4:$AM$663,$CC23,DAY(K$14)))="T-Late","T-L",IF(_xlfn.SINGLE(INDEX('[1]ATTENDANCE DAILY'!$I$4:$AM$663,$CC23,DAY(K$14)))="T-Cutting","T-C",INDEX('[1]ATTENDANCE DAILY'!$I$4:$AM$663,$CC23,DAY(K$14)))))),IFERROR(IF(_xlpm._r=0,"",_xlpm._r),""))</f>
        <v/>
      </c>
      <c r="L23" s="55"/>
      <c r="M23" s="56" t="str">
        <f>_xlfn.LET(_xlpm._r,_xlfn.SINGLE(IF(OR($CC23="",M$14="",M$14&lt;_xlfn.SINGLE(INDEX('[1]ATTENDANCE DAILY'!$AV$4:$AV$663,$CC23)),M$14&gt;_xlfn.SINGLE(INDEX('[1]ATTENDANCE DAILY'!$AW$4:$AW$663,$CC23))),"",IF(_xlfn.SINGLE(INDEX('[1]ATTENDANCE DAILY'!$I$4:$AM$663,$CC23,DAY(M$14)))="T-Late","T-L",IF(_xlfn.SINGLE(INDEX('[1]ATTENDANCE DAILY'!$I$4:$AM$663,$CC23,DAY(M$14)))="T-Cutting","T-C",INDEX('[1]ATTENDANCE DAILY'!$I$4:$AM$663,$CC23,DAY(M$14)))))),IFERROR(IF(_xlpm._r=0,"",_xlpm._r),""))</f>
        <v/>
      </c>
      <c r="N23" s="56" t="str">
        <f>_xlfn.LET(_xlpm._r,_xlfn.SINGLE(IF(OR($CC23="",N$14="",N$14&lt;_xlfn.SINGLE(INDEX('[1]ATTENDANCE DAILY'!$AV$4:$AV$663,$CC23)),N$14&gt;_xlfn.SINGLE(INDEX('[1]ATTENDANCE DAILY'!$AW$4:$AW$663,$CC23))),"",IF(_xlfn.SINGLE(INDEX('[1]ATTENDANCE DAILY'!$I$4:$AM$663,$CC23,DAY(N$14)))="T-Late","T-L",IF(_xlfn.SINGLE(INDEX('[1]ATTENDANCE DAILY'!$I$4:$AM$663,$CC23,DAY(N$14)))="T-Cutting","T-C",INDEX('[1]ATTENDANCE DAILY'!$I$4:$AM$663,$CC23,DAY(N$14)))))),IFERROR(IF(_xlpm._r=0,"",_xlpm._r),""))</f>
        <v/>
      </c>
      <c r="O23" s="57" t="str">
        <f>_xlfn.LET(_xlpm._r,_xlfn.SINGLE(IF(OR($CC23="",O$14="",O$14&lt;_xlfn.SINGLE(INDEX('[1]ATTENDANCE DAILY'!$AV$4:$AV$663,$CC23)),O$14&gt;_xlfn.SINGLE(INDEX('[1]ATTENDANCE DAILY'!$AW$4:$AW$663,$CC23))),"",IF(_xlfn.SINGLE(INDEX('[1]ATTENDANCE DAILY'!$I$4:$AM$663,$CC23,DAY(O$14)))="T-Late","T-L",IF(_xlfn.SINGLE(INDEX('[1]ATTENDANCE DAILY'!$I$4:$AM$663,$CC23,DAY(O$14)))="T-Cutting","T-C",INDEX('[1]ATTENDANCE DAILY'!$I$4:$AM$663,$CC23,DAY(O$14)))))),IFERROR(IF(_xlpm._r=0,"",_xlpm._r),""))</f>
        <v/>
      </c>
      <c r="P23" s="58"/>
      <c r="Q23" s="58"/>
      <c r="R23" s="55"/>
      <c r="S23" s="57" t="str">
        <f>_xlfn.LET(_xlpm._r,_xlfn.SINGLE(IF(OR($CC23="",S$14="",S$14&lt;_xlfn.SINGLE(INDEX('[1]ATTENDANCE DAILY'!$AV$4:$AV$663,$CC23)),S$14&gt;_xlfn.SINGLE(INDEX('[1]ATTENDANCE DAILY'!$AW$4:$AW$663,$CC23))),"",IF(_xlfn.SINGLE(INDEX('[1]ATTENDANCE DAILY'!$I$4:$AM$663,$CC23,DAY(S$14)))="T-Late","T-L",IF(_xlfn.SINGLE(INDEX('[1]ATTENDANCE DAILY'!$I$4:$AM$663,$CC23,DAY(S$14)))="T-Cutting","T-C",INDEX('[1]ATTENDANCE DAILY'!$I$4:$AM$663,$CC23,DAY(S$14)))))),IFERROR(IF(_xlpm._r=0,"",_xlpm._r),""))</f>
        <v/>
      </c>
      <c r="T23" s="58"/>
      <c r="U23" s="86"/>
      <c r="V23" s="59" t="str">
        <f>_xlfn.LET(_xlpm._r,_xlfn.SINGLE(IF(OR($CC23="",V$14="",V$14&lt;_xlfn.SINGLE(INDEX('[1]ATTENDANCE DAILY'!$AV$4:$AV$663,$CC23)),V$14&gt;_xlfn.SINGLE(INDEX('[1]ATTENDANCE DAILY'!$AW$4:$AW$663,$CC23))),"",IF(_xlfn.SINGLE(INDEX('[1]ATTENDANCE DAILY'!$I$4:$AM$663,$CC23,DAY(V$14)))="T-Late","T-L",IF(_xlfn.SINGLE(INDEX('[1]ATTENDANCE DAILY'!$I$4:$AM$663,$CC23,DAY(V$14)))="T-Cutting","T-C",INDEX('[1]ATTENDANCE DAILY'!$I$4:$AM$663,$CC23,DAY(V$14)))))),IFERROR(IF(_xlpm._r=0,"",_xlpm._r),""))</f>
        <v/>
      </c>
      <c r="W23" s="57" t="str">
        <f>_xlfn.LET(_xlpm._r,_xlfn.SINGLE(IF(OR($CC23="",W$14="",W$14&lt;_xlfn.SINGLE(INDEX('[1]ATTENDANCE DAILY'!$AV$4:$AV$663,$CC23)),W$14&gt;_xlfn.SINGLE(INDEX('[1]ATTENDANCE DAILY'!$AW$4:$AW$663,$CC23))),"",IF(_xlfn.SINGLE(INDEX('[1]ATTENDANCE DAILY'!$I$4:$AM$663,$CC23,DAY(W$14)))="T-Late","T-L",IF(_xlfn.SINGLE(INDEX('[1]ATTENDANCE DAILY'!$I$4:$AM$663,$CC23,DAY(W$14)))="T-Cutting","T-C",INDEX('[1]ATTENDANCE DAILY'!$I$4:$AM$663,$CC23,DAY(W$14)))))),IFERROR(IF(_xlpm._r=0,"",_xlpm._r),""))</f>
        <v/>
      </c>
      <c r="X23" s="58"/>
      <c r="Y23" s="55"/>
      <c r="Z23" s="56" t="str">
        <f>_xlfn.LET(_xlpm._r,_xlfn.SINGLE(IF(OR($CC23="",Z$14="",Z$14&lt;_xlfn.SINGLE(INDEX('[1]ATTENDANCE DAILY'!$AV$4:$AV$663,$CC23)),Z$14&gt;_xlfn.SINGLE(INDEX('[1]ATTENDANCE DAILY'!$AW$4:$AW$663,$CC23))),"",IF(_xlfn.SINGLE(INDEX('[1]ATTENDANCE DAILY'!$I$4:$AM$663,$CC23,DAY(Z$14)))="T-Late","T-L",IF(_xlfn.SINGLE(INDEX('[1]ATTENDANCE DAILY'!$I$4:$AM$663,$CC23,DAY(Z$14)))="T-Cutting","T-C",INDEX('[1]ATTENDANCE DAILY'!$I$4:$AM$663,$CC23,DAY(Z$14)))))),IFERROR(IF(_xlpm._r=0,"",_xlpm._r),""))</f>
        <v/>
      </c>
      <c r="AA23" s="56" t="str">
        <f>_xlfn.LET(_xlpm._r,_xlfn.SINGLE(IF(OR($CC23="",AA$14="",AA$14&lt;_xlfn.SINGLE(INDEX('[1]ATTENDANCE DAILY'!$AV$4:$AV$663,$CC23)),AA$14&gt;_xlfn.SINGLE(INDEX('[1]ATTENDANCE DAILY'!$AW$4:$AW$663,$CC23))),"",IF(_xlfn.SINGLE(INDEX('[1]ATTENDANCE DAILY'!$I$4:$AM$663,$CC23,DAY(AA$14)))="T-Late","T-L",IF(_xlfn.SINGLE(INDEX('[1]ATTENDANCE DAILY'!$I$4:$AM$663,$CC23,DAY(AA$14)))="T-Cutting","T-C",INDEX('[1]ATTENDANCE DAILY'!$I$4:$AM$663,$CC23,DAY(AA$14)))))),IFERROR(IF(_xlpm._r=0,"",_xlpm._r),""))</f>
        <v/>
      </c>
      <c r="AB23" s="57" t="str">
        <f>_xlfn.LET(_xlpm._r,_xlfn.SINGLE(IF(OR($CC23="",AB$14="",AB$14&lt;_xlfn.SINGLE(INDEX('[1]ATTENDANCE DAILY'!$AV$4:$AV$663,$CC23)),AB$14&gt;_xlfn.SINGLE(INDEX('[1]ATTENDANCE DAILY'!$AW$4:$AW$663,$CC23))),"",IF(_xlfn.SINGLE(INDEX('[1]ATTENDANCE DAILY'!$I$4:$AM$663,$CC23,DAY(AB$14)))="T-Late","T-L",IF(_xlfn.SINGLE(INDEX('[1]ATTENDANCE DAILY'!$I$4:$AM$663,$CC23,DAY(AB$14)))="T-Cutting","T-C",INDEX('[1]ATTENDANCE DAILY'!$I$4:$AM$663,$CC23,DAY(AB$14)))))),IFERROR(IF(_xlpm._r=0,"",_xlpm._r),""))</f>
        <v/>
      </c>
      <c r="AC23" s="58"/>
      <c r="AD23" s="86"/>
      <c r="AE23" s="54" t="str">
        <f>_xlfn.LET(_xlpm._r,_xlfn.SINGLE(IF(OR($CC23="",AE$14="",AE$14&lt;_xlfn.SINGLE(INDEX('[1]ATTENDANCE DAILY'!$AV$4:$AV$663,$CC23)),AE$14&gt;_xlfn.SINGLE(INDEX('[1]ATTENDANCE DAILY'!$AW$4:$AW$663,$CC23))),"",IF(_xlfn.SINGLE(INDEX('[1]ATTENDANCE DAILY'!$I$4:$AM$663,$CC23,DAY(AE$14)))="T-Late","T-L",IF(_xlfn.SINGLE(INDEX('[1]ATTENDANCE DAILY'!$I$4:$AM$663,$CC23,DAY(AE$14)))="T-Cutting","T-C",INDEX('[1]ATTENDANCE DAILY'!$I$4:$AM$663,$CC23,DAY(AE$14)))))),IFERROR(IF(_xlpm._r=0,"",_xlpm._r),""))</f>
        <v/>
      </c>
      <c r="AF23" s="58"/>
      <c r="AG23" s="55"/>
      <c r="AH23" s="56" t="str">
        <f>_xlfn.LET(_xlpm._r,_xlfn.SINGLE(IF(OR($CC23="",AH$14="",AH$14&lt;_xlfn.SINGLE(INDEX('[1]ATTENDANCE DAILY'!$AV$4:$AV$663,$CC23)),AH$14&gt;_xlfn.SINGLE(INDEX('[1]ATTENDANCE DAILY'!$AW$4:$AW$663,$CC23))),"",IF(_xlfn.SINGLE(INDEX('[1]ATTENDANCE DAILY'!$I$4:$AM$663,$CC23,DAY(AH$14)))="T-Late","T-L",IF(_xlfn.SINGLE(INDEX('[1]ATTENDANCE DAILY'!$I$4:$AM$663,$CC23,DAY(AH$14)))="T-Cutting","T-C",INDEX('[1]ATTENDANCE DAILY'!$I$4:$AM$663,$CC23,DAY(AH$14)))))),IFERROR(IF(_xlpm._r=0,"",_xlpm._r),""))</f>
        <v/>
      </c>
      <c r="AI23" s="57" t="str">
        <f>_xlfn.LET(_xlpm._r,_xlfn.SINGLE(IF(OR($CC23="",AI$14="",AI$14&lt;_xlfn.SINGLE(INDEX('[1]ATTENDANCE DAILY'!$AV$4:$AV$663,$CC23)),AI$14&gt;_xlfn.SINGLE(INDEX('[1]ATTENDANCE DAILY'!$AW$4:$AW$663,$CC23))),"",IF(_xlfn.SINGLE(INDEX('[1]ATTENDANCE DAILY'!$I$4:$AM$663,$CC23,DAY(AI$14)))="T-Late","T-L",IF(_xlfn.SINGLE(INDEX('[1]ATTENDANCE DAILY'!$I$4:$AM$663,$CC23,DAY(AI$14)))="T-Cutting","T-C",INDEX('[1]ATTENDANCE DAILY'!$I$4:$AM$663,$CC23,DAY(AI$14)))))),IFERROR(IF(_xlpm._r=0,"",_xlpm._r),""))</f>
        <v/>
      </c>
      <c r="AJ23" s="58"/>
      <c r="AK23" s="55"/>
      <c r="AL23" s="57" t="str">
        <f>_xlfn.LET(_xlpm._r,_xlfn.SINGLE(IF(OR($CC23="",AL$14="",AL$14&lt;_xlfn.SINGLE(INDEX('[1]ATTENDANCE DAILY'!$AV$4:$AV$663,$CC23)),AL$14&gt;_xlfn.SINGLE(INDEX('[1]ATTENDANCE DAILY'!$AW$4:$AW$663,$CC23))),"",IF(_xlfn.SINGLE(INDEX('[1]ATTENDANCE DAILY'!$I$4:$AM$663,$CC23,DAY(AL$14)))="T-Late","T-L",IF(_xlfn.SINGLE(INDEX('[1]ATTENDANCE DAILY'!$I$4:$AM$663,$CC23,DAY(AL$14)))="T-Cutting","T-C",INDEX('[1]ATTENDANCE DAILY'!$I$4:$AM$663,$CC23,DAY(AL$14)))))),IFERROR(IF(_xlpm._r=0,"",_xlpm._r),""))</f>
        <v/>
      </c>
      <c r="AM23" s="55"/>
      <c r="AN23" s="57" t="str">
        <f>_xlfn.LET(_xlpm._r,_xlfn.SINGLE(IF(OR($CC23="",AN$14="",AN$14&lt;_xlfn.SINGLE(INDEX('[1]ATTENDANCE DAILY'!$AV$4:$AV$663,$CC23)),AN$14&gt;_xlfn.SINGLE(INDEX('[1]ATTENDANCE DAILY'!$AW$4:$AW$663,$CC23))),"",IF(_xlfn.SINGLE(INDEX('[1]ATTENDANCE DAILY'!$I$4:$AM$663,$CC23,DAY(AN$14)))="T-Late","T-L",IF(_xlfn.SINGLE(INDEX('[1]ATTENDANCE DAILY'!$I$4:$AM$663,$CC23,DAY(AN$14)))="T-Cutting","T-C",INDEX('[1]ATTENDANCE DAILY'!$I$4:$AM$663,$CC23,DAY(AN$14)))))),IFERROR(IF(_xlpm._r=0,"",_xlpm._r),""))</f>
        <v/>
      </c>
      <c r="AO23" s="86"/>
      <c r="AP23" s="54" t="str">
        <f>_xlfn.LET(_xlpm._r,_xlfn.SINGLE(IF(OR($CC23="",AP$14="",AP$14&lt;_xlfn.SINGLE(INDEX('[1]ATTENDANCE DAILY'!$AV$4:$AV$663,$CC23)),AP$14&gt;_xlfn.SINGLE(INDEX('[1]ATTENDANCE DAILY'!$AW$4:$AW$663,$CC23))),"",IF(_xlfn.SINGLE(INDEX('[1]ATTENDANCE DAILY'!$I$4:$AM$663,$CC23,DAY(AP$14)))="T-Late","T-L",IF(_xlfn.SINGLE(INDEX('[1]ATTENDANCE DAILY'!$I$4:$AM$663,$CC23,DAY(AP$14)))="T-Cutting","T-C",INDEX('[1]ATTENDANCE DAILY'!$I$4:$AM$663,$CC23,DAY(AP$14)))))),IFERROR(IF(_xlpm._r=0,"",_xlpm._r),""))</f>
        <v/>
      </c>
      <c r="AQ23" s="55"/>
      <c r="AR23" s="56" t="str">
        <f>_xlfn.LET(_xlpm._r,_xlfn.SINGLE(IF(OR($CC23="",AR$14="",AR$14&lt;_xlfn.SINGLE(INDEX('[1]ATTENDANCE DAILY'!$AV$4:$AV$663,$CC23)),AR$14&gt;_xlfn.SINGLE(INDEX('[1]ATTENDANCE DAILY'!$AW$4:$AW$663,$CC23))),"",IF(_xlfn.SINGLE(INDEX('[1]ATTENDANCE DAILY'!$I$4:$AM$663,$CC23,DAY(AR$14)))="T-Late","T-L",IF(_xlfn.SINGLE(INDEX('[1]ATTENDANCE DAILY'!$I$4:$AM$663,$CC23,DAY(AR$14)))="T-Cutting","T-C",INDEX('[1]ATTENDANCE DAILY'!$I$4:$AM$663,$CC23,DAY(AR$14)))))),IFERROR(IF(_xlpm._r=0,"",_xlpm._r),""))</f>
        <v/>
      </c>
      <c r="AS23" s="57" t="str">
        <f>_xlfn.LET(_xlpm._r,_xlfn.SINGLE(IF(OR($CC23="",AS$14="",AS$14&lt;_xlfn.SINGLE(INDEX('[1]ATTENDANCE DAILY'!$AV$4:$AV$663,$CC23)),AS$14&gt;_xlfn.SINGLE(INDEX('[1]ATTENDANCE DAILY'!$AW$4:$AW$663,$CC23))),"",IF(_xlfn.SINGLE(INDEX('[1]ATTENDANCE DAILY'!$I$4:$AM$663,$CC23,DAY(AS$14)))="T-Late","T-L",IF(_xlfn.SINGLE(INDEX('[1]ATTENDANCE DAILY'!$I$4:$AM$663,$CC23,DAY(AS$14)))="T-Cutting","T-C",INDEX('[1]ATTENDANCE DAILY'!$I$4:$AM$663,$CC23,DAY(AS$14)))))),IFERROR(IF(_xlpm._r=0,"",_xlpm._r),""))</f>
        <v/>
      </c>
      <c r="AT23" s="55"/>
      <c r="AU23" s="56" t="str">
        <f>_xlfn.LET(_xlpm._r,_xlfn.SINGLE(IF(OR($CC23="",AU$14="",AU$14&lt;_xlfn.SINGLE(INDEX('[1]ATTENDANCE DAILY'!$AV$4:$AV$663,$CC23)),AU$14&gt;_xlfn.SINGLE(INDEX('[1]ATTENDANCE DAILY'!$AW$4:$AW$663,$CC23))),"",IF(_xlfn.SINGLE(INDEX('[1]ATTENDANCE DAILY'!$I$4:$AM$663,$CC23,DAY(AU$14)))="T-Late","T-L",IF(_xlfn.SINGLE(INDEX('[1]ATTENDANCE DAILY'!$I$4:$AM$663,$CC23,DAY(AU$14)))="T-Cutting","T-C",INDEX('[1]ATTENDANCE DAILY'!$I$4:$AM$663,$CC23,DAY(AU$14)))))),IFERROR(IF(_xlpm._r=0,"",_xlpm._r),""))</f>
        <v/>
      </c>
      <c r="AV23" s="87" t="str">
        <f>_xlfn.LET(_xlpm._r,_xlfn.SINGLE(IF(OR($CC23="",AV$14="",AV$14&lt;_xlfn.SINGLE(INDEX('[1]ATTENDANCE DAILY'!$AV$4:$AV$663,$CC23)),AV$14&gt;_xlfn.SINGLE(INDEX('[1]ATTENDANCE DAILY'!$AW$4:$AW$663,$CC23))),"",IF(_xlfn.SINGLE(INDEX('[1]ATTENDANCE DAILY'!$I$4:$AM$663,$CC23,DAY(AV$14)))="T-Late","T-L",IF(_xlfn.SINGLE(INDEX('[1]ATTENDANCE DAILY'!$I$4:$AM$663,$CC23,DAY(AV$14)))="T-Cutting","T-C",INDEX('[1]ATTENDANCE DAILY'!$I$4:$AM$663,$CC23,DAY(AV$14)))))),IFERROR(IF(_xlpm._r=0,"",_xlpm._r),""))</f>
        <v/>
      </c>
      <c r="AW23" s="54" t="str">
        <f>_xlfn.LET(_xlpm._r,_xlfn.SINGLE(IF(OR($CC23="",AW$14="",AW$14&lt;_xlfn.SINGLE(INDEX('[1]ATTENDANCE DAILY'!$AV$4:$AV$663,$CC23)),AW$14&gt;_xlfn.SINGLE(INDEX('[1]ATTENDANCE DAILY'!$AW$4:$AW$663,$CC23))),"",IF(_xlfn.SINGLE(INDEX('[1]ATTENDANCE DAILY'!$I$4:$AM$663,$CC23,DAY(AW$14)))="T-Late","T-L",IF(_xlfn.SINGLE(INDEX('[1]ATTENDANCE DAILY'!$I$4:$AM$663,$CC23,DAY(AW$14)))="T-Cutting","T-C",INDEX('[1]ATTENDANCE DAILY'!$I$4:$AM$663,$CC23,DAY(AW$14)))))),IFERROR(IF(_xlpm._r=0,"",_xlpm._r),""))</f>
        <v/>
      </c>
      <c r="AX23" s="55"/>
      <c r="AY23" s="57" t="str">
        <f>_xlfn.LET(_xlpm._r,_xlfn.SINGLE(IF(OR($CC23="",AY$14="",AY$14&lt;_xlfn.SINGLE(INDEX('[1]ATTENDANCE DAILY'!$AV$4:$AV$663,$CC23)),AY$14&gt;_xlfn.SINGLE(INDEX('[1]ATTENDANCE DAILY'!$AW$4:$AW$663,$CC23))),"",IF(_xlfn.SINGLE(INDEX('[1]ATTENDANCE DAILY'!$I$4:$AM$663,$CC23,DAY(AY$14)))="T-Late","T-L",IF(_xlfn.SINGLE(INDEX('[1]ATTENDANCE DAILY'!$I$4:$AM$663,$CC23,DAY(AY$14)))="T-Cutting","T-C",INDEX('[1]ATTENDANCE DAILY'!$I$4:$AM$663,$CC23,DAY(AY$14)))))),IFERROR(IF(_xlpm._r=0,"",_xlpm._r),""))</f>
        <v/>
      </c>
      <c r="AZ23" s="58"/>
      <c r="BA23" s="55"/>
      <c r="BB23" s="57" t="str">
        <f>_xlfn.LET(_xlpm._r,_xlfn.SINGLE(IF(OR($CC23="",BB$14="",BB$14&lt;_xlfn.SINGLE(INDEX('[1]ATTENDANCE DAILY'!$AV$4:$AV$663,$CC23)),BB$14&gt;_xlfn.SINGLE(INDEX('[1]ATTENDANCE DAILY'!$AW$4:$AW$663,$CC23))),"",IF(_xlfn.SINGLE(INDEX('[1]ATTENDANCE DAILY'!$I$4:$AM$663,$CC23,DAY(BB$14)))="T-Late","T-L",IF(_xlfn.SINGLE(INDEX('[1]ATTENDANCE DAILY'!$I$4:$AM$663,$CC23,DAY(BB$14)))="T-Cutting","T-C",INDEX('[1]ATTENDANCE DAILY'!$I$4:$AM$663,$CC23,DAY(BB$14)))))),IFERROR(IF(_xlpm._r=0,"",_xlpm._r),""))</f>
        <v/>
      </c>
      <c r="BC23" s="55"/>
      <c r="BD23" s="56" t="str">
        <f>_xlfn.LET(_xlpm._r,_xlfn.SINGLE(IF(OR($CC23="",BD$14="",BD$14&lt;_xlfn.SINGLE(INDEX('[1]ATTENDANCE DAILY'!$AV$4:$AV$663,$CC23)),BD$14&gt;_xlfn.SINGLE(INDEX('[1]ATTENDANCE DAILY'!$AW$4:$AW$663,$CC23))),"",IF(_xlfn.SINGLE(INDEX('[1]ATTENDANCE DAILY'!$I$4:$AM$663,$CC23,DAY(BD$14)))="T-Late","T-L",IF(_xlfn.SINGLE(INDEX('[1]ATTENDANCE DAILY'!$I$4:$AM$663,$CC23,DAY(BD$14)))="T-Cutting","T-C",INDEX('[1]ATTENDANCE DAILY'!$I$4:$AM$663,$CC23,DAY(BD$14)))))),IFERROR(IF(_xlpm._r=0,"",_xlpm._r),""))</f>
        <v/>
      </c>
      <c r="BE23" s="57" t="str">
        <f>_xlfn.LET(_xlpm._r,_xlfn.SINGLE(IF(OR($CC23="",BE$14="",BE$14&lt;_xlfn.SINGLE(INDEX('[1]ATTENDANCE DAILY'!$AV$4:$AV$663,$CC23)),BE$14&gt;_xlfn.SINGLE(INDEX('[1]ATTENDANCE DAILY'!$AW$4:$AW$663,$CC23))),"",IF(_xlfn.SINGLE(INDEX('[1]ATTENDANCE DAILY'!$I$4:$AM$663,$CC23,DAY(BE$14)))="T-Late","T-L",IF(_xlfn.SINGLE(INDEX('[1]ATTENDANCE DAILY'!$I$4:$AM$663,$CC23,DAY(BE$14)))="T-Cutting","T-C",INDEX('[1]ATTENDANCE DAILY'!$I$4:$AM$663,$CC23,DAY(BE$14)))))),IFERROR(IF(_xlpm._r=0,"",_xlpm._r),""))</f>
        <v/>
      </c>
      <c r="BF23" s="58"/>
      <c r="BG23" s="58"/>
      <c r="BH23" s="86"/>
      <c r="BI23" s="88">
        <f>IF($CC23="","",INDEX('[1]ATTENDANCE DAILY'!$AR$4:$AR$663,$CC23))</f>
        <v>0</v>
      </c>
      <c r="BJ23" s="89"/>
      <c r="BK23" s="90"/>
      <c r="BL23" s="88">
        <f>IF($CC23="","",INDEX('[1]ATTENDANCE DAILY'!$AS$4:$AS$663,$CC23))</f>
        <v>23</v>
      </c>
      <c r="BM23" s="89"/>
      <c r="BN23" s="89"/>
      <c r="BO23" s="90"/>
      <c r="BP23" s="91" t="str">
        <f>IF($CC23="","",IF(INDEX('[1]ATTENDANCE DAILY'!$AN$4:$AN$663,$CC23)="","",INDEX('[1]ATTENDANCE DAILY'!$AN$4:$AN$663,$CC23)&amp;IF(INDEX('[1]ATTENDANCE DAILY'!$AO$4:$AO$663,$CC23)="",""," ("&amp;TEXT(INDEX('[1]ATTENDANCE DAILY'!$AO$4:$AO$663,$CC23),"mm-dd-yyyy")&amp;")")&amp;IF(INDEX('[1]ATTENDANCE DAILY'!$AP$4:$AP$663,$CC23)="",""," - "&amp;INDEX('[1]ATTENDANCE DAILY'!$AP$4:$AP$663,$CC23))))</f>
        <v/>
      </c>
      <c r="BQ23" s="89"/>
      <c r="BR23" s="89"/>
      <c r="BS23" s="89"/>
      <c r="BT23" s="89"/>
      <c r="BU23" s="89"/>
      <c r="BV23" s="89"/>
      <c r="BW23" s="89"/>
      <c r="BX23" s="89"/>
      <c r="BY23" s="89"/>
      <c r="BZ23" s="89"/>
      <c r="CA23" s="90"/>
      <c r="CC23">
        <f>IF(COUNTIFS('[1]ATTENDANCE DAILY'!$C$4:$C$663,$BN$11,'[1]ATTENDANCE DAILY'!$F$4:$F$663,"Male",'[1]ATTENDANCE DAILY'!$G$4:$G$663,1,'[1]ATTENDANCE DAILY'!$BA$4:$BA$663,6)=0,"",SUMIFS('[1]ATTENDANCE DAILY'!$A$4:$A$663,'[1]ATTENDANCE DAILY'!$C$4:$C$663,$BN$11,'[1]ATTENDANCE DAILY'!$F$4:$F$663,"Male",'[1]ATTENDANCE DAILY'!$G$4:$G$663,1,'[1]ATTENDANCE DAILY'!$BA$4:$BA$663,6))</f>
        <v>66</v>
      </c>
    </row>
    <row r="24" spans="1:81" ht="19.95" customHeight="1">
      <c r="A24" s="80">
        <v>7</v>
      </c>
      <c r="B24" s="81"/>
      <c r="C24" s="81"/>
      <c r="D24" s="81"/>
      <c r="E24" s="81"/>
      <c r="F24" s="82"/>
      <c r="G24" s="83" t="str">
        <f>IF($CC24="","",INDEX('[1]ATTENDANCE DAILY'!$E$4:$E$663,$CC24))</f>
        <v>GUEVARRA, SEAD SYRON CORPUZ</v>
      </c>
      <c r="H24" s="84"/>
      <c r="I24" s="84"/>
      <c r="J24" s="85"/>
      <c r="K24" s="54" t="str">
        <f>_xlfn.LET(_xlpm._r,_xlfn.SINGLE(IF(OR($CC24="",K$14="",K$14&lt;_xlfn.SINGLE(INDEX('[1]ATTENDANCE DAILY'!$AV$4:$AV$663,$CC24)),K$14&gt;_xlfn.SINGLE(INDEX('[1]ATTENDANCE DAILY'!$AW$4:$AW$663,$CC24))),"",IF(_xlfn.SINGLE(INDEX('[1]ATTENDANCE DAILY'!$I$4:$AM$663,$CC24,DAY(K$14)))="T-Late","T-L",IF(_xlfn.SINGLE(INDEX('[1]ATTENDANCE DAILY'!$I$4:$AM$663,$CC24,DAY(K$14)))="T-Cutting","T-C",INDEX('[1]ATTENDANCE DAILY'!$I$4:$AM$663,$CC24,DAY(K$14)))))),IFERROR(IF(_xlpm._r=0,"",_xlpm._r),""))</f>
        <v/>
      </c>
      <c r="L24" s="55"/>
      <c r="M24" s="56" t="str">
        <f>_xlfn.LET(_xlpm._r,_xlfn.SINGLE(IF(OR($CC24="",M$14="",M$14&lt;_xlfn.SINGLE(INDEX('[1]ATTENDANCE DAILY'!$AV$4:$AV$663,$CC24)),M$14&gt;_xlfn.SINGLE(INDEX('[1]ATTENDANCE DAILY'!$AW$4:$AW$663,$CC24))),"",IF(_xlfn.SINGLE(INDEX('[1]ATTENDANCE DAILY'!$I$4:$AM$663,$CC24,DAY(M$14)))="T-Late","T-L",IF(_xlfn.SINGLE(INDEX('[1]ATTENDANCE DAILY'!$I$4:$AM$663,$CC24,DAY(M$14)))="T-Cutting","T-C",INDEX('[1]ATTENDANCE DAILY'!$I$4:$AM$663,$CC24,DAY(M$14)))))),IFERROR(IF(_xlpm._r=0,"",_xlpm._r),""))</f>
        <v/>
      </c>
      <c r="N24" s="56" t="str">
        <f>_xlfn.LET(_xlpm._r,_xlfn.SINGLE(IF(OR($CC24="",N$14="",N$14&lt;_xlfn.SINGLE(INDEX('[1]ATTENDANCE DAILY'!$AV$4:$AV$663,$CC24)),N$14&gt;_xlfn.SINGLE(INDEX('[1]ATTENDANCE DAILY'!$AW$4:$AW$663,$CC24))),"",IF(_xlfn.SINGLE(INDEX('[1]ATTENDANCE DAILY'!$I$4:$AM$663,$CC24,DAY(N$14)))="T-Late","T-L",IF(_xlfn.SINGLE(INDEX('[1]ATTENDANCE DAILY'!$I$4:$AM$663,$CC24,DAY(N$14)))="T-Cutting","T-C",INDEX('[1]ATTENDANCE DAILY'!$I$4:$AM$663,$CC24,DAY(N$14)))))),IFERROR(IF(_xlpm._r=0,"",_xlpm._r),""))</f>
        <v/>
      </c>
      <c r="O24" s="57" t="str">
        <f>_xlfn.LET(_xlpm._r,_xlfn.SINGLE(IF(OR($CC24="",O$14="",O$14&lt;_xlfn.SINGLE(INDEX('[1]ATTENDANCE DAILY'!$AV$4:$AV$663,$CC24)),O$14&gt;_xlfn.SINGLE(INDEX('[1]ATTENDANCE DAILY'!$AW$4:$AW$663,$CC24))),"",IF(_xlfn.SINGLE(INDEX('[1]ATTENDANCE DAILY'!$I$4:$AM$663,$CC24,DAY(O$14)))="T-Late","T-L",IF(_xlfn.SINGLE(INDEX('[1]ATTENDANCE DAILY'!$I$4:$AM$663,$CC24,DAY(O$14)))="T-Cutting","T-C",INDEX('[1]ATTENDANCE DAILY'!$I$4:$AM$663,$CC24,DAY(O$14)))))),IFERROR(IF(_xlpm._r=0,"",_xlpm._r),""))</f>
        <v/>
      </c>
      <c r="P24" s="58"/>
      <c r="Q24" s="58"/>
      <c r="R24" s="55"/>
      <c r="S24" s="57" t="str">
        <f>_xlfn.LET(_xlpm._r,_xlfn.SINGLE(IF(OR($CC24="",S$14="",S$14&lt;_xlfn.SINGLE(INDEX('[1]ATTENDANCE DAILY'!$AV$4:$AV$663,$CC24)),S$14&gt;_xlfn.SINGLE(INDEX('[1]ATTENDANCE DAILY'!$AW$4:$AW$663,$CC24))),"",IF(_xlfn.SINGLE(INDEX('[1]ATTENDANCE DAILY'!$I$4:$AM$663,$CC24,DAY(S$14)))="T-Late","T-L",IF(_xlfn.SINGLE(INDEX('[1]ATTENDANCE DAILY'!$I$4:$AM$663,$CC24,DAY(S$14)))="T-Cutting","T-C",INDEX('[1]ATTENDANCE DAILY'!$I$4:$AM$663,$CC24,DAY(S$14)))))),IFERROR(IF(_xlpm._r=0,"",_xlpm._r),""))</f>
        <v/>
      </c>
      <c r="T24" s="58"/>
      <c r="U24" s="86"/>
      <c r="V24" s="59" t="str">
        <f>_xlfn.LET(_xlpm._r,_xlfn.SINGLE(IF(OR($CC24="",V$14="",V$14&lt;_xlfn.SINGLE(INDEX('[1]ATTENDANCE DAILY'!$AV$4:$AV$663,$CC24)),V$14&gt;_xlfn.SINGLE(INDEX('[1]ATTENDANCE DAILY'!$AW$4:$AW$663,$CC24))),"",IF(_xlfn.SINGLE(INDEX('[1]ATTENDANCE DAILY'!$I$4:$AM$663,$CC24,DAY(V$14)))="T-Late","T-L",IF(_xlfn.SINGLE(INDEX('[1]ATTENDANCE DAILY'!$I$4:$AM$663,$CC24,DAY(V$14)))="T-Cutting","T-C",INDEX('[1]ATTENDANCE DAILY'!$I$4:$AM$663,$CC24,DAY(V$14)))))),IFERROR(IF(_xlpm._r=0,"",_xlpm._r),""))</f>
        <v/>
      </c>
      <c r="W24" s="57" t="str">
        <f>_xlfn.LET(_xlpm._r,_xlfn.SINGLE(IF(OR($CC24="",W$14="",W$14&lt;_xlfn.SINGLE(INDEX('[1]ATTENDANCE DAILY'!$AV$4:$AV$663,$CC24)),W$14&gt;_xlfn.SINGLE(INDEX('[1]ATTENDANCE DAILY'!$AW$4:$AW$663,$CC24))),"",IF(_xlfn.SINGLE(INDEX('[1]ATTENDANCE DAILY'!$I$4:$AM$663,$CC24,DAY(W$14)))="T-Late","T-L",IF(_xlfn.SINGLE(INDEX('[1]ATTENDANCE DAILY'!$I$4:$AM$663,$CC24,DAY(W$14)))="T-Cutting","T-C",INDEX('[1]ATTENDANCE DAILY'!$I$4:$AM$663,$CC24,DAY(W$14)))))),IFERROR(IF(_xlpm._r=0,"",_xlpm._r),""))</f>
        <v/>
      </c>
      <c r="X24" s="58"/>
      <c r="Y24" s="55"/>
      <c r="Z24" s="56" t="str">
        <f>_xlfn.LET(_xlpm._r,_xlfn.SINGLE(IF(OR($CC24="",Z$14="",Z$14&lt;_xlfn.SINGLE(INDEX('[1]ATTENDANCE DAILY'!$AV$4:$AV$663,$CC24)),Z$14&gt;_xlfn.SINGLE(INDEX('[1]ATTENDANCE DAILY'!$AW$4:$AW$663,$CC24))),"",IF(_xlfn.SINGLE(INDEX('[1]ATTENDANCE DAILY'!$I$4:$AM$663,$CC24,DAY(Z$14)))="T-Late","T-L",IF(_xlfn.SINGLE(INDEX('[1]ATTENDANCE DAILY'!$I$4:$AM$663,$CC24,DAY(Z$14)))="T-Cutting","T-C",INDEX('[1]ATTENDANCE DAILY'!$I$4:$AM$663,$CC24,DAY(Z$14)))))),IFERROR(IF(_xlpm._r=0,"",_xlpm._r),""))</f>
        <v/>
      </c>
      <c r="AA24" s="56" t="str">
        <f>_xlfn.LET(_xlpm._r,_xlfn.SINGLE(IF(OR($CC24="",AA$14="",AA$14&lt;_xlfn.SINGLE(INDEX('[1]ATTENDANCE DAILY'!$AV$4:$AV$663,$CC24)),AA$14&gt;_xlfn.SINGLE(INDEX('[1]ATTENDANCE DAILY'!$AW$4:$AW$663,$CC24))),"",IF(_xlfn.SINGLE(INDEX('[1]ATTENDANCE DAILY'!$I$4:$AM$663,$CC24,DAY(AA$14)))="T-Late","T-L",IF(_xlfn.SINGLE(INDEX('[1]ATTENDANCE DAILY'!$I$4:$AM$663,$CC24,DAY(AA$14)))="T-Cutting","T-C",INDEX('[1]ATTENDANCE DAILY'!$I$4:$AM$663,$CC24,DAY(AA$14)))))),IFERROR(IF(_xlpm._r=0,"",_xlpm._r),""))</f>
        <v/>
      </c>
      <c r="AB24" s="57" t="str">
        <f>_xlfn.LET(_xlpm._r,_xlfn.SINGLE(IF(OR($CC24="",AB$14="",AB$14&lt;_xlfn.SINGLE(INDEX('[1]ATTENDANCE DAILY'!$AV$4:$AV$663,$CC24)),AB$14&gt;_xlfn.SINGLE(INDEX('[1]ATTENDANCE DAILY'!$AW$4:$AW$663,$CC24))),"",IF(_xlfn.SINGLE(INDEX('[1]ATTENDANCE DAILY'!$I$4:$AM$663,$CC24,DAY(AB$14)))="T-Late","T-L",IF(_xlfn.SINGLE(INDEX('[1]ATTENDANCE DAILY'!$I$4:$AM$663,$CC24,DAY(AB$14)))="T-Cutting","T-C",INDEX('[1]ATTENDANCE DAILY'!$I$4:$AM$663,$CC24,DAY(AB$14)))))),IFERROR(IF(_xlpm._r=0,"",_xlpm._r),""))</f>
        <v/>
      </c>
      <c r="AC24" s="58"/>
      <c r="AD24" s="86"/>
      <c r="AE24" s="54" t="str">
        <f>_xlfn.LET(_xlpm._r,_xlfn.SINGLE(IF(OR($CC24="",AE$14="",AE$14&lt;_xlfn.SINGLE(INDEX('[1]ATTENDANCE DAILY'!$AV$4:$AV$663,$CC24)),AE$14&gt;_xlfn.SINGLE(INDEX('[1]ATTENDANCE DAILY'!$AW$4:$AW$663,$CC24))),"",IF(_xlfn.SINGLE(INDEX('[1]ATTENDANCE DAILY'!$I$4:$AM$663,$CC24,DAY(AE$14)))="T-Late","T-L",IF(_xlfn.SINGLE(INDEX('[1]ATTENDANCE DAILY'!$I$4:$AM$663,$CC24,DAY(AE$14)))="T-Cutting","T-C",INDEX('[1]ATTENDANCE DAILY'!$I$4:$AM$663,$CC24,DAY(AE$14)))))),IFERROR(IF(_xlpm._r=0,"",_xlpm._r),""))</f>
        <v/>
      </c>
      <c r="AF24" s="58"/>
      <c r="AG24" s="55"/>
      <c r="AH24" s="56" t="str">
        <f>_xlfn.LET(_xlpm._r,_xlfn.SINGLE(IF(OR($CC24="",AH$14="",AH$14&lt;_xlfn.SINGLE(INDEX('[1]ATTENDANCE DAILY'!$AV$4:$AV$663,$CC24)),AH$14&gt;_xlfn.SINGLE(INDEX('[1]ATTENDANCE DAILY'!$AW$4:$AW$663,$CC24))),"",IF(_xlfn.SINGLE(INDEX('[1]ATTENDANCE DAILY'!$I$4:$AM$663,$CC24,DAY(AH$14)))="T-Late","T-L",IF(_xlfn.SINGLE(INDEX('[1]ATTENDANCE DAILY'!$I$4:$AM$663,$CC24,DAY(AH$14)))="T-Cutting","T-C",INDEX('[1]ATTENDANCE DAILY'!$I$4:$AM$663,$CC24,DAY(AH$14)))))),IFERROR(IF(_xlpm._r=0,"",_xlpm._r),""))</f>
        <v/>
      </c>
      <c r="AI24" s="57" t="str">
        <f>_xlfn.LET(_xlpm._r,_xlfn.SINGLE(IF(OR($CC24="",AI$14="",AI$14&lt;_xlfn.SINGLE(INDEX('[1]ATTENDANCE DAILY'!$AV$4:$AV$663,$CC24)),AI$14&gt;_xlfn.SINGLE(INDEX('[1]ATTENDANCE DAILY'!$AW$4:$AW$663,$CC24))),"",IF(_xlfn.SINGLE(INDEX('[1]ATTENDANCE DAILY'!$I$4:$AM$663,$CC24,DAY(AI$14)))="T-Late","T-L",IF(_xlfn.SINGLE(INDEX('[1]ATTENDANCE DAILY'!$I$4:$AM$663,$CC24,DAY(AI$14)))="T-Cutting","T-C",INDEX('[1]ATTENDANCE DAILY'!$I$4:$AM$663,$CC24,DAY(AI$14)))))),IFERROR(IF(_xlpm._r=0,"",_xlpm._r),""))</f>
        <v/>
      </c>
      <c r="AJ24" s="58"/>
      <c r="AK24" s="55"/>
      <c r="AL24" s="57" t="str">
        <f>_xlfn.LET(_xlpm._r,_xlfn.SINGLE(IF(OR($CC24="",AL$14="",AL$14&lt;_xlfn.SINGLE(INDEX('[1]ATTENDANCE DAILY'!$AV$4:$AV$663,$CC24)),AL$14&gt;_xlfn.SINGLE(INDEX('[1]ATTENDANCE DAILY'!$AW$4:$AW$663,$CC24))),"",IF(_xlfn.SINGLE(INDEX('[1]ATTENDANCE DAILY'!$I$4:$AM$663,$CC24,DAY(AL$14)))="T-Late","T-L",IF(_xlfn.SINGLE(INDEX('[1]ATTENDANCE DAILY'!$I$4:$AM$663,$CC24,DAY(AL$14)))="T-Cutting","T-C",INDEX('[1]ATTENDANCE DAILY'!$I$4:$AM$663,$CC24,DAY(AL$14)))))),IFERROR(IF(_xlpm._r=0,"",_xlpm._r),""))</f>
        <v/>
      </c>
      <c r="AM24" s="55"/>
      <c r="AN24" s="57" t="str">
        <f>_xlfn.LET(_xlpm._r,_xlfn.SINGLE(IF(OR($CC24="",AN$14="",AN$14&lt;_xlfn.SINGLE(INDEX('[1]ATTENDANCE DAILY'!$AV$4:$AV$663,$CC24)),AN$14&gt;_xlfn.SINGLE(INDEX('[1]ATTENDANCE DAILY'!$AW$4:$AW$663,$CC24))),"",IF(_xlfn.SINGLE(INDEX('[1]ATTENDANCE DAILY'!$I$4:$AM$663,$CC24,DAY(AN$14)))="T-Late","T-L",IF(_xlfn.SINGLE(INDEX('[1]ATTENDANCE DAILY'!$I$4:$AM$663,$CC24,DAY(AN$14)))="T-Cutting","T-C",INDEX('[1]ATTENDANCE DAILY'!$I$4:$AM$663,$CC24,DAY(AN$14)))))),IFERROR(IF(_xlpm._r=0,"",_xlpm._r),""))</f>
        <v/>
      </c>
      <c r="AO24" s="86"/>
      <c r="AP24" s="54" t="str">
        <f>_xlfn.LET(_xlpm._r,_xlfn.SINGLE(IF(OR($CC24="",AP$14="",AP$14&lt;_xlfn.SINGLE(INDEX('[1]ATTENDANCE DAILY'!$AV$4:$AV$663,$CC24)),AP$14&gt;_xlfn.SINGLE(INDEX('[1]ATTENDANCE DAILY'!$AW$4:$AW$663,$CC24))),"",IF(_xlfn.SINGLE(INDEX('[1]ATTENDANCE DAILY'!$I$4:$AM$663,$CC24,DAY(AP$14)))="T-Late","T-L",IF(_xlfn.SINGLE(INDEX('[1]ATTENDANCE DAILY'!$I$4:$AM$663,$CC24,DAY(AP$14)))="T-Cutting","T-C",INDEX('[1]ATTENDANCE DAILY'!$I$4:$AM$663,$CC24,DAY(AP$14)))))),IFERROR(IF(_xlpm._r=0,"",_xlpm._r),""))</f>
        <v/>
      </c>
      <c r="AQ24" s="55"/>
      <c r="AR24" s="56" t="str">
        <f>_xlfn.LET(_xlpm._r,_xlfn.SINGLE(IF(OR($CC24="",AR$14="",AR$14&lt;_xlfn.SINGLE(INDEX('[1]ATTENDANCE DAILY'!$AV$4:$AV$663,$CC24)),AR$14&gt;_xlfn.SINGLE(INDEX('[1]ATTENDANCE DAILY'!$AW$4:$AW$663,$CC24))),"",IF(_xlfn.SINGLE(INDEX('[1]ATTENDANCE DAILY'!$I$4:$AM$663,$CC24,DAY(AR$14)))="T-Late","T-L",IF(_xlfn.SINGLE(INDEX('[1]ATTENDANCE DAILY'!$I$4:$AM$663,$CC24,DAY(AR$14)))="T-Cutting","T-C",INDEX('[1]ATTENDANCE DAILY'!$I$4:$AM$663,$CC24,DAY(AR$14)))))),IFERROR(IF(_xlpm._r=0,"",_xlpm._r),""))</f>
        <v/>
      </c>
      <c r="AS24" s="57" t="str">
        <f>_xlfn.LET(_xlpm._r,_xlfn.SINGLE(IF(OR($CC24="",AS$14="",AS$14&lt;_xlfn.SINGLE(INDEX('[1]ATTENDANCE DAILY'!$AV$4:$AV$663,$CC24)),AS$14&gt;_xlfn.SINGLE(INDEX('[1]ATTENDANCE DAILY'!$AW$4:$AW$663,$CC24))),"",IF(_xlfn.SINGLE(INDEX('[1]ATTENDANCE DAILY'!$I$4:$AM$663,$CC24,DAY(AS$14)))="T-Late","T-L",IF(_xlfn.SINGLE(INDEX('[1]ATTENDANCE DAILY'!$I$4:$AM$663,$CC24,DAY(AS$14)))="T-Cutting","T-C",INDEX('[1]ATTENDANCE DAILY'!$I$4:$AM$663,$CC24,DAY(AS$14)))))),IFERROR(IF(_xlpm._r=0,"",_xlpm._r),""))</f>
        <v/>
      </c>
      <c r="AT24" s="55"/>
      <c r="AU24" s="56" t="str">
        <f>_xlfn.LET(_xlpm._r,_xlfn.SINGLE(IF(OR($CC24="",AU$14="",AU$14&lt;_xlfn.SINGLE(INDEX('[1]ATTENDANCE DAILY'!$AV$4:$AV$663,$CC24)),AU$14&gt;_xlfn.SINGLE(INDEX('[1]ATTENDANCE DAILY'!$AW$4:$AW$663,$CC24))),"",IF(_xlfn.SINGLE(INDEX('[1]ATTENDANCE DAILY'!$I$4:$AM$663,$CC24,DAY(AU$14)))="T-Late","T-L",IF(_xlfn.SINGLE(INDEX('[1]ATTENDANCE DAILY'!$I$4:$AM$663,$CC24,DAY(AU$14)))="T-Cutting","T-C",INDEX('[1]ATTENDANCE DAILY'!$I$4:$AM$663,$CC24,DAY(AU$14)))))),IFERROR(IF(_xlpm._r=0,"",_xlpm._r),""))</f>
        <v/>
      </c>
      <c r="AV24" s="87" t="str">
        <f>_xlfn.LET(_xlpm._r,_xlfn.SINGLE(IF(OR($CC24="",AV$14="",AV$14&lt;_xlfn.SINGLE(INDEX('[1]ATTENDANCE DAILY'!$AV$4:$AV$663,$CC24)),AV$14&gt;_xlfn.SINGLE(INDEX('[1]ATTENDANCE DAILY'!$AW$4:$AW$663,$CC24))),"",IF(_xlfn.SINGLE(INDEX('[1]ATTENDANCE DAILY'!$I$4:$AM$663,$CC24,DAY(AV$14)))="T-Late","T-L",IF(_xlfn.SINGLE(INDEX('[1]ATTENDANCE DAILY'!$I$4:$AM$663,$CC24,DAY(AV$14)))="T-Cutting","T-C",INDEX('[1]ATTENDANCE DAILY'!$I$4:$AM$663,$CC24,DAY(AV$14)))))),IFERROR(IF(_xlpm._r=0,"",_xlpm._r),""))</f>
        <v/>
      </c>
      <c r="AW24" s="54" t="str">
        <f>_xlfn.LET(_xlpm._r,_xlfn.SINGLE(IF(OR($CC24="",AW$14="",AW$14&lt;_xlfn.SINGLE(INDEX('[1]ATTENDANCE DAILY'!$AV$4:$AV$663,$CC24)),AW$14&gt;_xlfn.SINGLE(INDEX('[1]ATTENDANCE DAILY'!$AW$4:$AW$663,$CC24))),"",IF(_xlfn.SINGLE(INDEX('[1]ATTENDANCE DAILY'!$I$4:$AM$663,$CC24,DAY(AW$14)))="T-Late","T-L",IF(_xlfn.SINGLE(INDEX('[1]ATTENDANCE DAILY'!$I$4:$AM$663,$CC24,DAY(AW$14)))="T-Cutting","T-C",INDEX('[1]ATTENDANCE DAILY'!$I$4:$AM$663,$CC24,DAY(AW$14)))))),IFERROR(IF(_xlpm._r=0,"",_xlpm._r),""))</f>
        <v/>
      </c>
      <c r="AX24" s="55"/>
      <c r="AY24" s="57" t="str">
        <f>_xlfn.LET(_xlpm._r,_xlfn.SINGLE(IF(OR($CC24="",AY$14="",AY$14&lt;_xlfn.SINGLE(INDEX('[1]ATTENDANCE DAILY'!$AV$4:$AV$663,$CC24)),AY$14&gt;_xlfn.SINGLE(INDEX('[1]ATTENDANCE DAILY'!$AW$4:$AW$663,$CC24))),"",IF(_xlfn.SINGLE(INDEX('[1]ATTENDANCE DAILY'!$I$4:$AM$663,$CC24,DAY(AY$14)))="T-Late","T-L",IF(_xlfn.SINGLE(INDEX('[1]ATTENDANCE DAILY'!$I$4:$AM$663,$CC24,DAY(AY$14)))="T-Cutting","T-C",INDEX('[1]ATTENDANCE DAILY'!$I$4:$AM$663,$CC24,DAY(AY$14)))))),IFERROR(IF(_xlpm._r=0,"",_xlpm._r),""))</f>
        <v/>
      </c>
      <c r="AZ24" s="58"/>
      <c r="BA24" s="55"/>
      <c r="BB24" s="57" t="str">
        <f>_xlfn.LET(_xlpm._r,_xlfn.SINGLE(IF(OR($CC24="",BB$14="",BB$14&lt;_xlfn.SINGLE(INDEX('[1]ATTENDANCE DAILY'!$AV$4:$AV$663,$CC24)),BB$14&gt;_xlfn.SINGLE(INDEX('[1]ATTENDANCE DAILY'!$AW$4:$AW$663,$CC24))),"",IF(_xlfn.SINGLE(INDEX('[1]ATTENDANCE DAILY'!$I$4:$AM$663,$CC24,DAY(BB$14)))="T-Late","T-L",IF(_xlfn.SINGLE(INDEX('[1]ATTENDANCE DAILY'!$I$4:$AM$663,$CC24,DAY(BB$14)))="T-Cutting","T-C",INDEX('[1]ATTENDANCE DAILY'!$I$4:$AM$663,$CC24,DAY(BB$14)))))),IFERROR(IF(_xlpm._r=0,"",_xlpm._r),""))</f>
        <v/>
      </c>
      <c r="BC24" s="55"/>
      <c r="BD24" s="56" t="str">
        <f>_xlfn.LET(_xlpm._r,_xlfn.SINGLE(IF(OR($CC24="",BD$14="",BD$14&lt;_xlfn.SINGLE(INDEX('[1]ATTENDANCE DAILY'!$AV$4:$AV$663,$CC24)),BD$14&gt;_xlfn.SINGLE(INDEX('[1]ATTENDANCE DAILY'!$AW$4:$AW$663,$CC24))),"",IF(_xlfn.SINGLE(INDEX('[1]ATTENDANCE DAILY'!$I$4:$AM$663,$CC24,DAY(BD$14)))="T-Late","T-L",IF(_xlfn.SINGLE(INDEX('[1]ATTENDANCE DAILY'!$I$4:$AM$663,$CC24,DAY(BD$14)))="T-Cutting","T-C",INDEX('[1]ATTENDANCE DAILY'!$I$4:$AM$663,$CC24,DAY(BD$14)))))),IFERROR(IF(_xlpm._r=0,"",_xlpm._r),""))</f>
        <v/>
      </c>
      <c r="BE24" s="57" t="str">
        <f>_xlfn.LET(_xlpm._r,_xlfn.SINGLE(IF(OR($CC24="",BE$14="",BE$14&lt;_xlfn.SINGLE(INDEX('[1]ATTENDANCE DAILY'!$AV$4:$AV$663,$CC24)),BE$14&gt;_xlfn.SINGLE(INDEX('[1]ATTENDANCE DAILY'!$AW$4:$AW$663,$CC24))),"",IF(_xlfn.SINGLE(INDEX('[1]ATTENDANCE DAILY'!$I$4:$AM$663,$CC24,DAY(BE$14)))="T-Late","T-L",IF(_xlfn.SINGLE(INDEX('[1]ATTENDANCE DAILY'!$I$4:$AM$663,$CC24,DAY(BE$14)))="T-Cutting","T-C",INDEX('[1]ATTENDANCE DAILY'!$I$4:$AM$663,$CC24,DAY(BE$14)))))),IFERROR(IF(_xlpm._r=0,"",_xlpm._r),""))</f>
        <v/>
      </c>
      <c r="BF24" s="58"/>
      <c r="BG24" s="58"/>
      <c r="BH24" s="86"/>
      <c r="BI24" s="88">
        <f>IF($CC24="","",INDEX('[1]ATTENDANCE DAILY'!$AR$4:$AR$663,$CC24))</f>
        <v>0</v>
      </c>
      <c r="BJ24" s="89"/>
      <c r="BK24" s="90"/>
      <c r="BL24" s="88">
        <f>IF($CC24="","",INDEX('[1]ATTENDANCE DAILY'!$AS$4:$AS$663,$CC24))</f>
        <v>23</v>
      </c>
      <c r="BM24" s="89"/>
      <c r="BN24" s="89"/>
      <c r="BO24" s="90"/>
      <c r="BP24" s="91" t="str">
        <f>IF($CC24="","",IF(INDEX('[1]ATTENDANCE DAILY'!$AN$4:$AN$663,$CC24)="","",INDEX('[1]ATTENDANCE DAILY'!$AN$4:$AN$663,$CC24)&amp;IF(INDEX('[1]ATTENDANCE DAILY'!$AO$4:$AO$663,$CC24)="",""," ("&amp;TEXT(INDEX('[1]ATTENDANCE DAILY'!$AO$4:$AO$663,$CC24),"mm-dd-yyyy")&amp;")")&amp;IF(INDEX('[1]ATTENDANCE DAILY'!$AP$4:$AP$663,$CC24)="",""," - "&amp;INDEX('[1]ATTENDANCE DAILY'!$AP$4:$AP$663,$CC24))))</f>
        <v/>
      </c>
      <c r="BQ24" s="89"/>
      <c r="BR24" s="89"/>
      <c r="BS24" s="89"/>
      <c r="BT24" s="89"/>
      <c r="BU24" s="89"/>
      <c r="BV24" s="89"/>
      <c r="BW24" s="89"/>
      <c r="BX24" s="89"/>
      <c r="BY24" s="89"/>
      <c r="BZ24" s="89"/>
      <c r="CA24" s="90"/>
      <c r="CC24">
        <f>IF(COUNTIFS('[1]ATTENDANCE DAILY'!$C$4:$C$663,$BN$11,'[1]ATTENDANCE DAILY'!$F$4:$F$663,"Male",'[1]ATTENDANCE DAILY'!$G$4:$G$663,1,'[1]ATTENDANCE DAILY'!$BA$4:$BA$663,7)=0,"",SUMIFS('[1]ATTENDANCE DAILY'!$A$4:$A$663,'[1]ATTENDANCE DAILY'!$C$4:$C$663,$BN$11,'[1]ATTENDANCE DAILY'!$F$4:$F$663,"Male",'[1]ATTENDANCE DAILY'!$G$4:$G$663,1,'[1]ATTENDANCE DAILY'!$BA$4:$BA$663,7))</f>
        <v>67</v>
      </c>
    </row>
    <row r="25" spans="1:81" ht="19.95" customHeight="1">
      <c r="A25" s="80">
        <v>8</v>
      </c>
      <c r="B25" s="81"/>
      <c r="C25" s="81"/>
      <c r="D25" s="81"/>
      <c r="E25" s="81"/>
      <c r="F25" s="82"/>
      <c r="G25" s="83" t="str">
        <f>IF($CC25="","",INDEX('[1]ATTENDANCE DAILY'!$E$4:$E$663,$CC25))</f>
        <v>MACAPANTON, ALIMAN SULTAN</v>
      </c>
      <c r="H25" s="84"/>
      <c r="I25" s="84"/>
      <c r="J25" s="85"/>
      <c r="K25" s="54" t="str">
        <f>_xlfn.LET(_xlpm._r,_xlfn.SINGLE(IF(OR($CC25="",K$14="",K$14&lt;_xlfn.SINGLE(INDEX('[1]ATTENDANCE DAILY'!$AV$4:$AV$663,$CC25)),K$14&gt;_xlfn.SINGLE(INDEX('[1]ATTENDANCE DAILY'!$AW$4:$AW$663,$CC25))),"",IF(_xlfn.SINGLE(INDEX('[1]ATTENDANCE DAILY'!$I$4:$AM$663,$CC25,DAY(K$14)))="T-Late","T-L",IF(_xlfn.SINGLE(INDEX('[1]ATTENDANCE DAILY'!$I$4:$AM$663,$CC25,DAY(K$14)))="T-Cutting","T-C",INDEX('[1]ATTENDANCE DAILY'!$I$4:$AM$663,$CC25,DAY(K$14)))))),IFERROR(IF(_xlpm._r=0,"",_xlpm._r),""))</f>
        <v/>
      </c>
      <c r="L25" s="55"/>
      <c r="M25" s="56" t="str">
        <f>_xlfn.LET(_xlpm._r,_xlfn.SINGLE(IF(OR($CC25="",M$14="",M$14&lt;_xlfn.SINGLE(INDEX('[1]ATTENDANCE DAILY'!$AV$4:$AV$663,$CC25)),M$14&gt;_xlfn.SINGLE(INDEX('[1]ATTENDANCE DAILY'!$AW$4:$AW$663,$CC25))),"",IF(_xlfn.SINGLE(INDEX('[1]ATTENDANCE DAILY'!$I$4:$AM$663,$CC25,DAY(M$14)))="T-Late","T-L",IF(_xlfn.SINGLE(INDEX('[1]ATTENDANCE DAILY'!$I$4:$AM$663,$CC25,DAY(M$14)))="T-Cutting","T-C",INDEX('[1]ATTENDANCE DAILY'!$I$4:$AM$663,$CC25,DAY(M$14)))))),IFERROR(IF(_xlpm._r=0,"",_xlpm._r),""))</f>
        <v/>
      </c>
      <c r="N25" s="56" t="str">
        <f>_xlfn.LET(_xlpm._r,_xlfn.SINGLE(IF(OR($CC25="",N$14="",N$14&lt;_xlfn.SINGLE(INDEX('[1]ATTENDANCE DAILY'!$AV$4:$AV$663,$CC25)),N$14&gt;_xlfn.SINGLE(INDEX('[1]ATTENDANCE DAILY'!$AW$4:$AW$663,$CC25))),"",IF(_xlfn.SINGLE(INDEX('[1]ATTENDANCE DAILY'!$I$4:$AM$663,$CC25,DAY(N$14)))="T-Late","T-L",IF(_xlfn.SINGLE(INDEX('[1]ATTENDANCE DAILY'!$I$4:$AM$663,$CC25,DAY(N$14)))="T-Cutting","T-C",INDEX('[1]ATTENDANCE DAILY'!$I$4:$AM$663,$CC25,DAY(N$14)))))),IFERROR(IF(_xlpm._r=0,"",_xlpm._r),""))</f>
        <v/>
      </c>
      <c r="O25" s="57" t="str">
        <f>_xlfn.LET(_xlpm._r,_xlfn.SINGLE(IF(OR($CC25="",O$14="",O$14&lt;_xlfn.SINGLE(INDEX('[1]ATTENDANCE DAILY'!$AV$4:$AV$663,$CC25)),O$14&gt;_xlfn.SINGLE(INDEX('[1]ATTENDANCE DAILY'!$AW$4:$AW$663,$CC25))),"",IF(_xlfn.SINGLE(INDEX('[1]ATTENDANCE DAILY'!$I$4:$AM$663,$CC25,DAY(O$14)))="T-Late","T-L",IF(_xlfn.SINGLE(INDEX('[1]ATTENDANCE DAILY'!$I$4:$AM$663,$CC25,DAY(O$14)))="T-Cutting","T-C",INDEX('[1]ATTENDANCE DAILY'!$I$4:$AM$663,$CC25,DAY(O$14)))))),IFERROR(IF(_xlpm._r=0,"",_xlpm._r),""))</f>
        <v/>
      </c>
      <c r="P25" s="58"/>
      <c r="Q25" s="58"/>
      <c r="R25" s="55"/>
      <c r="S25" s="57" t="str">
        <f>_xlfn.LET(_xlpm._r,_xlfn.SINGLE(IF(OR($CC25="",S$14="",S$14&lt;_xlfn.SINGLE(INDEX('[1]ATTENDANCE DAILY'!$AV$4:$AV$663,$CC25)),S$14&gt;_xlfn.SINGLE(INDEX('[1]ATTENDANCE DAILY'!$AW$4:$AW$663,$CC25))),"",IF(_xlfn.SINGLE(INDEX('[1]ATTENDANCE DAILY'!$I$4:$AM$663,$CC25,DAY(S$14)))="T-Late","T-L",IF(_xlfn.SINGLE(INDEX('[1]ATTENDANCE DAILY'!$I$4:$AM$663,$CC25,DAY(S$14)))="T-Cutting","T-C",INDEX('[1]ATTENDANCE DAILY'!$I$4:$AM$663,$CC25,DAY(S$14)))))),IFERROR(IF(_xlpm._r=0,"",_xlpm._r),""))</f>
        <v/>
      </c>
      <c r="T25" s="58"/>
      <c r="U25" s="86"/>
      <c r="V25" s="59" t="str">
        <f>_xlfn.LET(_xlpm._r,_xlfn.SINGLE(IF(OR($CC25="",V$14="",V$14&lt;_xlfn.SINGLE(INDEX('[1]ATTENDANCE DAILY'!$AV$4:$AV$663,$CC25)),V$14&gt;_xlfn.SINGLE(INDEX('[1]ATTENDANCE DAILY'!$AW$4:$AW$663,$CC25))),"",IF(_xlfn.SINGLE(INDEX('[1]ATTENDANCE DAILY'!$I$4:$AM$663,$CC25,DAY(V$14)))="T-Late","T-L",IF(_xlfn.SINGLE(INDEX('[1]ATTENDANCE DAILY'!$I$4:$AM$663,$CC25,DAY(V$14)))="T-Cutting","T-C",INDEX('[1]ATTENDANCE DAILY'!$I$4:$AM$663,$CC25,DAY(V$14)))))),IFERROR(IF(_xlpm._r=0,"",_xlpm._r),""))</f>
        <v/>
      </c>
      <c r="W25" s="57" t="str">
        <f>_xlfn.LET(_xlpm._r,_xlfn.SINGLE(IF(OR($CC25="",W$14="",W$14&lt;_xlfn.SINGLE(INDEX('[1]ATTENDANCE DAILY'!$AV$4:$AV$663,$CC25)),W$14&gt;_xlfn.SINGLE(INDEX('[1]ATTENDANCE DAILY'!$AW$4:$AW$663,$CC25))),"",IF(_xlfn.SINGLE(INDEX('[1]ATTENDANCE DAILY'!$I$4:$AM$663,$CC25,DAY(W$14)))="T-Late","T-L",IF(_xlfn.SINGLE(INDEX('[1]ATTENDANCE DAILY'!$I$4:$AM$663,$CC25,DAY(W$14)))="T-Cutting","T-C",INDEX('[1]ATTENDANCE DAILY'!$I$4:$AM$663,$CC25,DAY(W$14)))))),IFERROR(IF(_xlpm._r=0,"",_xlpm._r),""))</f>
        <v/>
      </c>
      <c r="X25" s="58"/>
      <c r="Y25" s="55"/>
      <c r="Z25" s="56" t="str">
        <f>_xlfn.LET(_xlpm._r,_xlfn.SINGLE(IF(OR($CC25="",Z$14="",Z$14&lt;_xlfn.SINGLE(INDEX('[1]ATTENDANCE DAILY'!$AV$4:$AV$663,$CC25)),Z$14&gt;_xlfn.SINGLE(INDEX('[1]ATTENDANCE DAILY'!$AW$4:$AW$663,$CC25))),"",IF(_xlfn.SINGLE(INDEX('[1]ATTENDANCE DAILY'!$I$4:$AM$663,$CC25,DAY(Z$14)))="T-Late","T-L",IF(_xlfn.SINGLE(INDEX('[1]ATTENDANCE DAILY'!$I$4:$AM$663,$CC25,DAY(Z$14)))="T-Cutting","T-C",INDEX('[1]ATTENDANCE DAILY'!$I$4:$AM$663,$CC25,DAY(Z$14)))))),IFERROR(IF(_xlpm._r=0,"",_xlpm._r),""))</f>
        <v/>
      </c>
      <c r="AA25" s="56" t="str">
        <f>_xlfn.LET(_xlpm._r,_xlfn.SINGLE(IF(OR($CC25="",AA$14="",AA$14&lt;_xlfn.SINGLE(INDEX('[1]ATTENDANCE DAILY'!$AV$4:$AV$663,$CC25)),AA$14&gt;_xlfn.SINGLE(INDEX('[1]ATTENDANCE DAILY'!$AW$4:$AW$663,$CC25))),"",IF(_xlfn.SINGLE(INDEX('[1]ATTENDANCE DAILY'!$I$4:$AM$663,$CC25,DAY(AA$14)))="T-Late","T-L",IF(_xlfn.SINGLE(INDEX('[1]ATTENDANCE DAILY'!$I$4:$AM$663,$CC25,DAY(AA$14)))="T-Cutting","T-C",INDEX('[1]ATTENDANCE DAILY'!$I$4:$AM$663,$CC25,DAY(AA$14)))))),IFERROR(IF(_xlpm._r=0,"",_xlpm._r),""))</f>
        <v/>
      </c>
      <c r="AB25" s="57" t="str">
        <f>_xlfn.LET(_xlpm._r,_xlfn.SINGLE(IF(OR($CC25="",AB$14="",AB$14&lt;_xlfn.SINGLE(INDEX('[1]ATTENDANCE DAILY'!$AV$4:$AV$663,$CC25)),AB$14&gt;_xlfn.SINGLE(INDEX('[1]ATTENDANCE DAILY'!$AW$4:$AW$663,$CC25))),"",IF(_xlfn.SINGLE(INDEX('[1]ATTENDANCE DAILY'!$I$4:$AM$663,$CC25,DAY(AB$14)))="T-Late","T-L",IF(_xlfn.SINGLE(INDEX('[1]ATTENDANCE DAILY'!$I$4:$AM$663,$CC25,DAY(AB$14)))="T-Cutting","T-C",INDEX('[1]ATTENDANCE DAILY'!$I$4:$AM$663,$CC25,DAY(AB$14)))))),IFERROR(IF(_xlpm._r=0,"",_xlpm._r),""))</f>
        <v/>
      </c>
      <c r="AC25" s="58"/>
      <c r="AD25" s="86"/>
      <c r="AE25" s="54" t="str">
        <f>_xlfn.LET(_xlpm._r,_xlfn.SINGLE(IF(OR($CC25="",AE$14="",AE$14&lt;_xlfn.SINGLE(INDEX('[1]ATTENDANCE DAILY'!$AV$4:$AV$663,$CC25)),AE$14&gt;_xlfn.SINGLE(INDEX('[1]ATTENDANCE DAILY'!$AW$4:$AW$663,$CC25))),"",IF(_xlfn.SINGLE(INDEX('[1]ATTENDANCE DAILY'!$I$4:$AM$663,$CC25,DAY(AE$14)))="T-Late","T-L",IF(_xlfn.SINGLE(INDEX('[1]ATTENDANCE DAILY'!$I$4:$AM$663,$CC25,DAY(AE$14)))="T-Cutting","T-C",INDEX('[1]ATTENDANCE DAILY'!$I$4:$AM$663,$CC25,DAY(AE$14)))))),IFERROR(IF(_xlpm._r=0,"",_xlpm._r),""))</f>
        <v/>
      </c>
      <c r="AF25" s="58"/>
      <c r="AG25" s="55"/>
      <c r="AH25" s="56" t="str">
        <f>_xlfn.LET(_xlpm._r,_xlfn.SINGLE(IF(OR($CC25="",AH$14="",AH$14&lt;_xlfn.SINGLE(INDEX('[1]ATTENDANCE DAILY'!$AV$4:$AV$663,$CC25)),AH$14&gt;_xlfn.SINGLE(INDEX('[1]ATTENDANCE DAILY'!$AW$4:$AW$663,$CC25))),"",IF(_xlfn.SINGLE(INDEX('[1]ATTENDANCE DAILY'!$I$4:$AM$663,$CC25,DAY(AH$14)))="T-Late","T-L",IF(_xlfn.SINGLE(INDEX('[1]ATTENDANCE DAILY'!$I$4:$AM$663,$CC25,DAY(AH$14)))="T-Cutting","T-C",INDEX('[1]ATTENDANCE DAILY'!$I$4:$AM$663,$CC25,DAY(AH$14)))))),IFERROR(IF(_xlpm._r=0,"",_xlpm._r),""))</f>
        <v/>
      </c>
      <c r="AI25" s="57" t="str">
        <f>_xlfn.LET(_xlpm._r,_xlfn.SINGLE(IF(OR($CC25="",AI$14="",AI$14&lt;_xlfn.SINGLE(INDEX('[1]ATTENDANCE DAILY'!$AV$4:$AV$663,$CC25)),AI$14&gt;_xlfn.SINGLE(INDEX('[1]ATTENDANCE DAILY'!$AW$4:$AW$663,$CC25))),"",IF(_xlfn.SINGLE(INDEX('[1]ATTENDANCE DAILY'!$I$4:$AM$663,$CC25,DAY(AI$14)))="T-Late","T-L",IF(_xlfn.SINGLE(INDEX('[1]ATTENDANCE DAILY'!$I$4:$AM$663,$CC25,DAY(AI$14)))="T-Cutting","T-C",INDEX('[1]ATTENDANCE DAILY'!$I$4:$AM$663,$CC25,DAY(AI$14)))))),IFERROR(IF(_xlpm._r=0,"",_xlpm._r),""))</f>
        <v/>
      </c>
      <c r="AJ25" s="58"/>
      <c r="AK25" s="55"/>
      <c r="AL25" s="57" t="str">
        <f>_xlfn.LET(_xlpm._r,_xlfn.SINGLE(IF(OR($CC25="",AL$14="",AL$14&lt;_xlfn.SINGLE(INDEX('[1]ATTENDANCE DAILY'!$AV$4:$AV$663,$CC25)),AL$14&gt;_xlfn.SINGLE(INDEX('[1]ATTENDANCE DAILY'!$AW$4:$AW$663,$CC25))),"",IF(_xlfn.SINGLE(INDEX('[1]ATTENDANCE DAILY'!$I$4:$AM$663,$CC25,DAY(AL$14)))="T-Late","T-L",IF(_xlfn.SINGLE(INDEX('[1]ATTENDANCE DAILY'!$I$4:$AM$663,$CC25,DAY(AL$14)))="T-Cutting","T-C",INDEX('[1]ATTENDANCE DAILY'!$I$4:$AM$663,$CC25,DAY(AL$14)))))),IFERROR(IF(_xlpm._r=0,"",_xlpm._r),""))</f>
        <v/>
      </c>
      <c r="AM25" s="55"/>
      <c r="AN25" s="57" t="str">
        <f>_xlfn.LET(_xlpm._r,_xlfn.SINGLE(IF(OR($CC25="",AN$14="",AN$14&lt;_xlfn.SINGLE(INDEX('[1]ATTENDANCE DAILY'!$AV$4:$AV$663,$CC25)),AN$14&gt;_xlfn.SINGLE(INDEX('[1]ATTENDANCE DAILY'!$AW$4:$AW$663,$CC25))),"",IF(_xlfn.SINGLE(INDEX('[1]ATTENDANCE DAILY'!$I$4:$AM$663,$CC25,DAY(AN$14)))="T-Late","T-L",IF(_xlfn.SINGLE(INDEX('[1]ATTENDANCE DAILY'!$I$4:$AM$663,$CC25,DAY(AN$14)))="T-Cutting","T-C",INDEX('[1]ATTENDANCE DAILY'!$I$4:$AM$663,$CC25,DAY(AN$14)))))),IFERROR(IF(_xlpm._r=0,"",_xlpm._r),""))</f>
        <v/>
      </c>
      <c r="AO25" s="86"/>
      <c r="AP25" s="54" t="str">
        <f>_xlfn.LET(_xlpm._r,_xlfn.SINGLE(IF(OR($CC25="",AP$14="",AP$14&lt;_xlfn.SINGLE(INDEX('[1]ATTENDANCE DAILY'!$AV$4:$AV$663,$CC25)),AP$14&gt;_xlfn.SINGLE(INDEX('[1]ATTENDANCE DAILY'!$AW$4:$AW$663,$CC25))),"",IF(_xlfn.SINGLE(INDEX('[1]ATTENDANCE DAILY'!$I$4:$AM$663,$CC25,DAY(AP$14)))="T-Late","T-L",IF(_xlfn.SINGLE(INDEX('[1]ATTENDANCE DAILY'!$I$4:$AM$663,$CC25,DAY(AP$14)))="T-Cutting","T-C",INDEX('[1]ATTENDANCE DAILY'!$I$4:$AM$663,$CC25,DAY(AP$14)))))),IFERROR(IF(_xlpm._r=0,"",_xlpm._r),""))</f>
        <v/>
      </c>
      <c r="AQ25" s="55"/>
      <c r="AR25" s="56" t="str">
        <f>_xlfn.LET(_xlpm._r,_xlfn.SINGLE(IF(OR($CC25="",AR$14="",AR$14&lt;_xlfn.SINGLE(INDEX('[1]ATTENDANCE DAILY'!$AV$4:$AV$663,$CC25)),AR$14&gt;_xlfn.SINGLE(INDEX('[1]ATTENDANCE DAILY'!$AW$4:$AW$663,$CC25))),"",IF(_xlfn.SINGLE(INDEX('[1]ATTENDANCE DAILY'!$I$4:$AM$663,$CC25,DAY(AR$14)))="T-Late","T-L",IF(_xlfn.SINGLE(INDEX('[1]ATTENDANCE DAILY'!$I$4:$AM$663,$CC25,DAY(AR$14)))="T-Cutting","T-C",INDEX('[1]ATTENDANCE DAILY'!$I$4:$AM$663,$CC25,DAY(AR$14)))))),IFERROR(IF(_xlpm._r=0,"",_xlpm._r),""))</f>
        <v/>
      </c>
      <c r="AS25" s="57" t="str">
        <f>_xlfn.LET(_xlpm._r,_xlfn.SINGLE(IF(OR($CC25="",AS$14="",AS$14&lt;_xlfn.SINGLE(INDEX('[1]ATTENDANCE DAILY'!$AV$4:$AV$663,$CC25)),AS$14&gt;_xlfn.SINGLE(INDEX('[1]ATTENDANCE DAILY'!$AW$4:$AW$663,$CC25))),"",IF(_xlfn.SINGLE(INDEX('[1]ATTENDANCE DAILY'!$I$4:$AM$663,$CC25,DAY(AS$14)))="T-Late","T-L",IF(_xlfn.SINGLE(INDEX('[1]ATTENDANCE DAILY'!$I$4:$AM$663,$CC25,DAY(AS$14)))="T-Cutting","T-C",INDEX('[1]ATTENDANCE DAILY'!$I$4:$AM$663,$CC25,DAY(AS$14)))))),IFERROR(IF(_xlpm._r=0,"",_xlpm._r),""))</f>
        <v/>
      </c>
      <c r="AT25" s="55"/>
      <c r="AU25" s="56" t="str">
        <f>_xlfn.LET(_xlpm._r,_xlfn.SINGLE(IF(OR($CC25="",AU$14="",AU$14&lt;_xlfn.SINGLE(INDEX('[1]ATTENDANCE DAILY'!$AV$4:$AV$663,$CC25)),AU$14&gt;_xlfn.SINGLE(INDEX('[1]ATTENDANCE DAILY'!$AW$4:$AW$663,$CC25))),"",IF(_xlfn.SINGLE(INDEX('[1]ATTENDANCE DAILY'!$I$4:$AM$663,$CC25,DAY(AU$14)))="T-Late","T-L",IF(_xlfn.SINGLE(INDEX('[1]ATTENDANCE DAILY'!$I$4:$AM$663,$CC25,DAY(AU$14)))="T-Cutting","T-C",INDEX('[1]ATTENDANCE DAILY'!$I$4:$AM$663,$CC25,DAY(AU$14)))))),IFERROR(IF(_xlpm._r=0,"",_xlpm._r),""))</f>
        <v/>
      </c>
      <c r="AV25" s="87" t="str">
        <f>_xlfn.LET(_xlpm._r,_xlfn.SINGLE(IF(OR($CC25="",AV$14="",AV$14&lt;_xlfn.SINGLE(INDEX('[1]ATTENDANCE DAILY'!$AV$4:$AV$663,$CC25)),AV$14&gt;_xlfn.SINGLE(INDEX('[1]ATTENDANCE DAILY'!$AW$4:$AW$663,$CC25))),"",IF(_xlfn.SINGLE(INDEX('[1]ATTENDANCE DAILY'!$I$4:$AM$663,$CC25,DAY(AV$14)))="T-Late","T-L",IF(_xlfn.SINGLE(INDEX('[1]ATTENDANCE DAILY'!$I$4:$AM$663,$CC25,DAY(AV$14)))="T-Cutting","T-C",INDEX('[1]ATTENDANCE DAILY'!$I$4:$AM$663,$CC25,DAY(AV$14)))))),IFERROR(IF(_xlpm._r=0,"",_xlpm._r),""))</f>
        <v/>
      </c>
      <c r="AW25" s="54" t="str">
        <f>_xlfn.LET(_xlpm._r,_xlfn.SINGLE(IF(OR($CC25="",AW$14="",AW$14&lt;_xlfn.SINGLE(INDEX('[1]ATTENDANCE DAILY'!$AV$4:$AV$663,$CC25)),AW$14&gt;_xlfn.SINGLE(INDEX('[1]ATTENDANCE DAILY'!$AW$4:$AW$663,$CC25))),"",IF(_xlfn.SINGLE(INDEX('[1]ATTENDANCE DAILY'!$I$4:$AM$663,$CC25,DAY(AW$14)))="T-Late","T-L",IF(_xlfn.SINGLE(INDEX('[1]ATTENDANCE DAILY'!$I$4:$AM$663,$CC25,DAY(AW$14)))="T-Cutting","T-C",INDEX('[1]ATTENDANCE DAILY'!$I$4:$AM$663,$CC25,DAY(AW$14)))))),IFERROR(IF(_xlpm._r=0,"",_xlpm._r),""))</f>
        <v/>
      </c>
      <c r="AX25" s="55"/>
      <c r="AY25" s="57" t="str">
        <f>_xlfn.LET(_xlpm._r,_xlfn.SINGLE(IF(OR($CC25="",AY$14="",AY$14&lt;_xlfn.SINGLE(INDEX('[1]ATTENDANCE DAILY'!$AV$4:$AV$663,$CC25)),AY$14&gt;_xlfn.SINGLE(INDEX('[1]ATTENDANCE DAILY'!$AW$4:$AW$663,$CC25))),"",IF(_xlfn.SINGLE(INDEX('[1]ATTENDANCE DAILY'!$I$4:$AM$663,$CC25,DAY(AY$14)))="T-Late","T-L",IF(_xlfn.SINGLE(INDEX('[1]ATTENDANCE DAILY'!$I$4:$AM$663,$CC25,DAY(AY$14)))="T-Cutting","T-C",INDEX('[1]ATTENDANCE DAILY'!$I$4:$AM$663,$CC25,DAY(AY$14)))))),IFERROR(IF(_xlpm._r=0,"",_xlpm._r),""))</f>
        <v/>
      </c>
      <c r="AZ25" s="58"/>
      <c r="BA25" s="55"/>
      <c r="BB25" s="57" t="str">
        <f>_xlfn.LET(_xlpm._r,_xlfn.SINGLE(IF(OR($CC25="",BB$14="",BB$14&lt;_xlfn.SINGLE(INDEX('[1]ATTENDANCE DAILY'!$AV$4:$AV$663,$CC25)),BB$14&gt;_xlfn.SINGLE(INDEX('[1]ATTENDANCE DAILY'!$AW$4:$AW$663,$CC25))),"",IF(_xlfn.SINGLE(INDEX('[1]ATTENDANCE DAILY'!$I$4:$AM$663,$CC25,DAY(BB$14)))="T-Late","T-L",IF(_xlfn.SINGLE(INDEX('[1]ATTENDANCE DAILY'!$I$4:$AM$663,$CC25,DAY(BB$14)))="T-Cutting","T-C",INDEX('[1]ATTENDANCE DAILY'!$I$4:$AM$663,$CC25,DAY(BB$14)))))),IFERROR(IF(_xlpm._r=0,"",_xlpm._r),""))</f>
        <v/>
      </c>
      <c r="BC25" s="55"/>
      <c r="BD25" s="56" t="str">
        <f>_xlfn.LET(_xlpm._r,_xlfn.SINGLE(IF(OR($CC25="",BD$14="",BD$14&lt;_xlfn.SINGLE(INDEX('[1]ATTENDANCE DAILY'!$AV$4:$AV$663,$CC25)),BD$14&gt;_xlfn.SINGLE(INDEX('[1]ATTENDANCE DAILY'!$AW$4:$AW$663,$CC25))),"",IF(_xlfn.SINGLE(INDEX('[1]ATTENDANCE DAILY'!$I$4:$AM$663,$CC25,DAY(BD$14)))="T-Late","T-L",IF(_xlfn.SINGLE(INDEX('[1]ATTENDANCE DAILY'!$I$4:$AM$663,$CC25,DAY(BD$14)))="T-Cutting","T-C",INDEX('[1]ATTENDANCE DAILY'!$I$4:$AM$663,$CC25,DAY(BD$14)))))),IFERROR(IF(_xlpm._r=0,"",_xlpm._r),""))</f>
        <v/>
      </c>
      <c r="BE25" s="57" t="str">
        <f>_xlfn.LET(_xlpm._r,_xlfn.SINGLE(IF(OR($CC25="",BE$14="",BE$14&lt;_xlfn.SINGLE(INDEX('[1]ATTENDANCE DAILY'!$AV$4:$AV$663,$CC25)),BE$14&gt;_xlfn.SINGLE(INDEX('[1]ATTENDANCE DAILY'!$AW$4:$AW$663,$CC25))),"",IF(_xlfn.SINGLE(INDEX('[1]ATTENDANCE DAILY'!$I$4:$AM$663,$CC25,DAY(BE$14)))="T-Late","T-L",IF(_xlfn.SINGLE(INDEX('[1]ATTENDANCE DAILY'!$I$4:$AM$663,$CC25,DAY(BE$14)))="T-Cutting","T-C",INDEX('[1]ATTENDANCE DAILY'!$I$4:$AM$663,$CC25,DAY(BE$14)))))),IFERROR(IF(_xlpm._r=0,"",_xlpm._r),""))</f>
        <v/>
      </c>
      <c r="BF25" s="58"/>
      <c r="BG25" s="58"/>
      <c r="BH25" s="86"/>
      <c r="BI25" s="88">
        <f>IF($CC25="","",INDEX('[1]ATTENDANCE DAILY'!$AR$4:$AR$663,$CC25))</f>
        <v>0</v>
      </c>
      <c r="BJ25" s="89"/>
      <c r="BK25" s="90"/>
      <c r="BL25" s="88">
        <f>IF($CC25="","",INDEX('[1]ATTENDANCE DAILY'!$AS$4:$AS$663,$CC25))</f>
        <v>23</v>
      </c>
      <c r="BM25" s="89"/>
      <c r="BN25" s="89"/>
      <c r="BO25" s="90"/>
      <c r="BP25" s="91" t="str">
        <f>IF($CC25="","",IF(INDEX('[1]ATTENDANCE DAILY'!$AN$4:$AN$663,$CC25)="","",INDEX('[1]ATTENDANCE DAILY'!$AN$4:$AN$663,$CC25)&amp;IF(INDEX('[1]ATTENDANCE DAILY'!$AO$4:$AO$663,$CC25)="",""," ("&amp;TEXT(INDEX('[1]ATTENDANCE DAILY'!$AO$4:$AO$663,$CC25),"mm-dd-yyyy")&amp;")")&amp;IF(INDEX('[1]ATTENDANCE DAILY'!$AP$4:$AP$663,$CC25)="",""," - "&amp;INDEX('[1]ATTENDANCE DAILY'!$AP$4:$AP$663,$CC25))))</f>
        <v/>
      </c>
      <c r="BQ25" s="89"/>
      <c r="BR25" s="89"/>
      <c r="BS25" s="89"/>
      <c r="BT25" s="89"/>
      <c r="BU25" s="89"/>
      <c r="BV25" s="89"/>
      <c r="BW25" s="89"/>
      <c r="BX25" s="89"/>
      <c r="BY25" s="89"/>
      <c r="BZ25" s="89"/>
      <c r="CA25" s="90"/>
      <c r="CC25">
        <f>IF(COUNTIFS('[1]ATTENDANCE DAILY'!$C$4:$C$663,$BN$11,'[1]ATTENDANCE DAILY'!$F$4:$F$663,"Male",'[1]ATTENDANCE DAILY'!$G$4:$G$663,1,'[1]ATTENDANCE DAILY'!$BA$4:$BA$663,8)=0,"",SUMIFS('[1]ATTENDANCE DAILY'!$A$4:$A$663,'[1]ATTENDANCE DAILY'!$C$4:$C$663,$BN$11,'[1]ATTENDANCE DAILY'!$F$4:$F$663,"Male",'[1]ATTENDANCE DAILY'!$G$4:$G$663,1,'[1]ATTENDANCE DAILY'!$BA$4:$BA$663,8))</f>
        <v>68</v>
      </c>
    </row>
    <row r="26" spans="1:81" ht="19.95" customHeight="1">
      <c r="A26" s="80">
        <v>9</v>
      </c>
      <c r="B26" s="81"/>
      <c r="C26" s="81"/>
      <c r="D26" s="81"/>
      <c r="E26" s="81"/>
      <c r="F26" s="82"/>
      <c r="G26" s="83" t="str">
        <f>IF($CC26="","",INDEX('[1]ATTENDANCE DAILY'!$E$4:$E$663,$CC26))</f>
        <v>MEJIA, FRANCIS KHIAN LLARENA</v>
      </c>
      <c r="H26" s="84"/>
      <c r="I26" s="84"/>
      <c r="J26" s="85"/>
      <c r="K26" s="54" t="str">
        <f>_xlfn.LET(_xlpm._r,_xlfn.SINGLE(IF(OR($CC26="",K$14="",K$14&lt;_xlfn.SINGLE(INDEX('[1]ATTENDANCE DAILY'!$AV$4:$AV$663,$CC26)),K$14&gt;_xlfn.SINGLE(INDEX('[1]ATTENDANCE DAILY'!$AW$4:$AW$663,$CC26))),"",IF(_xlfn.SINGLE(INDEX('[1]ATTENDANCE DAILY'!$I$4:$AM$663,$CC26,DAY(K$14)))="T-Late","T-L",IF(_xlfn.SINGLE(INDEX('[1]ATTENDANCE DAILY'!$I$4:$AM$663,$CC26,DAY(K$14)))="T-Cutting","T-C",INDEX('[1]ATTENDANCE DAILY'!$I$4:$AM$663,$CC26,DAY(K$14)))))),IFERROR(IF(_xlpm._r=0,"",_xlpm._r),""))</f>
        <v/>
      </c>
      <c r="L26" s="55"/>
      <c r="M26" s="56" t="str">
        <f>_xlfn.LET(_xlpm._r,_xlfn.SINGLE(IF(OR($CC26="",M$14="",M$14&lt;_xlfn.SINGLE(INDEX('[1]ATTENDANCE DAILY'!$AV$4:$AV$663,$CC26)),M$14&gt;_xlfn.SINGLE(INDEX('[1]ATTENDANCE DAILY'!$AW$4:$AW$663,$CC26))),"",IF(_xlfn.SINGLE(INDEX('[1]ATTENDANCE DAILY'!$I$4:$AM$663,$CC26,DAY(M$14)))="T-Late","T-L",IF(_xlfn.SINGLE(INDEX('[1]ATTENDANCE DAILY'!$I$4:$AM$663,$CC26,DAY(M$14)))="T-Cutting","T-C",INDEX('[1]ATTENDANCE DAILY'!$I$4:$AM$663,$CC26,DAY(M$14)))))),IFERROR(IF(_xlpm._r=0,"",_xlpm._r),""))</f>
        <v/>
      </c>
      <c r="N26" s="56" t="str">
        <f>_xlfn.LET(_xlpm._r,_xlfn.SINGLE(IF(OR($CC26="",N$14="",N$14&lt;_xlfn.SINGLE(INDEX('[1]ATTENDANCE DAILY'!$AV$4:$AV$663,$CC26)),N$14&gt;_xlfn.SINGLE(INDEX('[1]ATTENDANCE DAILY'!$AW$4:$AW$663,$CC26))),"",IF(_xlfn.SINGLE(INDEX('[1]ATTENDANCE DAILY'!$I$4:$AM$663,$CC26,DAY(N$14)))="T-Late","T-L",IF(_xlfn.SINGLE(INDEX('[1]ATTENDANCE DAILY'!$I$4:$AM$663,$CC26,DAY(N$14)))="T-Cutting","T-C",INDEX('[1]ATTENDANCE DAILY'!$I$4:$AM$663,$CC26,DAY(N$14)))))),IFERROR(IF(_xlpm._r=0,"",_xlpm._r),""))</f>
        <v/>
      </c>
      <c r="O26" s="57" t="str">
        <f>_xlfn.LET(_xlpm._r,_xlfn.SINGLE(IF(OR($CC26="",O$14="",O$14&lt;_xlfn.SINGLE(INDEX('[1]ATTENDANCE DAILY'!$AV$4:$AV$663,$CC26)),O$14&gt;_xlfn.SINGLE(INDEX('[1]ATTENDANCE DAILY'!$AW$4:$AW$663,$CC26))),"",IF(_xlfn.SINGLE(INDEX('[1]ATTENDANCE DAILY'!$I$4:$AM$663,$CC26,DAY(O$14)))="T-Late","T-L",IF(_xlfn.SINGLE(INDEX('[1]ATTENDANCE DAILY'!$I$4:$AM$663,$CC26,DAY(O$14)))="T-Cutting","T-C",INDEX('[1]ATTENDANCE DAILY'!$I$4:$AM$663,$CC26,DAY(O$14)))))),IFERROR(IF(_xlpm._r=0,"",_xlpm._r),""))</f>
        <v/>
      </c>
      <c r="P26" s="58"/>
      <c r="Q26" s="58"/>
      <c r="R26" s="55"/>
      <c r="S26" s="57" t="str">
        <f>_xlfn.LET(_xlpm._r,_xlfn.SINGLE(IF(OR($CC26="",S$14="",S$14&lt;_xlfn.SINGLE(INDEX('[1]ATTENDANCE DAILY'!$AV$4:$AV$663,$CC26)),S$14&gt;_xlfn.SINGLE(INDEX('[1]ATTENDANCE DAILY'!$AW$4:$AW$663,$CC26))),"",IF(_xlfn.SINGLE(INDEX('[1]ATTENDANCE DAILY'!$I$4:$AM$663,$CC26,DAY(S$14)))="T-Late","T-L",IF(_xlfn.SINGLE(INDEX('[1]ATTENDANCE DAILY'!$I$4:$AM$663,$CC26,DAY(S$14)))="T-Cutting","T-C",INDEX('[1]ATTENDANCE DAILY'!$I$4:$AM$663,$CC26,DAY(S$14)))))),IFERROR(IF(_xlpm._r=0,"",_xlpm._r),""))</f>
        <v/>
      </c>
      <c r="T26" s="58"/>
      <c r="U26" s="86"/>
      <c r="V26" s="59" t="str">
        <f>_xlfn.LET(_xlpm._r,_xlfn.SINGLE(IF(OR($CC26="",V$14="",V$14&lt;_xlfn.SINGLE(INDEX('[1]ATTENDANCE DAILY'!$AV$4:$AV$663,$CC26)),V$14&gt;_xlfn.SINGLE(INDEX('[1]ATTENDANCE DAILY'!$AW$4:$AW$663,$CC26))),"",IF(_xlfn.SINGLE(INDEX('[1]ATTENDANCE DAILY'!$I$4:$AM$663,$CC26,DAY(V$14)))="T-Late","T-L",IF(_xlfn.SINGLE(INDEX('[1]ATTENDANCE DAILY'!$I$4:$AM$663,$CC26,DAY(V$14)))="T-Cutting","T-C",INDEX('[1]ATTENDANCE DAILY'!$I$4:$AM$663,$CC26,DAY(V$14)))))),IFERROR(IF(_xlpm._r=0,"",_xlpm._r),""))</f>
        <v/>
      </c>
      <c r="W26" s="57" t="str">
        <f>_xlfn.LET(_xlpm._r,_xlfn.SINGLE(IF(OR($CC26="",W$14="",W$14&lt;_xlfn.SINGLE(INDEX('[1]ATTENDANCE DAILY'!$AV$4:$AV$663,$CC26)),W$14&gt;_xlfn.SINGLE(INDEX('[1]ATTENDANCE DAILY'!$AW$4:$AW$663,$CC26))),"",IF(_xlfn.SINGLE(INDEX('[1]ATTENDANCE DAILY'!$I$4:$AM$663,$CC26,DAY(W$14)))="T-Late","T-L",IF(_xlfn.SINGLE(INDEX('[1]ATTENDANCE DAILY'!$I$4:$AM$663,$CC26,DAY(W$14)))="T-Cutting","T-C",INDEX('[1]ATTENDANCE DAILY'!$I$4:$AM$663,$CC26,DAY(W$14)))))),IFERROR(IF(_xlpm._r=0,"",_xlpm._r),""))</f>
        <v/>
      </c>
      <c r="X26" s="58"/>
      <c r="Y26" s="55"/>
      <c r="Z26" s="56" t="str">
        <f>_xlfn.LET(_xlpm._r,_xlfn.SINGLE(IF(OR($CC26="",Z$14="",Z$14&lt;_xlfn.SINGLE(INDEX('[1]ATTENDANCE DAILY'!$AV$4:$AV$663,$CC26)),Z$14&gt;_xlfn.SINGLE(INDEX('[1]ATTENDANCE DAILY'!$AW$4:$AW$663,$CC26))),"",IF(_xlfn.SINGLE(INDEX('[1]ATTENDANCE DAILY'!$I$4:$AM$663,$CC26,DAY(Z$14)))="T-Late","T-L",IF(_xlfn.SINGLE(INDEX('[1]ATTENDANCE DAILY'!$I$4:$AM$663,$CC26,DAY(Z$14)))="T-Cutting","T-C",INDEX('[1]ATTENDANCE DAILY'!$I$4:$AM$663,$CC26,DAY(Z$14)))))),IFERROR(IF(_xlpm._r=0,"",_xlpm._r),""))</f>
        <v/>
      </c>
      <c r="AA26" s="56" t="str">
        <f>_xlfn.LET(_xlpm._r,_xlfn.SINGLE(IF(OR($CC26="",AA$14="",AA$14&lt;_xlfn.SINGLE(INDEX('[1]ATTENDANCE DAILY'!$AV$4:$AV$663,$CC26)),AA$14&gt;_xlfn.SINGLE(INDEX('[1]ATTENDANCE DAILY'!$AW$4:$AW$663,$CC26))),"",IF(_xlfn.SINGLE(INDEX('[1]ATTENDANCE DAILY'!$I$4:$AM$663,$CC26,DAY(AA$14)))="T-Late","T-L",IF(_xlfn.SINGLE(INDEX('[1]ATTENDANCE DAILY'!$I$4:$AM$663,$CC26,DAY(AA$14)))="T-Cutting","T-C",INDEX('[1]ATTENDANCE DAILY'!$I$4:$AM$663,$CC26,DAY(AA$14)))))),IFERROR(IF(_xlpm._r=0,"",_xlpm._r),""))</f>
        <v/>
      </c>
      <c r="AB26" s="57" t="str">
        <f>_xlfn.LET(_xlpm._r,_xlfn.SINGLE(IF(OR($CC26="",AB$14="",AB$14&lt;_xlfn.SINGLE(INDEX('[1]ATTENDANCE DAILY'!$AV$4:$AV$663,$CC26)),AB$14&gt;_xlfn.SINGLE(INDEX('[1]ATTENDANCE DAILY'!$AW$4:$AW$663,$CC26))),"",IF(_xlfn.SINGLE(INDEX('[1]ATTENDANCE DAILY'!$I$4:$AM$663,$CC26,DAY(AB$14)))="T-Late","T-L",IF(_xlfn.SINGLE(INDEX('[1]ATTENDANCE DAILY'!$I$4:$AM$663,$CC26,DAY(AB$14)))="T-Cutting","T-C",INDEX('[1]ATTENDANCE DAILY'!$I$4:$AM$663,$CC26,DAY(AB$14)))))),IFERROR(IF(_xlpm._r=0,"",_xlpm._r),""))</f>
        <v/>
      </c>
      <c r="AC26" s="58"/>
      <c r="AD26" s="86"/>
      <c r="AE26" s="54" t="str">
        <f>_xlfn.LET(_xlpm._r,_xlfn.SINGLE(IF(OR($CC26="",AE$14="",AE$14&lt;_xlfn.SINGLE(INDEX('[1]ATTENDANCE DAILY'!$AV$4:$AV$663,$CC26)),AE$14&gt;_xlfn.SINGLE(INDEX('[1]ATTENDANCE DAILY'!$AW$4:$AW$663,$CC26))),"",IF(_xlfn.SINGLE(INDEX('[1]ATTENDANCE DAILY'!$I$4:$AM$663,$CC26,DAY(AE$14)))="T-Late","T-L",IF(_xlfn.SINGLE(INDEX('[1]ATTENDANCE DAILY'!$I$4:$AM$663,$CC26,DAY(AE$14)))="T-Cutting","T-C",INDEX('[1]ATTENDANCE DAILY'!$I$4:$AM$663,$CC26,DAY(AE$14)))))),IFERROR(IF(_xlpm._r=0,"",_xlpm._r),""))</f>
        <v/>
      </c>
      <c r="AF26" s="58"/>
      <c r="AG26" s="55"/>
      <c r="AH26" s="56" t="str">
        <f>_xlfn.LET(_xlpm._r,_xlfn.SINGLE(IF(OR($CC26="",AH$14="",AH$14&lt;_xlfn.SINGLE(INDEX('[1]ATTENDANCE DAILY'!$AV$4:$AV$663,$CC26)),AH$14&gt;_xlfn.SINGLE(INDEX('[1]ATTENDANCE DAILY'!$AW$4:$AW$663,$CC26))),"",IF(_xlfn.SINGLE(INDEX('[1]ATTENDANCE DAILY'!$I$4:$AM$663,$CC26,DAY(AH$14)))="T-Late","T-L",IF(_xlfn.SINGLE(INDEX('[1]ATTENDANCE DAILY'!$I$4:$AM$663,$CC26,DAY(AH$14)))="T-Cutting","T-C",INDEX('[1]ATTENDANCE DAILY'!$I$4:$AM$663,$CC26,DAY(AH$14)))))),IFERROR(IF(_xlpm._r=0,"",_xlpm._r),""))</f>
        <v/>
      </c>
      <c r="AI26" s="57" t="str">
        <f>_xlfn.LET(_xlpm._r,_xlfn.SINGLE(IF(OR($CC26="",AI$14="",AI$14&lt;_xlfn.SINGLE(INDEX('[1]ATTENDANCE DAILY'!$AV$4:$AV$663,$CC26)),AI$14&gt;_xlfn.SINGLE(INDEX('[1]ATTENDANCE DAILY'!$AW$4:$AW$663,$CC26))),"",IF(_xlfn.SINGLE(INDEX('[1]ATTENDANCE DAILY'!$I$4:$AM$663,$CC26,DAY(AI$14)))="T-Late","T-L",IF(_xlfn.SINGLE(INDEX('[1]ATTENDANCE DAILY'!$I$4:$AM$663,$CC26,DAY(AI$14)))="T-Cutting","T-C",INDEX('[1]ATTENDANCE DAILY'!$I$4:$AM$663,$CC26,DAY(AI$14)))))),IFERROR(IF(_xlpm._r=0,"",_xlpm._r),""))</f>
        <v/>
      </c>
      <c r="AJ26" s="58"/>
      <c r="AK26" s="55"/>
      <c r="AL26" s="57" t="str">
        <f>_xlfn.LET(_xlpm._r,_xlfn.SINGLE(IF(OR($CC26="",AL$14="",AL$14&lt;_xlfn.SINGLE(INDEX('[1]ATTENDANCE DAILY'!$AV$4:$AV$663,$CC26)),AL$14&gt;_xlfn.SINGLE(INDEX('[1]ATTENDANCE DAILY'!$AW$4:$AW$663,$CC26))),"",IF(_xlfn.SINGLE(INDEX('[1]ATTENDANCE DAILY'!$I$4:$AM$663,$CC26,DAY(AL$14)))="T-Late","T-L",IF(_xlfn.SINGLE(INDEX('[1]ATTENDANCE DAILY'!$I$4:$AM$663,$CC26,DAY(AL$14)))="T-Cutting","T-C",INDEX('[1]ATTENDANCE DAILY'!$I$4:$AM$663,$CC26,DAY(AL$14)))))),IFERROR(IF(_xlpm._r=0,"",_xlpm._r),""))</f>
        <v/>
      </c>
      <c r="AM26" s="55"/>
      <c r="AN26" s="57" t="str">
        <f>_xlfn.LET(_xlpm._r,_xlfn.SINGLE(IF(OR($CC26="",AN$14="",AN$14&lt;_xlfn.SINGLE(INDEX('[1]ATTENDANCE DAILY'!$AV$4:$AV$663,$CC26)),AN$14&gt;_xlfn.SINGLE(INDEX('[1]ATTENDANCE DAILY'!$AW$4:$AW$663,$CC26))),"",IF(_xlfn.SINGLE(INDEX('[1]ATTENDANCE DAILY'!$I$4:$AM$663,$CC26,DAY(AN$14)))="T-Late","T-L",IF(_xlfn.SINGLE(INDEX('[1]ATTENDANCE DAILY'!$I$4:$AM$663,$CC26,DAY(AN$14)))="T-Cutting","T-C",INDEX('[1]ATTENDANCE DAILY'!$I$4:$AM$663,$CC26,DAY(AN$14)))))),IFERROR(IF(_xlpm._r=0,"",_xlpm._r),""))</f>
        <v/>
      </c>
      <c r="AO26" s="86"/>
      <c r="AP26" s="54" t="str">
        <f>_xlfn.LET(_xlpm._r,_xlfn.SINGLE(IF(OR($CC26="",AP$14="",AP$14&lt;_xlfn.SINGLE(INDEX('[1]ATTENDANCE DAILY'!$AV$4:$AV$663,$CC26)),AP$14&gt;_xlfn.SINGLE(INDEX('[1]ATTENDANCE DAILY'!$AW$4:$AW$663,$CC26))),"",IF(_xlfn.SINGLE(INDEX('[1]ATTENDANCE DAILY'!$I$4:$AM$663,$CC26,DAY(AP$14)))="T-Late","T-L",IF(_xlfn.SINGLE(INDEX('[1]ATTENDANCE DAILY'!$I$4:$AM$663,$CC26,DAY(AP$14)))="T-Cutting","T-C",INDEX('[1]ATTENDANCE DAILY'!$I$4:$AM$663,$CC26,DAY(AP$14)))))),IFERROR(IF(_xlpm._r=0,"",_xlpm._r),""))</f>
        <v/>
      </c>
      <c r="AQ26" s="55"/>
      <c r="AR26" s="56" t="str">
        <f>_xlfn.LET(_xlpm._r,_xlfn.SINGLE(IF(OR($CC26="",AR$14="",AR$14&lt;_xlfn.SINGLE(INDEX('[1]ATTENDANCE DAILY'!$AV$4:$AV$663,$CC26)),AR$14&gt;_xlfn.SINGLE(INDEX('[1]ATTENDANCE DAILY'!$AW$4:$AW$663,$CC26))),"",IF(_xlfn.SINGLE(INDEX('[1]ATTENDANCE DAILY'!$I$4:$AM$663,$CC26,DAY(AR$14)))="T-Late","T-L",IF(_xlfn.SINGLE(INDEX('[1]ATTENDANCE DAILY'!$I$4:$AM$663,$CC26,DAY(AR$14)))="T-Cutting","T-C",INDEX('[1]ATTENDANCE DAILY'!$I$4:$AM$663,$CC26,DAY(AR$14)))))),IFERROR(IF(_xlpm._r=0,"",_xlpm._r),""))</f>
        <v/>
      </c>
      <c r="AS26" s="57" t="str">
        <f>_xlfn.LET(_xlpm._r,_xlfn.SINGLE(IF(OR($CC26="",AS$14="",AS$14&lt;_xlfn.SINGLE(INDEX('[1]ATTENDANCE DAILY'!$AV$4:$AV$663,$CC26)),AS$14&gt;_xlfn.SINGLE(INDEX('[1]ATTENDANCE DAILY'!$AW$4:$AW$663,$CC26))),"",IF(_xlfn.SINGLE(INDEX('[1]ATTENDANCE DAILY'!$I$4:$AM$663,$CC26,DAY(AS$14)))="T-Late","T-L",IF(_xlfn.SINGLE(INDEX('[1]ATTENDANCE DAILY'!$I$4:$AM$663,$CC26,DAY(AS$14)))="T-Cutting","T-C",INDEX('[1]ATTENDANCE DAILY'!$I$4:$AM$663,$CC26,DAY(AS$14)))))),IFERROR(IF(_xlpm._r=0,"",_xlpm._r),""))</f>
        <v/>
      </c>
      <c r="AT26" s="55"/>
      <c r="AU26" s="56" t="str">
        <f>_xlfn.LET(_xlpm._r,_xlfn.SINGLE(IF(OR($CC26="",AU$14="",AU$14&lt;_xlfn.SINGLE(INDEX('[1]ATTENDANCE DAILY'!$AV$4:$AV$663,$CC26)),AU$14&gt;_xlfn.SINGLE(INDEX('[1]ATTENDANCE DAILY'!$AW$4:$AW$663,$CC26))),"",IF(_xlfn.SINGLE(INDEX('[1]ATTENDANCE DAILY'!$I$4:$AM$663,$CC26,DAY(AU$14)))="T-Late","T-L",IF(_xlfn.SINGLE(INDEX('[1]ATTENDANCE DAILY'!$I$4:$AM$663,$CC26,DAY(AU$14)))="T-Cutting","T-C",INDEX('[1]ATTENDANCE DAILY'!$I$4:$AM$663,$CC26,DAY(AU$14)))))),IFERROR(IF(_xlpm._r=0,"",_xlpm._r),""))</f>
        <v/>
      </c>
      <c r="AV26" s="87" t="str">
        <f>_xlfn.LET(_xlpm._r,_xlfn.SINGLE(IF(OR($CC26="",AV$14="",AV$14&lt;_xlfn.SINGLE(INDEX('[1]ATTENDANCE DAILY'!$AV$4:$AV$663,$CC26)),AV$14&gt;_xlfn.SINGLE(INDEX('[1]ATTENDANCE DAILY'!$AW$4:$AW$663,$CC26))),"",IF(_xlfn.SINGLE(INDEX('[1]ATTENDANCE DAILY'!$I$4:$AM$663,$CC26,DAY(AV$14)))="T-Late","T-L",IF(_xlfn.SINGLE(INDEX('[1]ATTENDANCE DAILY'!$I$4:$AM$663,$CC26,DAY(AV$14)))="T-Cutting","T-C",INDEX('[1]ATTENDANCE DAILY'!$I$4:$AM$663,$CC26,DAY(AV$14)))))),IFERROR(IF(_xlpm._r=0,"",_xlpm._r),""))</f>
        <v/>
      </c>
      <c r="AW26" s="54" t="str">
        <f>_xlfn.LET(_xlpm._r,_xlfn.SINGLE(IF(OR($CC26="",AW$14="",AW$14&lt;_xlfn.SINGLE(INDEX('[1]ATTENDANCE DAILY'!$AV$4:$AV$663,$CC26)),AW$14&gt;_xlfn.SINGLE(INDEX('[1]ATTENDANCE DAILY'!$AW$4:$AW$663,$CC26))),"",IF(_xlfn.SINGLE(INDEX('[1]ATTENDANCE DAILY'!$I$4:$AM$663,$CC26,DAY(AW$14)))="T-Late","T-L",IF(_xlfn.SINGLE(INDEX('[1]ATTENDANCE DAILY'!$I$4:$AM$663,$CC26,DAY(AW$14)))="T-Cutting","T-C",INDEX('[1]ATTENDANCE DAILY'!$I$4:$AM$663,$CC26,DAY(AW$14)))))),IFERROR(IF(_xlpm._r=0,"",_xlpm._r),""))</f>
        <v/>
      </c>
      <c r="AX26" s="55"/>
      <c r="AY26" s="57" t="str">
        <f>_xlfn.LET(_xlpm._r,_xlfn.SINGLE(IF(OR($CC26="",AY$14="",AY$14&lt;_xlfn.SINGLE(INDEX('[1]ATTENDANCE DAILY'!$AV$4:$AV$663,$CC26)),AY$14&gt;_xlfn.SINGLE(INDEX('[1]ATTENDANCE DAILY'!$AW$4:$AW$663,$CC26))),"",IF(_xlfn.SINGLE(INDEX('[1]ATTENDANCE DAILY'!$I$4:$AM$663,$CC26,DAY(AY$14)))="T-Late","T-L",IF(_xlfn.SINGLE(INDEX('[1]ATTENDANCE DAILY'!$I$4:$AM$663,$CC26,DAY(AY$14)))="T-Cutting","T-C",INDEX('[1]ATTENDANCE DAILY'!$I$4:$AM$663,$CC26,DAY(AY$14)))))),IFERROR(IF(_xlpm._r=0,"",_xlpm._r),""))</f>
        <v/>
      </c>
      <c r="AZ26" s="58"/>
      <c r="BA26" s="55"/>
      <c r="BB26" s="57" t="str">
        <f>_xlfn.LET(_xlpm._r,_xlfn.SINGLE(IF(OR($CC26="",BB$14="",BB$14&lt;_xlfn.SINGLE(INDEX('[1]ATTENDANCE DAILY'!$AV$4:$AV$663,$CC26)),BB$14&gt;_xlfn.SINGLE(INDEX('[1]ATTENDANCE DAILY'!$AW$4:$AW$663,$CC26))),"",IF(_xlfn.SINGLE(INDEX('[1]ATTENDANCE DAILY'!$I$4:$AM$663,$CC26,DAY(BB$14)))="T-Late","T-L",IF(_xlfn.SINGLE(INDEX('[1]ATTENDANCE DAILY'!$I$4:$AM$663,$CC26,DAY(BB$14)))="T-Cutting","T-C",INDEX('[1]ATTENDANCE DAILY'!$I$4:$AM$663,$CC26,DAY(BB$14)))))),IFERROR(IF(_xlpm._r=0,"",_xlpm._r),""))</f>
        <v/>
      </c>
      <c r="BC26" s="55"/>
      <c r="BD26" s="56" t="str">
        <f>_xlfn.LET(_xlpm._r,_xlfn.SINGLE(IF(OR($CC26="",BD$14="",BD$14&lt;_xlfn.SINGLE(INDEX('[1]ATTENDANCE DAILY'!$AV$4:$AV$663,$CC26)),BD$14&gt;_xlfn.SINGLE(INDEX('[1]ATTENDANCE DAILY'!$AW$4:$AW$663,$CC26))),"",IF(_xlfn.SINGLE(INDEX('[1]ATTENDANCE DAILY'!$I$4:$AM$663,$CC26,DAY(BD$14)))="T-Late","T-L",IF(_xlfn.SINGLE(INDEX('[1]ATTENDANCE DAILY'!$I$4:$AM$663,$CC26,DAY(BD$14)))="T-Cutting","T-C",INDEX('[1]ATTENDANCE DAILY'!$I$4:$AM$663,$CC26,DAY(BD$14)))))),IFERROR(IF(_xlpm._r=0,"",_xlpm._r),""))</f>
        <v/>
      </c>
      <c r="BE26" s="57" t="str">
        <f>_xlfn.LET(_xlpm._r,_xlfn.SINGLE(IF(OR($CC26="",BE$14="",BE$14&lt;_xlfn.SINGLE(INDEX('[1]ATTENDANCE DAILY'!$AV$4:$AV$663,$CC26)),BE$14&gt;_xlfn.SINGLE(INDEX('[1]ATTENDANCE DAILY'!$AW$4:$AW$663,$CC26))),"",IF(_xlfn.SINGLE(INDEX('[1]ATTENDANCE DAILY'!$I$4:$AM$663,$CC26,DAY(BE$14)))="T-Late","T-L",IF(_xlfn.SINGLE(INDEX('[1]ATTENDANCE DAILY'!$I$4:$AM$663,$CC26,DAY(BE$14)))="T-Cutting","T-C",INDEX('[1]ATTENDANCE DAILY'!$I$4:$AM$663,$CC26,DAY(BE$14)))))),IFERROR(IF(_xlpm._r=0,"",_xlpm._r),""))</f>
        <v/>
      </c>
      <c r="BF26" s="58"/>
      <c r="BG26" s="58"/>
      <c r="BH26" s="86"/>
      <c r="BI26" s="88">
        <f>IF($CC26="","",INDEX('[1]ATTENDANCE DAILY'!$AR$4:$AR$663,$CC26))</f>
        <v>0</v>
      </c>
      <c r="BJ26" s="89"/>
      <c r="BK26" s="90"/>
      <c r="BL26" s="88">
        <f>IF($CC26="","",INDEX('[1]ATTENDANCE DAILY'!$AS$4:$AS$663,$CC26))</f>
        <v>23</v>
      </c>
      <c r="BM26" s="89"/>
      <c r="BN26" s="89"/>
      <c r="BO26" s="90"/>
      <c r="BP26" s="91" t="str">
        <f>IF($CC26="","",IF(INDEX('[1]ATTENDANCE DAILY'!$AN$4:$AN$663,$CC26)="","",INDEX('[1]ATTENDANCE DAILY'!$AN$4:$AN$663,$CC26)&amp;IF(INDEX('[1]ATTENDANCE DAILY'!$AO$4:$AO$663,$CC26)="",""," ("&amp;TEXT(INDEX('[1]ATTENDANCE DAILY'!$AO$4:$AO$663,$CC26),"mm-dd-yyyy")&amp;")")&amp;IF(INDEX('[1]ATTENDANCE DAILY'!$AP$4:$AP$663,$CC26)="",""," - "&amp;INDEX('[1]ATTENDANCE DAILY'!$AP$4:$AP$663,$CC26))))</f>
        <v/>
      </c>
      <c r="BQ26" s="89"/>
      <c r="BR26" s="89"/>
      <c r="BS26" s="89"/>
      <c r="BT26" s="89"/>
      <c r="BU26" s="89"/>
      <c r="BV26" s="89"/>
      <c r="BW26" s="89"/>
      <c r="BX26" s="89"/>
      <c r="BY26" s="89"/>
      <c r="BZ26" s="89"/>
      <c r="CA26" s="90"/>
      <c r="CC26">
        <f>IF(COUNTIFS('[1]ATTENDANCE DAILY'!$C$4:$C$663,$BN$11,'[1]ATTENDANCE DAILY'!$F$4:$F$663,"Male",'[1]ATTENDANCE DAILY'!$G$4:$G$663,1,'[1]ATTENDANCE DAILY'!$BA$4:$BA$663,9)=0,"",SUMIFS('[1]ATTENDANCE DAILY'!$A$4:$A$663,'[1]ATTENDANCE DAILY'!$C$4:$C$663,$BN$11,'[1]ATTENDANCE DAILY'!$F$4:$F$663,"Male",'[1]ATTENDANCE DAILY'!$G$4:$G$663,1,'[1]ATTENDANCE DAILY'!$BA$4:$BA$663,9))</f>
        <v>69</v>
      </c>
    </row>
    <row r="27" spans="1:81" ht="19.95" customHeight="1">
      <c r="A27" s="80">
        <v>10</v>
      </c>
      <c r="B27" s="81"/>
      <c r="C27" s="81"/>
      <c r="D27" s="81"/>
      <c r="E27" s="81"/>
      <c r="F27" s="82"/>
      <c r="G27" s="83" t="str">
        <f>IF($CC27="","",INDEX('[1]ATTENDANCE DAILY'!$E$4:$E$663,$CC27))</f>
        <v>NERI, GABRIEL BRIONES</v>
      </c>
      <c r="H27" s="84"/>
      <c r="I27" s="84"/>
      <c r="J27" s="85"/>
      <c r="K27" s="54" t="str">
        <f>_xlfn.LET(_xlpm._r,_xlfn.SINGLE(IF(OR($CC27="",K$14="",K$14&lt;_xlfn.SINGLE(INDEX('[1]ATTENDANCE DAILY'!$AV$4:$AV$663,$CC27)),K$14&gt;_xlfn.SINGLE(INDEX('[1]ATTENDANCE DAILY'!$AW$4:$AW$663,$CC27))),"",IF(_xlfn.SINGLE(INDEX('[1]ATTENDANCE DAILY'!$I$4:$AM$663,$CC27,DAY(K$14)))="T-Late","T-L",IF(_xlfn.SINGLE(INDEX('[1]ATTENDANCE DAILY'!$I$4:$AM$663,$CC27,DAY(K$14)))="T-Cutting","T-C",INDEX('[1]ATTENDANCE DAILY'!$I$4:$AM$663,$CC27,DAY(K$14)))))),IFERROR(IF(_xlpm._r=0,"",_xlpm._r),""))</f>
        <v/>
      </c>
      <c r="L27" s="55"/>
      <c r="M27" s="56" t="str">
        <f>_xlfn.LET(_xlpm._r,_xlfn.SINGLE(IF(OR($CC27="",M$14="",M$14&lt;_xlfn.SINGLE(INDEX('[1]ATTENDANCE DAILY'!$AV$4:$AV$663,$CC27)),M$14&gt;_xlfn.SINGLE(INDEX('[1]ATTENDANCE DAILY'!$AW$4:$AW$663,$CC27))),"",IF(_xlfn.SINGLE(INDEX('[1]ATTENDANCE DAILY'!$I$4:$AM$663,$CC27,DAY(M$14)))="T-Late","T-L",IF(_xlfn.SINGLE(INDEX('[1]ATTENDANCE DAILY'!$I$4:$AM$663,$CC27,DAY(M$14)))="T-Cutting","T-C",INDEX('[1]ATTENDANCE DAILY'!$I$4:$AM$663,$CC27,DAY(M$14)))))),IFERROR(IF(_xlpm._r=0,"",_xlpm._r),""))</f>
        <v/>
      </c>
      <c r="N27" s="56" t="str">
        <f>_xlfn.LET(_xlpm._r,_xlfn.SINGLE(IF(OR($CC27="",N$14="",N$14&lt;_xlfn.SINGLE(INDEX('[1]ATTENDANCE DAILY'!$AV$4:$AV$663,$CC27)),N$14&gt;_xlfn.SINGLE(INDEX('[1]ATTENDANCE DAILY'!$AW$4:$AW$663,$CC27))),"",IF(_xlfn.SINGLE(INDEX('[1]ATTENDANCE DAILY'!$I$4:$AM$663,$CC27,DAY(N$14)))="T-Late","T-L",IF(_xlfn.SINGLE(INDEX('[1]ATTENDANCE DAILY'!$I$4:$AM$663,$CC27,DAY(N$14)))="T-Cutting","T-C",INDEX('[1]ATTENDANCE DAILY'!$I$4:$AM$663,$CC27,DAY(N$14)))))),IFERROR(IF(_xlpm._r=0,"",_xlpm._r),""))</f>
        <v/>
      </c>
      <c r="O27" s="57" t="str">
        <f>_xlfn.LET(_xlpm._r,_xlfn.SINGLE(IF(OR($CC27="",O$14="",O$14&lt;_xlfn.SINGLE(INDEX('[1]ATTENDANCE DAILY'!$AV$4:$AV$663,$CC27)),O$14&gt;_xlfn.SINGLE(INDEX('[1]ATTENDANCE DAILY'!$AW$4:$AW$663,$CC27))),"",IF(_xlfn.SINGLE(INDEX('[1]ATTENDANCE DAILY'!$I$4:$AM$663,$CC27,DAY(O$14)))="T-Late","T-L",IF(_xlfn.SINGLE(INDEX('[1]ATTENDANCE DAILY'!$I$4:$AM$663,$CC27,DAY(O$14)))="T-Cutting","T-C",INDEX('[1]ATTENDANCE DAILY'!$I$4:$AM$663,$CC27,DAY(O$14)))))),IFERROR(IF(_xlpm._r=0,"",_xlpm._r),""))</f>
        <v/>
      </c>
      <c r="P27" s="58"/>
      <c r="Q27" s="58"/>
      <c r="R27" s="55"/>
      <c r="S27" s="57" t="str">
        <f>_xlfn.LET(_xlpm._r,_xlfn.SINGLE(IF(OR($CC27="",S$14="",S$14&lt;_xlfn.SINGLE(INDEX('[1]ATTENDANCE DAILY'!$AV$4:$AV$663,$CC27)),S$14&gt;_xlfn.SINGLE(INDEX('[1]ATTENDANCE DAILY'!$AW$4:$AW$663,$CC27))),"",IF(_xlfn.SINGLE(INDEX('[1]ATTENDANCE DAILY'!$I$4:$AM$663,$CC27,DAY(S$14)))="T-Late","T-L",IF(_xlfn.SINGLE(INDEX('[1]ATTENDANCE DAILY'!$I$4:$AM$663,$CC27,DAY(S$14)))="T-Cutting","T-C",INDEX('[1]ATTENDANCE DAILY'!$I$4:$AM$663,$CC27,DAY(S$14)))))),IFERROR(IF(_xlpm._r=0,"",_xlpm._r),""))</f>
        <v/>
      </c>
      <c r="T27" s="58"/>
      <c r="U27" s="86"/>
      <c r="V27" s="59" t="str">
        <f>_xlfn.LET(_xlpm._r,_xlfn.SINGLE(IF(OR($CC27="",V$14="",V$14&lt;_xlfn.SINGLE(INDEX('[1]ATTENDANCE DAILY'!$AV$4:$AV$663,$CC27)),V$14&gt;_xlfn.SINGLE(INDEX('[1]ATTENDANCE DAILY'!$AW$4:$AW$663,$CC27))),"",IF(_xlfn.SINGLE(INDEX('[1]ATTENDANCE DAILY'!$I$4:$AM$663,$CC27,DAY(V$14)))="T-Late","T-L",IF(_xlfn.SINGLE(INDEX('[1]ATTENDANCE DAILY'!$I$4:$AM$663,$CC27,DAY(V$14)))="T-Cutting","T-C",INDEX('[1]ATTENDANCE DAILY'!$I$4:$AM$663,$CC27,DAY(V$14)))))),IFERROR(IF(_xlpm._r=0,"",_xlpm._r),""))</f>
        <v/>
      </c>
      <c r="W27" s="57" t="str">
        <f>_xlfn.LET(_xlpm._r,_xlfn.SINGLE(IF(OR($CC27="",W$14="",W$14&lt;_xlfn.SINGLE(INDEX('[1]ATTENDANCE DAILY'!$AV$4:$AV$663,$CC27)),W$14&gt;_xlfn.SINGLE(INDEX('[1]ATTENDANCE DAILY'!$AW$4:$AW$663,$CC27))),"",IF(_xlfn.SINGLE(INDEX('[1]ATTENDANCE DAILY'!$I$4:$AM$663,$CC27,DAY(W$14)))="T-Late","T-L",IF(_xlfn.SINGLE(INDEX('[1]ATTENDANCE DAILY'!$I$4:$AM$663,$CC27,DAY(W$14)))="T-Cutting","T-C",INDEX('[1]ATTENDANCE DAILY'!$I$4:$AM$663,$CC27,DAY(W$14)))))),IFERROR(IF(_xlpm._r=0,"",_xlpm._r),""))</f>
        <v/>
      </c>
      <c r="X27" s="58"/>
      <c r="Y27" s="55"/>
      <c r="Z27" s="56" t="str">
        <f>_xlfn.LET(_xlpm._r,_xlfn.SINGLE(IF(OR($CC27="",Z$14="",Z$14&lt;_xlfn.SINGLE(INDEX('[1]ATTENDANCE DAILY'!$AV$4:$AV$663,$CC27)),Z$14&gt;_xlfn.SINGLE(INDEX('[1]ATTENDANCE DAILY'!$AW$4:$AW$663,$CC27))),"",IF(_xlfn.SINGLE(INDEX('[1]ATTENDANCE DAILY'!$I$4:$AM$663,$CC27,DAY(Z$14)))="T-Late","T-L",IF(_xlfn.SINGLE(INDEX('[1]ATTENDANCE DAILY'!$I$4:$AM$663,$CC27,DAY(Z$14)))="T-Cutting","T-C",INDEX('[1]ATTENDANCE DAILY'!$I$4:$AM$663,$CC27,DAY(Z$14)))))),IFERROR(IF(_xlpm._r=0,"",_xlpm._r),""))</f>
        <v/>
      </c>
      <c r="AA27" s="56" t="str">
        <f>_xlfn.LET(_xlpm._r,_xlfn.SINGLE(IF(OR($CC27="",AA$14="",AA$14&lt;_xlfn.SINGLE(INDEX('[1]ATTENDANCE DAILY'!$AV$4:$AV$663,$CC27)),AA$14&gt;_xlfn.SINGLE(INDEX('[1]ATTENDANCE DAILY'!$AW$4:$AW$663,$CC27))),"",IF(_xlfn.SINGLE(INDEX('[1]ATTENDANCE DAILY'!$I$4:$AM$663,$CC27,DAY(AA$14)))="T-Late","T-L",IF(_xlfn.SINGLE(INDEX('[1]ATTENDANCE DAILY'!$I$4:$AM$663,$CC27,DAY(AA$14)))="T-Cutting","T-C",INDEX('[1]ATTENDANCE DAILY'!$I$4:$AM$663,$CC27,DAY(AA$14)))))),IFERROR(IF(_xlpm._r=0,"",_xlpm._r),""))</f>
        <v/>
      </c>
      <c r="AB27" s="57" t="str">
        <f>_xlfn.LET(_xlpm._r,_xlfn.SINGLE(IF(OR($CC27="",AB$14="",AB$14&lt;_xlfn.SINGLE(INDEX('[1]ATTENDANCE DAILY'!$AV$4:$AV$663,$CC27)),AB$14&gt;_xlfn.SINGLE(INDEX('[1]ATTENDANCE DAILY'!$AW$4:$AW$663,$CC27))),"",IF(_xlfn.SINGLE(INDEX('[1]ATTENDANCE DAILY'!$I$4:$AM$663,$CC27,DAY(AB$14)))="T-Late","T-L",IF(_xlfn.SINGLE(INDEX('[1]ATTENDANCE DAILY'!$I$4:$AM$663,$CC27,DAY(AB$14)))="T-Cutting","T-C",INDEX('[1]ATTENDANCE DAILY'!$I$4:$AM$663,$CC27,DAY(AB$14)))))),IFERROR(IF(_xlpm._r=0,"",_xlpm._r),""))</f>
        <v/>
      </c>
      <c r="AC27" s="58"/>
      <c r="AD27" s="86"/>
      <c r="AE27" s="54" t="str">
        <f>_xlfn.LET(_xlpm._r,_xlfn.SINGLE(IF(OR($CC27="",AE$14="",AE$14&lt;_xlfn.SINGLE(INDEX('[1]ATTENDANCE DAILY'!$AV$4:$AV$663,$CC27)),AE$14&gt;_xlfn.SINGLE(INDEX('[1]ATTENDANCE DAILY'!$AW$4:$AW$663,$CC27))),"",IF(_xlfn.SINGLE(INDEX('[1]ATTENDANCE DAILY'!$I$4:$AM$663,$CC27,DAY(AE$14)))="T-Late","T-L",IF(_xlfn.SINGLE(INDEX('[1]ATTENDANCE DAILY'!$I$4:$AM$663,$CC27,DAY(AE$14)))="T-Cutting","T-C",INDEX('[1]ATTENDANCE DAILY'!$I$4:$AM$663,$CC27,DAY(AE$14)))))),IFERROR(IF(_xlpm._r=0,"",_xlpm._r),""))</f>
        <v/>
      </c>
      <c r="AF27" s="58"/>
      <c r="AG27" s="55"/>
      <c r="AH27" s="56" t="str">
        <f>_xlfn.LET(_xlpm._r,_xlfn.SINGLE(IF(OR($CC27="",AH$14="",AH$14&lt;_xlfn.SINGLE(INDEX('[1]ATTENDANCE DAILY'!$AV$4:$AV$663,$CC27)),AH$14&gt;_xlfn.SINGLE(INDEX('[1]ATTENDANCE DAILY'!$AW$4:$AW$663,$CC27))),"",IF(_xlfn.SINGLE(INDEX('[1]ATTENDANCE DAILY'!$I$4:$AM$663,$CC27,DAY(AH$14)))="T-Late","T-L",IF(_xlfn.SINGLE(INDEX('[1]ATTENDANCE DAILY'!$I$4:$AM$663,$CC27,DAY(AH$14)))="T-Cutting","T-C",INDEX('[1]ATTENDANCE DAILY'!$I$4:$AM$663,$CC27,DAY(AH$14)))))),IFERROR(IF(_xlpm._r=0,"",_xlpm._r),""))</f>
        <v/>
      </c>
      <c r="AI27" s="57" t="str">
        <f>_xlfn.LET(_xlpm._r,_xlfn.SINGLE(IF(OR($CC27="",AI$14="",AI$14&lt;_xlfn.SINGLE(INDEX('[1]ATTENDANCE DAILY'!$AV$4:$AV$663,$CC27)),AI$14&gt;_xlfn.SINGLE(INDEX('[1]ATTENDANCE DAILY'!$AW$4:$AW$663,$CC27))),"",IF(_xlfn.SINGLE(INDEX('[1]ATTENDANCE DAILY'!$I$4:$AM$663,$CC27,DAY(AI$14)))="T-Late","T-L",IF(_xlfn.SINGLE(INDEX('[1]ATTENDANCE DAILY'!$I$4:$AM$663,$CC27,DAY(AI$14)))="T-Cutting","T-C",INDEX('[1]ATTENDANCE DAILY'!$I$4:$AM$663,$CC27,DAY(AI$14)))))),IFERROR(IF(_xlpm._r=0,"",_xlpm._r),""))</f>
        <v/>
      </c>
      <c r="AJ27" s="58"/>
      <c r="AK27" s="55"/>
      <c r="AL27" s="57" t="str">
        <f>_xlfn.LET(_xlpm._r,_xlfn.SINGLE(IF(OR($CC27="",AL$14="",AL$14&lt;_xlfn.SINGLE(INDEX('[1]ATTENDANCE DAILY'!$AV$4:$AV$663,$CC27)),AL$14&gt;_xlfn.SINGLE(INDEX('[1]ATTENDANCE DAILY'!$AW$4:$AW$663,$CC27))),"",IF(_xlfn.SINGLE(INDEX('[1]ATTENDANCE DAILY'!$I$4:$AM$663,$CC27,DAY(AL$14)))="T-Late","T-L",IF(_xlfn.SINGLE(INDEX('[1]ATTENDANCE DAILY'!$I$4:$AM$663,$CC27,DAY(AL$14)))="T-Cutting","T-C",INDEX('[1]ATTENDANCE DAILY'!$I$4:$AM$663,$CC27,DAY(AL$14)))))),IFERROR(IF(_xlpm._r=0,"",_xlpm._r),""))</f>
        <v/>
      </c>
      <c r="AM27" s="55"/>
      <c r="AN27" s="57" t="str">
        <f>_xlfn.LET(_xlpm._r,_xlfn.SINGLE(IF(OR($CC27="",AN$14="",AN$14&lt;_xlfn.SINGLE(INDEX('[1]ATTENDANCE DAILY'!$AV$4:$AV$663,$CC27)),AN$14&gt;_xlfn.SINGLE(INDEX('[1]ATTENDANCE DAILY'!$AW$4:$AW$663,$CC27))),"",IF(_xlfn.SINGLE(INDEX('[1]ATTENDANCE DAILY'!$I$4:$AM$663,$CC27,DAY(AN$14)))="T-Late","T-L",IF(_xlfn.SINGLE(INDEX('[1]ATTENDANCE DAILY'!$I$4:$AM$663,$CC27,DAY(AN$14)))="T-Cutting","T-C",INDEX('[1]ATTENDANCE DAILY'!$I$4:$AM$663,$CC27,DAY(AN$14)))))),IFERROR(IF(_xlpm._r=0,"",_xlpm._r),""))</f>
        <v/>
      </c>
      <c r="AO27" s="86"/>
      <c r="AP27" s="54" t="str">
        <f>_xlfn.LET(_xlpm._r,_xlfn.SINGLE(IF(OR($CC27="",AP$14="",AP$14&lt;_xlfn.SINGLE(INDEX('[1]ATTENDANCE DAILY'!$AV$4:$AV$663,$CC27)),AP$14&gt;_xlfn.SINGLE(INDEX('[1]ATTENDANCE DAILY'!$AW$4:$AW$663,$CC27))),"",IF(_xlfn.SINGLE(INDEX('[1]ATTENDANCE DAILY'!$I$4:$AM$663,$CC27,DAY(AP$14)))="T-Late","T-L",IF(_xlfn.SINGLE(INDEX('[1]ATTENDANCE DAILY'!$I$4:$AM$663,$CC27,DAY(AP$14)))="T-Cutting","T-C",INDEX('[1]ATTENDANCE DAILY'!$I$4:$AM$663,$CC27,DAY(AP$14)))))),IFERROR(IF(_xlpm._r=0,"",_xlpm._r),""))</f>
        <v/>
      </c>
      <c r="AQ27" s="55"/>
      <c r="AR27" s="56" t="str">
        <f>_xlfn.LET(_xlpm._r,_xlfn.SINGLE(IF(OR($CC27="",AR$14="",AR$14&lt;_xlfn.SINGLE(INDEX('[1]ATTENDANCE DAILY'!$AV$4:$AV$663,$CC27)),AR$14&gt;_xlfn.SINGLE(INDEX('[1]ATTENDANCE DAILY'!$AW$4:$AW$663,$CC27))),"",IF(_xlfn.SINGLE(INDEX('[1]ATTENDANCE DAILY'!$I$4:$AM$663,$CC27,DAY(AR$14)))="T-Late","T-L",IF(_xlfn.SINGLE(INDEX('[1]ATTENDANCE DAILY'!$I$4:$AM$663,$CC27,DAY(AR$14)))="T-Cutting","T-C",INDEX('[1]ATTENDANCE DAILY'!$I$4:$AM$663,$CC27,DAY(AR$14)))))),IFERROR(IF(_xlpm._r=0,"",_xlpm._r),""))</f>
        <v/>
      </c>
      <c r="AS27" s="57" t="str">
        <f>_xlfn.LET(_xlpm._r,_xlfn.SINGLE(IF(OR($CC27="",AS$14="",AS$14&lt;_xlfn.SINGLE(INDEX('[1]ATTENDANCE DAILY'!$AV$4:$AV$663,$CC27)),AS$14&gt;_xlfn.SINGLE(INDEX('[1]ATTENDANCE DAILY'!$AW$4:$AW$663,$CC27))),"",IF(_xlfn.SINGLE(INDEX('[1]ATTENDANCE DAILY'!$I$4:$AM$663,$CC27,DAY(AS$14)))="T-Late","T-L",IF(_xlfn.SINGLE(INDEX('[1]ATTENDANCE DAILY'!$I$4:$AM$663,$CC27,DAY(AS$14)))="T-Cutting","T-C",INDEX('[1]ATTENDANCE DAILY'!$I$4:$AM$663,$CC27,DAY(AS$14)))))),IFERROR(IF(_xlpm._r=0,"",_xlpm._r),""))</f>
        <v/>
      </c>
      <c r="AT27" s="55"/>
      <c r="AU27" s="56" t="str">
        <f>_xlfn.LET(_xlpm._r,_xlfn.SINGLE(IF(OR($CC27="",AU$14="",AU$14&lt;_xlfn.SINGLE(INDEX('[1]ATTENDANCE DAILY'!$AV$4:$AV$663,$CC27)),AU$14&gt;_xlfn.SINGLE(INDEX('[1]ATTENDANCE DAILY'!$AW$4:$AW$663,$CC27))),"",IF(_xlfn.SINGLE(INDEX('[1]ATTENDANCE DAILY'!$I$4:$AM$663,$CC27,DAY(AU$14)))="T-Late","T-L",IF(_xlfn.SINGLE(INDEX('[1]ATTENDANCE DAILY'!$I$4:$AM$663,$CC27,DAY(AU$14)))="T-Cutting","T-C",INDEX('[1]ATTENDANCE DAILY'!$I$4:$AM$663,$CC27,DAY(AU$14)))))),IFERROR(IF(_xlpm._r=0,"",_xlpm._r),""))</f>
        <v/>
      </c>
      <c r="AV27" s="87" t="str">
        <f>_xlfn.LET(_xlpm._r,_xlfn.SINGLE(IF(OR($CC27="",AV$14="",AV$14&lt;_xlfn.SINGLE(INDEX('[1]ATTENDANCE DAILY'!$AV$4:$AV$663,$CC27)),AV$14&gt;_xlfn.SINGLE(INDEX('[1]ATTENDANCE DAILY'!$AW$4:$AW$663,$CC27))),"",IF(_xlfn.SINGLE(INDEX('[1]ATTENDANCE DAILY'!$I$4:$AM$663,$CC27,DAY(AV$14)))="T-Late","T-L",IF(_xlfn.SINGLE(INDEX('[1]ATTENDANCE DAILY'!$I$4:$AM$663,$CC27,DAY(AV$14)))="T-Cutting","T-C",INDEX('[1]ATTENDANCE DAILY'!$I$4:$AM$663,$CC27,DAY(AV$14)))))),IFERROR(IF(_xlpm._r=0,"",_xlpm._r),""))</f>
        <v/>
      </c>
      <c r="AW27" s="54" t="str">
        <f>_xlfn.LET(_xlpm._r,_xlfn.SINGLE(IF(OR($CC27="",AW$14="",AW$14&lt;_xlfn.SINGLE(INDEX('[1]ATTENDANCE DAILY'!$AV$4:$AV$663,$CC27)),AW$14&gt;_xlfn.SINGLE(INDEX('[1]ATTENDANCE DAILY'!$AW$4:$AW$663,$CC27))),"",IF(_xlfn.SINGLE(INDEX('[1]ATTENDANCE DAILY'!$I$4:$AM$663,$CC27,DAY(AW$14)))="T-Late","T-L",IF(_xlfn.SINGLE(INDEX('[1]ATTENDANCE DAILY'!$I$4:$AM$663,$CC27,DAY(AW$14)))="T-Cutting","T-C",INDEX('[1]ATTENDANCE DAILY'!$I$4:$AM$663,$CC27,DAY(AW$14)))))),IFERROR(IF(_xlpm._r=0,"",_xlpm._r),""))</f>
        <v/>
      </c>
      <c r="AX27" s="55"/>
      <c r="AY27" s="57" t="str">
        <f>_xlfn.LET(_xlpm._r,_xlfn.SINGLE(IF(OR($CC27="",AY$14="",AY$14&lt;_xlfn.SINGLE(INDEX('[1]ATTENDANCE DAILY'!$AV$4:$AV$663,$CC27)),AY$14&gt;_xlfn.SINGLE(INDEX('[1]ATTENDANCE DAILY'!$AW$4:$AW$663,$CC27))),"",IF(_xlfn.SINGLE(INDEX('[1]ATTENDANCE DAILY'!$I$4:$AM$663,$CC27,DAY(AY$14)))="T-Late","T-L",IF(_xlfn.SINGLE(INDEX('[1]ATTENDANCE DAILY'!$I$4:$AM$663,$CC27,DAY(AY$14)))="T-Cutting","T-C",INDEX('[1]ATTENDANCE DAILY'!$I$4:$AM$663,$CC27,DAY(AY$14)))))),IFERROR(IF(_xlpm._r=0,"",_xlpm._r),""))</f>
        <v/>
      </c>
      <c r="AZ27" s="58"/>
      <c r="BA27" s="55"/>
      <c r="BB27" s="57" t="str">
        <f>_xlfn.LET(_xlpm._r,_xlfn.SINGLE(IF(OR($CC27="",BB$14="",BB$14&lt;_xlfn.SINGLE(INDEX('[1]ATTENDANCE DAILY'!$AV$4:$AV$663,$CC27)),BB$14&gt;_xlfn.SINGLE(INDEX('[1]ATTENDANCE DAILY'!$AW$4:$AW$663,$CC27))),"",IF(_xlfn.SINGLE(INDEX('[1]ATTENDANCE DAILY'!$I$4:$AM$663,$CC27,DAY(BB$14)))="T-Late","T-L",IF(_xlfn.SINGLE(INDEX('[1]ATTENDANCE DAILY'!$I$4:$AM$663,$CC27,DAY(BB$14)))="T-Cutting","T-C",INDEX('[1]ATTENDANCE DAILY'!$I$4:$AM$663,$CC27,DAY(BB$14)))))),IFERROR(IF(_xlpm._r=0,"",_xlpm._r),""))</f>
        <v/>
      </c>
      <c r="BC27" s="55"/>
      <c r="BD27" s="56" t="str">
        <f>_xlfn.LET(_xlpm._r,_xlfn.SINGLE(IF(OR($CC27="",BD$14="",BD$14&lt;_xlfn.SINGLE(INDEX('[1]ATTENDANCE DAILY'!$AV$4:$AV$663,$CC27)),BD$14&gt;_xlfn.SINGLE(INDEX('[1]ATTENDANCE DAILY'!$AW$4:$AW$663,$CC27))),"",IF(_xlfn.SINGLE(INDEX('[1]ATTENDANCE DAILY'!$I$4:$AM$663,$CC27,DAY(BD$14)))="T-Late","T-L",IF(_xlfn.SINGLE(INDEX('[1]ATTENDANCE DAILY'!$I$4:$AM$663,$CC27,DAY(BD$14)))="T-Cutting","T-C",INDEX('[1]ATTENDANCE DAILY'!$I$4:$AM$663,$CC27,DAY(BD$14)))))),IFERROR(IF(_xlpm._r=0,"",_xlpm._r),""))</f>
        <v/>
      </c>
      <c r="BE27" s="57" t="str">
        <f>_xlfn.LET(_xlpm._r,_xlfn.SINGLE(IF(OR($CC27="",BE$14="",BE$14&lt;_xlfn.SINGLE(INDEX('[1]ATTENDANCE DAILY'!$AV$4:$AV$663,$CC27)),BE$14&gt;_xlfn.SINGLE(INDEX('[1]ATTENDANCE DAILY'!$AW$4:$AW$663,$CC27))),"",IF(_xlfn.SINGLE(INDEX('[1]ATTENDANCE DAILY'!$I$4:$AM$663,$CC27,DAY(BE$14)))="T-Late","T-L",IF(_xlfn.SINGLE(INDEX('[1]ATTENDANCE DAILY'!$I$4:$AM$663,$CC27,DAY(BE$14)))="T-Cutting","T-C",INDEX('[1]ATTENDANCE DAILY'!$I$4:$AM$663,$CC27,DAY(BE$14)))))),IFERROR(IF(_xlpm._r=0,"",_xlpm._r),""))</f>
        <v/>
      </c>
      <c r="BF27" s="58"/>
      <c r="BG27" s="58"/>
      <c r="BH27" s="86"/>
      <c r="BI27" s="88">
        <f>IF($CC27="","",INDEX('[1]ATTENDANCE DAILY'!$AR$4:$AR$663,$CC27))</f>
        <v>0</v>
      </c>
      <c r="BJ27" s="89"/>
      <c r="BK27" s="90"/>
      <c r="BL27" s="88">
        <f>IF($CC27="","",INDEX('[1]ATTENDANCE DAILY'!$AS$4:$AS$663,$CC27))</f>
        <v>23</v>
      </c>
      <c r="BM27" s="89"/>
      <c r="BN27" s="89"/>
      <c r="BO27" s="90"/>
      <c r="BP27" s="91" t="str">
        <f>IF($CC27="","",IF(INDEX('[1]ATTENDANCE DAILY'!$AN$4:$AN$663,$CC27)="","",INDEX('[1]ATTENDANCE DAILY'!$AN$4:$AN$663,$CC27)&amp;IF(INDEX('[1]ATTENDANCE DAILY'!$AO$4:$AO$663,$CC27)="",""," ("&amp;TEXT(INDEX('[1]ATTENDANCE DAILY'!$AO$4:$AO$663,$CC27),"mm-dd-yyyy")&amp;")")&amp;IF(INDEX('[1]ATTENDANCE DAILY'!$AP$4:$AP$663,$CC27)="",""," - "&amp;INDEX('[1]ATTENDANCE DAILY'!$AP$4:$AP$663,$CC27))))</f>
        <v/>
      </c>
      <c r="BQ27" s="89"/>
      <c r="BR27" s="89"/>
      <c r="BS27" s="89"/>
      <c r="BT27" s="89"/>
      <c r="BU27" s="89"/>
      <c r="BV27" s="89"/>
      <c r="BW27" s="89"/>
      <c r="BX27" s="89"/>
      <c r="BY27" s="89"/>
      <c r="BZ27" s="89"/>
      <c r="CA27" s="90"/>
      <c r="CC27">
        <f>IF(COUNTIFS('[1]ATTENDANCE DAILY'!$C$4:$C$663,$BN$11,'[1]ATTENDANCE DAILY'!$F$4:$F$663,"Male",'[1]ATTENDANCE DAILY'!$G$4:$G$663,1,'[1]ATTENDANCE DAILY'!$BA$4:$BA$663,10)=0,"",SUMIFS('[1]ATTENDANCE DAILY'!$A$4:$A$663,'[1]ATTENDANCE DAILY'!$C$4:$C$663,$BN$11,'[1]ATTENDANCE DAILY'!$F$4:$F$663,"Male",'[1]ATTENDANCE DAILY'!$G$4:$G$663,1,'[1]ATTENDANCE DAILY'!$BA$4:$BA$663,10))</f>
        <v>70</v>
      </c>
    </row>
    <row r="28" spans="1:81" ht="19.95" customHeight="1">
      <c r="A28" s="80">
        <v>11</v>
      </c>
      <c r="B28" s="81"/>
      <c r="C28" s="81"/>
      <c r="D28" s="81"/>
      <c r="E28" s="81"/>
      <c r="F28" s="82"/>
      <c r="G28" s="83" t="str">
        <f>IF($CC28="","",INDEX('[1]ATTENDANCE DAILY'!$E$4:$E$663,$CC28))</f>
        <v>PAYABYAB, SHELTER RAIN ALEJANDRO</v>
      </c>
      <c r="H28" s="84"/>
      <c r="I28" s="84"/>
      <c r="J28" s="85"/>
      <c r="K28" s="54" t="str">
        <f>_xlfn.LET(_xlpm._r,_xlfn.SINGLE(IF(OR($CC28="",K$14="",K$14&lt;_xlfn.SINGLE(INDEX('[1]ATTENDANCE DAILY'!$AV$4:$AV$663,$CC28)),K$14&gt;_xlfn.SINGLE(INDEX('[1]ATTENDANCE DAILY'!$AW$4:$AW$663,$CC28))),"",IF(_xlfn.SINGLE(INDEX('[1]ATTENDANCE DAILY'!$I$4:$AM$663,$CC28,DAY(K$14)))="T-Late","T-L",IF(_xlfn.SINGLE(INDEX('[1]ATTENDANCE DAILY'!$I$4:$AM$663,$CC28,DAY(K$14)))="T-Cutting","T-C",INDEX('[1]ATTENDANCE DAILY'!$I$4:$AM$663,$CC28,DAY(K$14)))))),IFERROR(IF(_xlpm._r=0,"",_xlpm._r),""))</f>
        <v/>
      </c>
      <c r="L28" s="55"/>
      <c r="M28" s="56" t="str">
        <f>_xlfn.LET(_xlpm._r,_xlfn.SINGLE(IF(OR($CC28="",M$14="",M$14&lt;_xlfn.SINGLE(INDEX('[1]ATTENDANCE DAILY'!$AV$4:$AV$663,$CC28)),M$14&gt;_xlfn.SINGLE(INDEX('[1]ATTENDANCE DAILY'!$AW$4:$AW$663,$CC28))),"",IF(_xlfn.SINGLE(INDEX('[1]ATTENDANCE DAILY'!$I$4:$AM$663,$CC28,DAY(M$14)))="T-Late","T-L",IF(_xlfn.SINGLE(INDEX('[1]ATTENDANCE DAILY'!$I$4:$AM$663,$CC28,DAY(M$14)))="T-Cutting","T-C",INDEX('[1]ATTENDANCE DAILY'!$I$4:$AM$663,$CC28,DAY(M$14)))))),IFERROR(IF(_xlpm._r=0,"",_xlpm._r),""))</f>
        <v/>
      </c>
      <c r="N28" s="56" t="str">
        <f>_xlfn.LET(_xlpm._r,_xlfn.SINGLE(IF(OR($CC28="",N$14="",N$14&lt;_xlfn.SINGLE(INDEX('[1]ATTENDANCE DAILY'!$AV$4:$AV$663,$CC28)),N$14&gt;_xlfn.SINGLE(INDEX('[1]ATTENDANCE DAILY'!$AW$4:$AW$663,$CC28))),"",IF(_xlfn.SINGLE(INDEX('[1]ATTENDANCE DAILY'!$I$4:$AM$663,$CC28,DAY(N$14)))="T-Late","T-L",IF(_xlfn.SINGLE(INDEX('[1]ATTENDANCE DAILY'!$I$4:$AM$663,$CC28,DAY(N$14)))="T-Cutting","T-C",INDEX('[1]ATTENDANCE DAILY'!$I$4:$AM$663,$CC28,DAY(N$14)))))),IFERROR(IF(_xlpm._r=0,"",_xlpm._r),""))</f>
        <v/>
      </c>
      <c r="O28" s="57" t="str">
        <f>_xlfn.LET(_xlpm._r,_xlfn.SINGLE(IF(OR($CC28="",O$14="",O$14&lt;_xlfn.SINGLE(INDEX('[1]ATTENDANCE DAILY'!$AV$4:$AV$663,$CC28)),O$14&gt;_xlfn.SINGLE(INDEX('[1]ATTENDANCE DAILY'!$AW$4:$AW$663,$CC28))),"",IF(_xlfn.SINGLE(INDEX('[1]ATTENDANCE DAILY'!$I$4:$AM$663,$CC28,DAY(O$14)))="T-Late","T-L",IF(_xlfn.SINGLE(INDEX('[1]ATTENDANCE DAILY'!$I$4:$AM$663,$CC28,DAY(O$14)))="T-Cutting","T-C",INDEX('[1]ATTENDANCE DAILY'!$I$4:$AM$663,$CC28,DAY(O$14)))))),IFERROR(IF(_xlpm._r=0,"",_xlpm._r),""))</f>
        <v/>
      </c>
      <c r="P28" s="58"/>
      <c r="Q28" s="58"/>
      <c r="R28" s="55"/>
      <c r="S28" s="57" t="str">
        <f>_xlfn.LET(_xlpm._r,_xlfn.SINGLE(IF(OR($CC28="",S$14="",S$14&lt;_xlfn.SINGLE(INDEX('[1]ATTENDANCE DAILY'!$AV$4:$AV$663,$CC28)),S$14&gt;_xlfn.SINGLE(INDEX('[1]ATTENDANCE DAILY'!$AW$4:$AW$663,$CC28))),"",IF(_xlfn.SINGLE(INDEX('[1]ATTENDANCE DAILY'!$I$4:$AM$663,$CC28,DAY(S$14)))="T-Late","T-L",IF(_xlfn.SINGLE(INDEX('[1]ATTENDANCE DAILY'!$I$4:$AM$663,$CC28,DAY(S$14)))="T-Cutting","T-C",INDEX('[1]ATTENDANCE DAILY'!$I$4:$AM$663,$CC28,DAY(S$14)))))),IFERROR(IF(_xlpm._r=0,"",_xlpm._r),""))</f>
        <v/>
      </c>
      <c r="T28" s="58"/>
      <c r="U28" s="86"/>
      <c r="V28" s="59" t="str">
        <f>_xlfn.LET(_xlpm._r,_xlfn.SINGLE(IF(OR($CC28="",V$14="",V$14&lt;_xlfn.SINGLE(INDEX('[1]ATTENDANCE DAILY'!$AV$4:$AV$663,$CC28)),V$14&gt;_xlfn.SINGLE(INDEX('[1]ATTENDANCE DAILY'!$AW$4:$AW$663,$CC28))),"",IF(_xlfn.SINGLE(INDEX('[1]ATTENDANCE DAILY'!$I$4:$AM$663,$CC28,DAY(V$14)))="T-Late","T-L",IF(_xlfn.SINGLE(INDEX('[1]ATTENDANCE DAILY'!$I$4:$AM$663,$CC28,DAY(V$14)))="T-Cutting","T-C",INDEX('[1]ATTENDANCE DAILY'!$I$4:$AM$663,$CC28,DAY(V$14)))))),IFERROR(IF(_xlpm._r=0,"",_xlpm._r),""))</f>
        <v/>
      </c>
      <c r="W28" s="57" t="str">
        <f>_xlfn.LET(_xlpm._r,_xlfn.SINGLE(IF(OR($CC28="",W$14="",W$14&lt;_xlfn.SINGLE(INDEX('[1]ATTENDANCE DAILY'!$AV$4:$AV$663,$CC28)),W$14&gt;_xlfn.SINGLE(INDEX('[1]ATTENDANCE DAILY'!$AW$4:$AW$663,$CC28))),"",IF(_xlfn.SINGLE(INDEX('[1]ATTENDANCE DAILY'!$I$4:$AM$663,$CC28,DAY(W$14)))="T-Late","T-L",IF(_xlfn.SINGLE(INDEX('[1]ATTENDANCE DAILY'!$I$4:$AM$663,$CC28,DAY(W$14)))="T-Cutting","T-C",INDEX('[1]ATTENDANCE DAILY'!$I$4:$AM$663,$CC28,DAY(W$14)))))),IFERROR(IF(_xlpm._r=0,"",_xlpm._r),""))</f>
        <v/>
      </c>
      <c r="X28" s="58"/>
      <c r="Y28" s="55"/>
      <c r="Z28" s="56" t="str">
        <f>_xlfn.LET(_xlpm._r,_xlfn.SINGLE(IF(OR($CC28="",Z$14="",Z$14&lt;_xlfn.SINGLE(INDEX('[1]ATTENDANCE DAILY'!$AV$4:$AV$663,$CC28)),Z$14&gt;_xlfn.SINGLE(INDEX('[1]ATTENDANCE DAILY'!$AW$4:$AW$663,$CC28))),"",IF(_xlfn.SINGLE(INDEX('[1]ATTENDANCE DAILY'!$I$4:$AM$663,$CC28,DAY(Z$14)))="T-Late","T-L",IF(_xlfn.SINGLE(INDEX('[1]ATTENDANCE DAILY'!$I$4:$AM$663,$CC28,DAY(Z$14)))="T-Cutting","T-C",INDEX('[1]ATTENDANCE DAILY'!$I$4:$AM$663,$CC28,DAY(Z$14)))))),IFERROR(IF(_xlpm._r=0,"",_xlpm._r),""))</f>
        <v/>
      </c>
      <c r="AA28" s="56" t="str">
        <f>_xlfn.LET(_xlpm._r,_xlfn.SINGLE(IF(OR($CC28="",AA$14="",AA$14&lt;_xlfn.SINGLE(INDEX('[1]ATTENDANCE DAILY'!$AV$4:$AV$663,$CC28)),AA$14&gt;_xlfn.SINGLE(INDEX('[1]ATTENDANCE DAILY'!$AW$4:$AW$663,$CC28))),"",IF(_xlfn.SINGLE(INDEX('[1]ATTENDANCE DAILY'!$I$4:$AM$663,$CC28,DAY(AA$14)))="T-Late","T-L",IF(_xlfn.SINGLE(INDEX('[1]ATTENDANCE DAILY'!$I$4:$AM$663,$CC28,DAY(AA$14)))="T-Cutting","T-C",INDEX('[1]ATTENDANCE DAILY'!$I$4:$AM$663,$CC28,DAY(AA$14)))))),IFERROR(IF(_xlpm._r=0,"",_xlpm._r),""))</f>
        <v/>
      </c>
      <c r="AB28" s="57" t="str">
        <f>_xlfn.LET(_xlpm._r,_xlfn.SINGLE(IF(OR($CC28="",AB$14="",AB$14&lt;_xlfn.SINGLE(INDEX('[1]ATTENDANCE DAILY'!$AV$4:$AV$663,$CC28)),AB$14&gt;_xlfn.SINGLE(INDEX('[1]ATTENDANCE DAILY'!$AW$4:$AW$663,$CC28))),"",IF(_xlfn.SINGLE(INDEX('[1]ATTENDANCE DAILY'!$I$4:$AM$663,$CC28,DAY(AB$14)))="T-Late","T-L",IF(_xlfn.SINGLE(INDEX('[1]ATTENDANCE DAILY'!$I$4:$AM$663,$CC28,DAY(AB$14)))="T-Cutting","T-C",INDEX('[1]ATTENDANCE DAILY'!$I$4:$AM$663,$CC28,DAY(AB$14)))))),IFERROR(IF(_xlpm._r=0,"",_xlpm._r),""))</f>
        <v/>
      </c>
      <c r="AC28" s="58"/>
      <c r="AD28" s="86"/>
      <c r="AE28" s="54" t="str">
        <f>_xlfn.LET(_xlpm._r,_xlfn.SINGLE(IF(OR($CC28="",AE$14="",AE$14&lt;_xlfn.SINGLE(INDEX('[1]ATTENDANCE DAILY'!$AV$4:$AV$663,$CC28)),AE$14&gt;_xlfn.SINGLE(INDEX('[1]ATTENDANCE DAILY'!$AW$4:$AW$663,$CC28))),"",IF(_xlfn.SINGLE(INDEX('[1]ATTENDANCE DAILY'!$I$4:$AM$663,$CC28,DAY(AE$14)))="T-Late","T-L",IF(_xlfn.SINGLE(INDEX('[1]ATTENDANCE DAILY'!$I$4:$AM$663,$CC28,DAY(AE$14)))="T-Cutting","T-C",INDEX('[1]ATTENDANCE DAILY'!$I$4:$AM$663,$CC28,DAY(AE$14)))))),IFERROR(IF(_xlpm._r=0,"",_xlpm._r),""))</f>
        <v/>
      </c>
      <c r="AF28" s="58"/>
      <c r="AG28" s="55"/>
      <c r="AH28" s="56" t="str">
        <f>_xlfn.LET(_xlpm._r,_xlfn.SINGLE(IF(OR($CC28="",AH$14="",AH$14&lt;_xlfn.SINGLE(INDEX('[1]ATTENDANCE DAILY'!$AV$4:$AV$663,$CC28)),AH$14&gt;_xlfn.SINGLE(INDEX('[1]ATTENDANCE DAILY'!$AW$4:$AW$663,$CC28))),"",IF(_xlfn.SINGLE(INDEX('[1]ATTENDANCE DAILY'!$I$4:$AM$663,$CC28,DAY(AH$14)))="T-Late","T-L",IF(_xlfn.SINGLE(INDEX('[1]ATTENDANCE DAILY'!$I$4:$AM$663,$CC28,DAY(AH$14)))="T-Cutting","T-C",INDEX('[1]ATTENDANCE DAILY'!$I$4:$AM$663,$CC28,DAY(AH$14)))))),IFERROR(IF(_xlpm._r=0,"",_xlpm._r),""))</f>
        <v/>
      </c>
      <c r="AI28" s="57" t="str">
        <f>_xlfn.LET(_xlpm._r,_xlfn.SINGLE(IF(OR($CC28="",AI$14="",AI$14&lt;_xlfn.SINGLE(INDEX('[1]ATTENDANCE DAILY'!$AV$4:$AV$663,$CC28)),AI$14&gt;_xlfn.SINGLE(INDEX('[1]ATTENDANCE DAILY'!$AW$4:$AW$663,$CC28))),"",IF(_xlfn.SINGLE(INDEX('[1]ATTENDANCE DAILY'!$I$4:$AM$663,$CC28,DAY(AI$14)))="T-Late","T-L",IF(_xlfn.SINGLE(INDEX('[1]ATTENDANCE DAILY'!$I$4:$AM$663,$CC28,DAY(AI$14)))="T-Cutting","T-C",INDEX('[1]ATTENDANCE DAILY'!$I$4:$AM$663,$CC28,DAY(AI$14)))))),IFERROR(IF(_xlpm._r=0,"",_xlpm._r),""))</f>
        <v/>
      </c>
      <c r="AJ28" s="58"/>
      <c r="AK28" s="55"/>
      <c r="AL28" s="57" t="str">
        <f>_xlfn.LET(_xlpm._r,_xlfn.SINGLE(IF(OR($CC28="",AL$14="",AL$14&lt;_xlfn.SINGLE(INDEX('[1]ATTENDANCE DAILY'!$AV$4:$AV$663,$CC28)),AL$14&gt;_xlfn.SINGLE(INDEX('[1]ATTENDANCE DAILY'!$AW$4:$AW$663,$CC28))),"",IF(_xlfn.SINGLE(INDEX('[1]ATTENDANCE DAILY'!$I$4:$AM$663,$CC28,DAY(AL$14)))="T-Late","T-L",IF(_xlfn.SINGLE(INDEX('[1]ATTENDANCE DAILY'!$I$4:$AM$663,$CC28,DAY(AL$14)))="T-Cutting","T-C",INDEX('[1]ATTENDANCE DAILY'!$I$4:$AM$663,$CC28,DAY(AL$14)))))),IFERROR(IF(_xlpm._r=0,"",_xlpm._r),""))</f>
        <v/>
      </c>
      <c r="AM28" s="55"/>
      <c r="AN28" s="57" t="str">
        <f>_xlfn.LET(_xlpm._r,_xlfn.SINGLE(IF(OR($CC28="",AN$14="",AN$14&lt;_xlfn.SINGLE(INDEX('[1]ATTENDANCE DAILY'!$AV$4:$AV$663,$CC28)),AN$14&gt;_xlfn.SINGLE(INDEX('[1]ATTENDANCE DAILY'!$AW$4:$AW$663,$CC28))),"",IF(_xlfn.SINGLE(INDEX('[1]ATTENDANCE DAILY'!$I$4:$AM$663,$CC28,DAY(AN$14)))="T-Late","T-L",IF(_xlfn.SINGLE(INDEX('[1]ATTENDANCE DAILY'!$I$4:$AM$663,$CC28,DAY(AN$14)))="T-Cutting","T-C",INDEX('[1]ATTENDANCE DAILY'!$I$4:$AM$663,$CC28,DAY(AN$14)))))),IFERROR(IF(_xlpm._r=0,"",_xlpm._r),""))</f>
        <v/>
      </c>
      <c r="AO28" s="86"/>
      <c r="AP28" s="54" t="str">
        <f>_xlfn.LET(_xlpm._r,_xlfn.SINGLE(IF(OR($CC28="",AP$14="",AP$14&lt;_xlfn.SINGLE(INDEX('[1]ATTENDANCE DAILY'!$AV$4:$AV$663,$CC28)),AP$14&gt;_xlfn.SINGLE(INDEX('[1]ATTENDANCE DAILY'!$AW$4:$AW$663,$CC28))),"",IF(_xlfn.SINGLE(INDEX('[1]ATTENDANCE DAILY'!$I$4:$AM$663,$CC28,DAY(AP$14)))="T-Late","T-L",IF(_xlfn.SINGLE(INDEX('[1]ATTENDANCE DAILY'!$I$4:$AM$663,$CC28,DAY(AP$14)))="T-Cutting","T-C",INDEX('[1]ATTENDANCE DAILY'!$I$4:$AM$663,$CC28,DAY(AP$14)))))),IFERROR(IF(_xlpm._r=0,"",_xlpm._r),""))</f>
        <v/>
      </c>
      <c r="AQ28" s="55"/>
      <c r="AR28" s="56" t="str">
        <f>_xlfn.LET(_xlpm._r,_xlfn.SINGLE(IF(OR($CC28="",AR$14="",AR$14&lt;_xlfn.SINGLE(INDEX('[1]ATTENDANCE DAILY'!$AV$4:$AV$663,$CC28)),AR$14&gt;_xlfn.SINGLE(INDEX('[1]ATTENDANCE DAILY'!$AW$4:$AW$663,$CC28))),"",IF(_xlfn.SINGLE(INDEX('[1]ATTENDANCE DAILY'!$I$4:$AM$663,$CC28,DAY(AR$14)))="T-Late","T-L",IF(_xlfn.SINGLE(INDEX('[1]ATTENDANCE DAILY'!$I$4:$AM$663,$CC28,DAY(AR$14)))="T-Cutting","T-C",INDEX('[1]ATTENDANCE DAILY'!$I$4:$AM$663,$CC28,DAY(AR$14)))))),IFERROR(IF(_xlpm._r=0,"",_xlpm._r),""))</f>
        <v/>
      </c>
      <c r="AS28" s="57" t="str">
        <f>_xlfn.LET(_xlpm._r,_xlfn.SINGLE(IF(OR($CC28="",AS$14="",AS$14&lt;_xlfn.SINGLE(INDEX('[1]ATTENDANCE DAILY'!$AV$4:$AV$663,$CC28)),AS$14&gt;_xlfn.SINGLE(INDEX('[1]ATTENDANCE DAILY'!$AW$4:$AW$663,$CC28))),"",IF(_xlfn.SINGLE(INDEX('[1]ATTENDANCE DAILY'!$I$4:$AM$663,$CC28,DAY(AS$14)))="T-Late","T-L",IF(_xlfn.SINGLE(INDEX('[1]ATTENDANCE DAILY'!$I$4:$AM$663,$CC28,DAY(AS$14)))="T-Cutting","T-C",INDEX('[1]ATTENDANCE DAILY'!$I$4:$AM$663,$CC28,DAY(AS$14)))))),IFERROR(IF(_xlpm._r=0,"",_xlpm._r),""))</f>
        <v/>
      </c>
      <c r="AT28" s="55"/>
      <c r="AU28" s="56" t="str">
        <f>_xlfn.LET(_xlpm._r,_xlfn.SINGLE(IF(OR($CC28="",AU$14="",AU$14&lt;_xlfn.SINGLE(INDEX('[1]ATTENDANCE DAILY'!$AV$4:$AV$663,$CC28)),AU$14&gt;_xlfn.SINGLE(INDEX('[1]ATTENDANCE DAILY'!$AW$4:$AW$663,$CC28))),"",IF(_xlfn.SINGLE(INDEX('[1]ATTENDANCE DAILY'!$I$4:$AM$663,$CC28,DAY(AU$14)))="T-Late","T-L",IF(_xlfn.SINGLE(INDEX('[1]ATTENDANCE DAILY'!$I$4:$AM$663,$CC28,DAY(AU$14)))="T-Cutting","T-C",INDEX('[1]ATTENDANCE DAILY'!$I$4:$AM$663,$CC28,DAY(AU$14)))))),IFERROR(IF(_xlpm._r=0,"",_xlpm._r),""))</f>
        <v/>
      </c>
      <c r="AV28" s="87" t="str">
        <f>_xlfn.LET(_xlpm._r,_xlfn.SINGLE(IF(OR($CC28="",AV$14="",AV$14&lt;_xlfn.SINGLE(INDEX('[1]ATTENDANCE DAILY'!$AV$4:$AV$663,$CC28)),AV$14&gt;_xlfn.SINGLE(INDEX('[1]ATTENDANCE DAILY'!$AW$4:$AW$663,$CC28))),"",IF(_xlfn.SINGLE(INDEX('[1]ATTENDANCE DAILY'!$I$4:$AM$663,$CC28,DAY(AV$14)))="T-Late","T-L",IF(_xlfn.SINGLE(INDEX('[1]ATTENDANCE DAILY'!$I$4:$AM$663,$CC28,DAY(AV$14)))="T-Cutting","T-C",INDEX('[1]ATTENDANCE DAILY'!$I$4:$AM$663,$CC28,DAY(AV$14)))))),IFERROR(IF(_xlpm._r=0,"",_xlpm._r),""))</f>
        <v/>
      </c>
      <c r="AW28" s="54" t="str">
        <f>_xlfn.LET(_xlpm._r,_xlfn.SINGLE(IF(OR($CC28="",AW$14="",AW$14&lt;_xlfn.SINGLE(INDEX('[1]ATTENDANCE DAILY'!$AV$4:$AV$663,$CC28)),AW$14&gt;_xlfn.SINGLE(INDEX('[1]ATTENDANCE DAILY'!$AW$4:$AW$663,$CC28))),"",IF(_xlfn.SINGLE(INDEX('[1]ATTENDANCE DAILY'!$I$4:$AM$663,$CC28,DAY(AW$14)))="T-Late","T-L",IF(_xlfn.SINGLE(INDEX('[1]ATTENDANCE DAILY'!$I$4:$AM$663,$CC28,DAY(AW$14)))="T-Cutting","T-C",INDEX('[1]ATTENDANCE DAILY'!$I$4:$AM$663,$CC28,DAY(AW$14)))))),IFERROR(IF(_xlpm._r=0,"",_xlpm._r),""))</f>
        <v/>
      </c>
      <c r="AX28" s="55"/>
      <c r="AY28" s="57" t="str">
        <f>_xlfn.LET(_xlpm._r,_xlfn.SINGLE(IF(OR($CC28="",AY$14="",AY$14&lt;_xlfn.SINGLE(INDEX('[1]ATTENDANCE DAILY'!$AV$4:$AV$663,$CC28)),AY$14&gt;_xlfn.SINGLE(INDEX('[1]ATTENDANCE DAILY'!$AW$4:$AW$663,$CC28))),"",IF(_xlfn.SINGLE(INDEX('[1]ATTENDANCE DAILY'!$I$4:$AM$663,$CC28,DAY(AY$14)))="T-Late","T-L",IF(_xlfn.SINGLE(INDEX('[1]ATTENDANCE DAILY'!$I$4:$AM$663,$CC28,DAY(AY$14)))="T-Cutting","T-C",INDEX('[1]ATTENDANCE DAILY'!$I$4:$AM$663,$CC28,DAY(AY$14)))))),IFERROR(IF(_xlpm._r=0,"",_xlpm._r),""))</f>
        <v/>
      </c>
      <c r="AZ28" s="58"/>
      <c r="BA28" s="55"/>
      <c r="BB28" s="57" t="str">
        <f>_xlfn.LET(_xlpm._r,_xlfn.SINGLE(IF(OR($CC28="",BB$14="",BB$14&lt;_xlfn.SINGLE(INDEX('[1]ATTENDANCE DAILY'!$AV$4:$AV$663,$CC28)),BB$14&gt;_xlfn.SINGLE(INDEX('[1]ATTENDANCE DAILY'!$AW$4:$AW$663,$CC28))),"",IF(_xlfn.SINGLE(INDEX('[1]ATTENDANCE DAILY'!$I$4:$AM$663,$CC28,DAY(BB$14)))="T-Late","T-L",IF(_xlfn.SINGLE(INDEX('[1]ATTENDANCE DAILY'!$I$4:$AM$663,$CC28,DAY(BB$14)))="T-Cutting","T-C",INDEX('[1]ATTENDANCE DAILY'!$I$4:$AM$663,$CC28,DAY(BB$14)))))),IFERROR(IF(_xlpm._r=0,"",_xlpm._r),""))</f>
        <v/>
      </c>
      <c r="BC28" s="55"/>
      <c r="BD28" s="56" t="str">
        <f>_xlfn.LET(_xlpm._r,_xlfn.SINGLE(IF(OR($CC28="",BD$14="",BD$14&lt;_xlfn.SINGLE(INDEX('[1]ATTENDANCE DAILY'!$AV$4:$AV$663,$CC28)),BD$14&gt;_xlfn.SINGLE(INDEX('[1]ATTENDANCE DAILY'!$AW$4:$AW$663,$CC28))),"",IF(_xlfn.SINGLE(INDEX('[1]ATTENDANCE DAILY'!$I$4:$AM$663,$CC28,DAY(BD$14)))="T-Late","T-L",IF(_xlfn.SINGLE(INDEX('[1]ATTENDANCE DAILY'!$I$4:$AM$663,$CC28,DAY(BD$14)))="T-Cutting","T-C",INDEX('[1]ATTENDANCE DAILY'!$I$4:$AM$663,$CC28,DAY(BD$14)))))),IFERROR(IF(_xlpm._r=0,"",_xlpm._r),""))</f>
        <v/>
      </c>
      <c r="BE28" s="57" t="str">
        <f>_xlfn.LET(_xlpm._r,_xlfn.SINGLE(IF(OR($CC28="",BE$14="",BE$14&lt;_xlfn.SINGLE(INDEX('[1]ATTENDANCE DAILY'!$AV$4:$AV$663,$CC28)),BE$14&gt;_xlfn.SINGLE(INDEX('[1]ATTENDANCE DAILY'!$AW$4:$AW$663,$CC28))),"",IF(_xlfn.SINGLE(INDEX('[1]ATTENDANCE DAILY'!$I$4:$AM$663,$CC28,DAY(BE$14)))="T-Late","T-L",IF(_xlfn.SINGLE(INDEX('[1]ATTENDANCE DAILY'!$I$4:$AM$663,$CC28,DAY(BE$14)))="T-Cutting","T-C",INDEX('[1]ATTENDANCE DAILY'!$I$4:$AM$663,$CC28,DAY(BE$14)))))),IFERROR(IF(_xlpm._r=0,"",_xlpm._r),""))</f>
        <v/>
      </c>
      <c r="BF28" s="58"/>
      <c r="BG28" s="58"/>
      <c r="BH28" s="86"/>
      <c r="BI28" s="88">
        <f>IF($CC28="","",INDEX('[1]ATTENDANCE DAILY'!$AR$4:$AR$663,$CC28))</f>
        <v>0</v>
      </c>
      <c r="BJ28" s="89"/>
      <c r="BK28" s="90"/>
      <c r="BL28" s="88">
        <f>IF($CC28="","",INDEX('[1]ATTENDANCE DAILY'!$AS$4:$AS$663,$CC28))</f>
        <v>23</v>
      </c>
      <c r="BM28" s="89"/>
      <c r="BN28" s="89"/>
      <c r="BO28" s="90"/>
      <c r="BP28" s="91" t="str">
        <f>IF($CC28="","",IF(INDEX('[1]ATTENDANCE DAILY'!$AN$4:$AN$663,$CC28)="","",INDEX('[1]ATTENDANCE DAILY'!$AN$4:$AN$663,$CC28)&amp;IF(INDEX('[1]ATTENDANCE DAILY'!$AO$4:$AO$663,$CC28)="",""," ("&amp;TEXT(INDEX('[1]ATTENDANCE DAILY'!$AO$4:$AO$663,$CC28),"mm-dd-yyyy")&amp;")")&amp;IF(INDEX('[1]ATTENDANCE DAILY'!$AP$4:$AP$663,$CC28)="",""," - "&amp;INDEX('[1]ATTENDANCE DAILY'!$AP$4:$AP$663,$CC28))))</f>
        <v/>
      </c>
      <c r="BQ28" s="89"/>
      <c r="BR28" s="89"/>
      <c r="BS28" s="89"/>
      <c r="BT28" s="89"/>
      <c r="BU28" s="89"/>
      <c r="BV28" s="89"/>
      <c r="BW28" s="89"/>
      <c r="BX28" s="89"/>
      <c r="BY28" s="89"/>
      <c r="BZ28" s="89"/>
      <c r="CA28" s="90"/>
      <c r="CC28">
        <f>IF(COUNTIFS('[1]ATTENDANCE DAILY'!$C$4:$C$663,$BN$11,'[1]ATTENDANCE DAILY'!$F$4:$F$663,"Male",'[1]ATTENDANCE DAILY'!$G$4:$G$663,1,'[1]ATTENDANCE DAILY'!$BA$4:$BA$663,11)=0,"",SUMIFS('[1]ATTENDANCE DAILY'!$A$4:$A$663,'[1]ATTENDANCE DAILY'!$C$4:$C$663,$BN$11,'[1]ATTENDANCE DAILY'!$F$4:$F$663,"Male",'[1]ATTENDANCE DAILY'!$G$4:$G$663,1,'[1]ATTENDANCE DAILY'!$BA$4:$BA$663,11))</f>
        <v>71</v>
      </c>
    </row>
    <row r="29" spans="1:81" ht="19.95" customHeight="1">
      <c r="A29" s="80">
        <v>12</v>
      </c>
      <c r="B29" s="81"/>
      <c r="C29" s="81"/>
      <c r="D29" s="81"/>
      <c r="E29" s="81"/>
      <c r="F29" s="82"/>
      <c r="G29" s="83" t="str">
        <f>IF($CC29="","",INDEX('[1]ATTENDANCE DAILY'!$E$4:$E$663,$CC29))</f>
        <v>RAMIREZ, RENCES DWANE RAMONES</v>
      </c>
      <c r="H29" s="84"/>
      <c r="I29" s="84"/>
      <c r="J29" s="85"/>
      <c r="K29" s="54" t="str">
        <f>_xlfn.LET(_xlpm._r,_xlfn.SINGLE(IF(OR($CC29="",K$14="",K$14&lt;_xlfn.SINGLE(INDEX('[1]ATTENDANCE DAILY'!$AV$4:$AV$663,$CC29)),K$14&gt;_xlfn.SINGLE(INDEX('[1]ATTENDANCE DAILY'!$AW$4:$AW$663,$CC29))),"",IF(_xlfn.SINGLE(INDEX('[1]ATTENDANCE DAILY'!$I$4:$AM$663,$CC29,DAY(K$14)))="T-Late","T-L",IF(_xlfn.SINGLE(INDEX('[1]ATTENDANCE DAILY'!$I$4:$AM$663,$CC29,DAY(K$14)))="T-Cutting","T-C",INDEX('[1]ATTENDANCE DAILY'!$I$4:$AM$663,$CC29,DAY(K$14)))))),IFERROR(IF(_xlpm._r=0,"",_xlpm._r),""))</f>
        <v/>
      </c>
      <c r="L29" s="55"/>
      <c r="M29" s="56" t="str">
        <f>_xlfn.LET(_xlpm._r,_xlfn.SINGLE(IF(OR($CC29="",M$14="",M$14&lt;_xlfn.SINGLE(INDEX('[1]ATTENDANCE DAILY'!$AV$4:$AV$663,$CC29)),M$14&gt;_xlfn.SINGLE(INDEX('[1]ATTENDANCE DAILY'!$AW$4:$AW$663,$CC29))),"",IF(_xlfn.SINGLE(INDEX('[1]ATTENDANCE DAILY'!$I$4:$AM$663,$CC29,DAY(M$14)))="T-Late","T-L",IF(_xlfn.SINGLE(INDEX('[1]ATTENDANCE DAILY'!$I$4:$AM$663,$CC29,DAY(M$14)))="T-Cutting","T-C",INDEX('[1]ATTENDANCE DAILY'!$I$4:$AM$663,$CC29,DAY(M$14)))))),IFERROR(IF(_xlpm._r=0,"",_xlpm._r),""))</f>
        <v/>
      </c>
      <c r="N29" s="56" t="str">
        <f>_xlfn.LET(_xlpm._r,_xlfn.SINGLE(IF(OR($CC29="",N$14="",N$14&lt;_xlfn.SINGLE(INDEX('[1]ATTENDANCE DAILY'!$AV$4:$AV$663,$CC29)),N$14&gt;_xlfn.SINGLE(INDEX('[1]ATTENDANCE DAILY'!$AW$4:$AW$663,$CC29))),"",IF(_xlfn.SINGLE(INDEX('[1]ATTENDANCE DAILY'!$I$4:$AM$663,$CC29,DAY(N$14)))="T-Late","T-L",IF(_xlfn.SINGLE(INDEX('[1]ATTENDANCE DAILY'!$I$4:$AM$663,$CC29,DAY(N$14)))="T-Cutting","T-C",INDEX('[1]ATTENDANCE DAILY'!$I$4:$AM$663,$CC29,DAY(N$14)))))),IFERROR(IF(_xlpm._r=0,"",_xlpm._r),""))</f>
        <v/>
      </c>
      <c r="O29" s="57" t="str">
        <f>_xlfn.LET(_xlpm._r,_xlfn.SINGLE(IF(OR($CC29="",O$14="",O$14&lt;_xlfn.SINGLE(INDEX('[1]ATTENDANCE DAILY'!$AV$4:$AV$663,$CC29)),O$14&gt;_xlfn.SINGLE(INDEX('[1]ATTENDANCE DAILY'!$AW$4:$AW$663,$CC29))),"",IF(_xlfn.SINGLE(INDEX('[1]ATTENDANCE DAILY'!$I$4:$AM$663,$CC29,DAY(O$14)))="T-Late","T-L",IF(_xlfn.SINGLE(INDEX('[1]ATTENDANCE DAILY'!$I$4:$AM$663,$CC29,DAY(O$14)))="T-Cutting","T-C",INDEX('[1]ATTENDANCE DAILY'!$I$4:$AM$663,$CC29,DAY(O$14)))))),IFERROR(IF(_xlpm._r=0,"",_xlpm._r),""))</f>
        <v/>
      </c>
      <c r="P29" s="58"/>
      <c r="Q29" s="58"/>
      <c r="R29" s="55"/>
      <c r="S29" s="57" t="str">
        <f>_xlfn.LET(_xlpm._r,_xlfn.SINGLE(IF(OR($CC29="",S$14="",S$14&lt;_xlfn.SINGLE(INDEX('[1]ATTENDANCE DAILY'!$AV$4:$AV$663,$CC29)),S$14&gt;_xlfn.SINGLE(INDEX('[1]ATTENDANCE DAILY'!$AW$4:$AW$663,$CC29))),"",IF(_xlfn.SINGLE(INDEX('[1]ATTENDANCE DAILY'!$I$4:$AM$663,$CC29,DAY(S$14)))="T-Late","T-L",IF(_xlfn.SINGLE(INDEX('[1]ATTENDANCE DAILY'!$I$4:$AM$663,$CC29,DAY(S$14)))="T-Cutting","T-C",INDEX('[1]ATTENDANCE DAILY'!$I$4:$AM$663,$CC29,DAY(S$14)))))),IFERROR(IF(_xlpm._r=0,"",_xlpm._r),""))</f>
        <v/>
      </c>
      <c r="T29" s="58"/>
      <c r="U29" s="86"/>
      <c r="V29" s="59" t="str">
        <f>_xlfn.LET(_xlpm._r,_xlfn.SINGLE(IF(OR($CC29="",V$14="",V$14&lt;_xlfn.SINGLE(INDEX('[1]ATTENDANCE DAILY'!$AV$4:$AV$663,$CC29)),V$14&gt;_xlfn.SINGLE(INDEX('[1]ATTENDANCE DAILY'!$AW$4:$AW$663,$CC29))),"",IF(_xlfn.SINGLE(INDEX('[1]ATTENDANCE DAILY'!$I$4:$AM$663,$CC29,DAY(V$14)))="T-Late","T-L",IF(_xlfn.SINGLE(INDEX('[1]ATTENDANCE DAILY'!$I$4:$AM$663,$CC29,DAY(V$14)))="T-Cutting","T-C",INDEX('[1]ATTENDANCE DAILY'!$I$4:$AM$663,$CC29,DAY(V$14)))))),IFERROR(IF(_xlpm._r=0,"",_xlpm._r),""))</f>
        <v/>
      </c>
      <c r="W29" s="57" t="str">
        <f>_xlfn.LET(_xlpm._r,_xlfn.SINGLE(IF(OR($CC29="",W$14="",W$14&lt;_xlfn.SINGLE(INDEX('[1]ATTENDANCE DAILY'!$AV$4:$AV$663,$CC29)),W$14&gt;_xlfn.SINGLE(INDEX('[1]ATTENDANCE DAILY'!$AW$4:$AW$663,$CC29))),"",IF(_xlfn.SINGLE(INDEX('[1]ATTENDANCE DAILY'!$I$4:$AM$663,$CC29,DAY(W$14)))="T-Late","T-L",IF(_xlfn.SINGLE(INDEX('[1]ATTENDANCE DAILY'!$I$4:$AM$663,$CC29,DAY(W$14)))="T-Cutting","T-C",INDEX('[1]ATTENDANCE DAILY'!$I$4:$AM$663,$CC29,DAY(W$14)))))),IFERROR(IF(_xlpm._r=0,"",_xlpm._r),""))</f>
        <v/>
      </c>
      <c r="X29" s="58"/>
      <c r="Y29" s="55"/>
      <c r="Z29" s="56" t="str">
        <f>_xlfn.LET(_xlpm._r,_xlfn.SINGLE(IF(OR($CC29="",Z$14="",Z$14&lt;_xlfn.SINGLE(INDEX('[1]ATTENDANCE DAILY'!$AV$4:$AV$663,$CC29)),Z$14&gt;_xlfn.SINGLE(INDEX('[1]ATTENDANCE DAILY'!$AW$4:$AW$663,$CC29))),"",IF(_xlfn.SINGLE(INDEX('[1]ATTENDANCE DAILY'!$I$4:$AM$663,$CC29,DAY(Z$14)))="T-Late","T-L",IF(_xlfn.SINGLE(INDEX('[1]ATTENDANCE DAILY'!$I$4:$AM$663,$CC29,DAY(Z$14)))="T-Cutting","T-C",INDEX('[1]ATTENDANCE DAILY'!$I$4:$AM$663,$CC29,DAY(Z$14)))))),IFERROR(IF(_xlpm._r=0,"",_xlpm._r),""))</f>
        <v/>
      </c>
      <c r="AA29" s="56" t="str">
        <f>_xlfn.LET(_xlpm._r,_xlfn.SINGLE(IF(OR($CC29="",AA$14="",AA$14&lt;_xlfn.SINGLE(INDEX('[1]ATTENDANCE DAILY'!$AV$4:$AV$663,$CC29)),AA$14&gt;_xlfn.SINGLE(INDEX('[1]ATTENDANCE DAILY'!$AW$4:$AW$663,$CC29))),"",IF(_xlfn.SINGLE(INDEX('[1]ATTENDANCE DAILY'!$I$4:$AM$663,$CC29,DAY(AA$14)))="T-Late","T-L",IF(_xlfn.SINGLE(INDEX('[1]ATTENDANCE DAILY'!$I$4:$AM$663,$CC29,DAY(AA$14)))="T-Cutting","T-C",INDEX('[1]ATTENDANCE DAILY'!$I$4:$AM$663,$CC29,DAY(AA$14)))))),IFERROR(IF(_xlpm._r=0,"",_xlpm._r),""))</f>
        <v/>
      </c>
      <c r="AB29" s="57" t="str">
        <f>_xlfn.LET(_xlpm._r,_xlfn.SINGLE(IF(OR($CC29="",AB$14="",AB$14&lt;_xlfn.SINGLE(INDEX('[1]ATTENDANCE DAILY'!$AV$4:$AV$663,$CC29)),AB$14&gt;_xlfn.SINGLE(INDEX('[1]ATTENDANCE DAILY'!$AW$4:$AW$663,$CC29))),"",IF(_xlfn.SINGLE(INDEX('[1]ATTENDANCE DAILY'!$I$4:$AM$663,$CC29,DAY(AB$14)))="T-Late","T-L",IF(_xlfn.SINGLE(INDEX('[1]ATTENDANCE DAILY'!$I$4:$AM$663,$CC29,DAY(AB$14)))="T-Cutting","T-C",INDEX('[1]ATTENDANCE DAILY'!$I$4:$AM$663,$CC29,DAY(AB$14)))))),IFERROR(IF(_xlpm._r=0,"",_xlpm._r),""))</f>
        <v/>
      </c>
      <c r="AC29" s="58"/>
      <c r="AD29" s="86"/>
      <c r="AE29" s="54" t="str">
        <f>_xlfn.LET(_xlpm._r,_xlfn.SINGLE(IF(OR($CC29="",AE$14="",AE$14&lt;_xlfn.SINGLE(INDEX('[1]ATTENDANCE DAILY'!$AV$4:$AV$663,$CC29)),AE$14&gt;_xlfn.SINGLE(INDEX('[1]ATTENDANCE DAILY'!$AW$4:$AW$663,$CC29))),"",IF(_xlfn.SINGLE(INDEX('[1]ATTENDANCE DAILY'!$I$4:$AM$663,$CC29,DAY(AE$14)))="T-Late","T-L",IF(_xlfn.SINGLE(INDEX('[1]ATTENDANCE DAILY'!$I$4:$AM$663,$CC29,DAY(AE$14)))="T-Cutting","T-C",INDEX('[1]ATTENDANCE DAILY'!$I$4:$AM$663,$CC29,DAY(AE$14)))))),IFERROR(IF(_xlpm._r=0,"",_xlpm._r),""))</f>
        <v/>
      </c>
      <c r="AF29" s="58"/>
      <c r="AG29" s="55"/>
      <c r="AH29" s="56" t="str">
        <f>_xlfn.LET(_xlpm._r,_xlfn.SINGLE(IF(OR($CC29="",AH$14="",AH$14&lt;_xlfn.SINGLE(INDEX('[1]ATTENDANCE DAILY'!$AV$4:$AV$663,$CC29)),AH$14&gt;_xlfn.SINGLE(INDEX('[1]ATTENDANCE DAILY'!$AW$4:$AW$663,$CC29))),"",IF(_xlfn.SINGLE(INDEX('[1]ATTENDANCE DAILY'!$I$4:$AM$663,$CC29,DAY(AH$14)))="T-Late","T-L",IF(_xlfn.SINGLE(INDEX('[1]ATTENDANCE DAILY'!$I$4:$AM$663,$CC29,DAY(AH$14)))="T-Cutting","T-C",INDEX('[1]ATTENDANCE DAILY'!$I$4:$AM$663,$CC29,DAY(AH$14)))))),IFERROR(IF(_xlpm._r=0,"",_xlpm._r),""))</f>
        <v/>
      </c>
      <c r="AI29" s="57" t="str">
        <f>_xlfn.LET(_xlpm._r,_xlfn.SINGLE(IF(OR($CC29="",AI$14="",AI$14&lt;_xlfn.SINGLE(INDEX('[1]ATTENDANCE DAILY'!$AV$4:$AV$663,$CC29)),AI$14&gt;_xlfn.SINGLE(INDEX('[1]ATTENDANCE DAILY'!$AW$4:$AW$663,$CC29))),"",IF(_xlfn.SINGLE(INDEX('[1]ATTENDANCE DAILY'!$I$4:$AM$663,$CC29,DAY(AI$14)))="T-Late","T-L",IF(_xlfn.SINGLE(INDEX('[1]ATTENDANCE DAILY'!$I$4:$AM$663,$CC29,DAY(AI$14)))="T-Cutting","T-C",INDEX('[1]ATTENDANCE DAILY'!$I$4:$AM$663,$CC29,DAY(AI$14)))))),IFERROR(IF(_xlpm._r=0,"",_xlpm._r),""))</f>
        <v/>
      </c>
      <c r="AJ29" s="58"/>
      <c r="AK29" s="55"/>
      <c r="AL29" s="57" t="str">
        <f>_xlfn.LET(_xlpm._r,_xlfn.SINGLE(IF(OR($CC29="",AL$14="",AL$14&lt;_xlfn.SINGLE(INDEX('[1]ATTENDANCE DAILY'!$AV$4:$AV$663,$CC29)),AL$14&gt;_xlfn.SINGLE(INDEX('[1]ATTENDANCE DAILY'!$AW$4:$AW$663,$CC29))),"",IF(_xlfn.SINGLE(INDEX('[1]ATTENDANCE DAILY'!$I$4:$AM$663,$CC29,DAY(AL$14)))="T-Late","T-L",IF(_xlfn.SINGLE(INDEX('[1]ATTENDANCE DAILY'!$I$4:$AM$663,$CC29,DAY(AL$14)))="T-Cutting","T-C",INDEX('[1]ATTENDANCE DAILY'!$I$4:$AM$663,$CC29,DAY(AL$14)))))),IFERROR(IF(_xlpm._r=0,"",_xlpm._r),""))</f>
        <v/>
      </c>
      <c r="AM29" s="55"/>
      <c r="AN29" s="57" t="str">
        <f>_xlfn.LET(_xlpm._r,_xlfn.SINGLE(IF(OR($CC29="",AN$14="",AN$14&lt;_xlfn.SINGLE(INDEX('[1]ATTENDANCE DAILY'!$AV$4:$AV$663,$CC29)),AN$14&gt;_xlfn.SINGLE(INDEX('[1]ATTENDANCE DAILY'!$AW$4:$AW$663,$CC29))),"",IF(_xlfn.SINGLE(INDEX('[1]ATTENDANCE DAILY'!$I$4:$AM$663,$CC29,DAY(AN$14)))="T-Late","T-L",IF(_xlfn.SINGLE(INDEX('[1]ATTENDANCE DAILY'!$I$4:$AM$663,$CC29,DAY(AN$14)))="T-Cutting","T-C",INDEX('[1]ATTENDANCE DAILY'!$I$4:$AM$663,$CC29,DAY(AN$14)))))),IFERROR(IF(_xlpm._r=0,"",_xlpm._r),""))</f>
        <v/>
      </c>
      <c r="AO29" s="86"/>
      <c r="AP29" s="54" t="str">
        <f>_xlfn.LET(_xlpm._r,_xlfn.SINGLE(IF(OR($CC29="",AP$14="",AP$14&lt;_xlfn.SINGLE(INDEX('[1]ATTENDANCE DAILY'!$AV$4:$AV$663,$CC29)),AP$14&gt;_xlfn.SINGLE(INDEX('[1]ATTENDANCE DAILY'!$AW$4:$AW$663,$CC29))),"",IF(_xlfn.SINGLE(INDEX('[1]ATTENDANCE DAILY'!$I$4:$AM$663,$CC29,DAY(AP$14)))="T-Late","T-L",IF(_xlfn.SINGLE(INDEX('[1]ATTENDANCE DAILY'!$I$4:$AM$663,$CC29,DAY(AP$14)))="T-Cutting","T-C",INDEX('[1]ATTENDANCE DAILY'!$I$4:$AM$663,$CC29,DAY(AP$14)))))),IFERROR(IF(_xlpm._r=0,"",_xlpm._r),""))</f>
        <v/>
      </c>
      <c r="AQ29" s="55"/>
      <c r="AR29" s="56" t="str">
        <f>_xlfn.LET(_xlpm._r,_xlfn.SINGLE(IF(OR($CC29="",AR$14="",AR$14&lt;_xlfn.SINGLE(INDEX('[1]ATTENDANCE DAILY'!$AV$4:$AV$663,$CC29)),AR$14&gt;_xlfn.SINGLE(INDEX('[1]ATTENDANCE DAILY'!$AW$4:$AW$663,$CC29))),"",IF(_xlfn.SINGLE(INDEX('[1]ATTENDANCE DAILY'!$I$4:$AM$663,$CC29,DAY(AR$14)))="T-Late","T-L",IF(_xlfn.SINGLE(INDEX('[1]ATTENDANCE DAILY'!$I$4:$AM$663,$CC29,DAY(AR$14)))="T-Cutting","T-C",INDEX('[1]ATTENDANCE DAILY'!$I$4:$AM$663,$CC29,DAY(AR$14)))))),IFERROR(IF(_xlpm._r=0,"",_xlpm._r),""))</f>
        <v/>
      </c>
      <c r="AS29" s="57" t="str">
        <f>_xlfn.LET(_xlpm._r,_xlfn.SINGLE(IF(OR($CC29="",AS$14="",AS$14&lt;_xlfn.SINGLE(INDEX('[1]ATTENDANCE DAILY'!$AV$4:$AV$663,$CC29)),AS$14&gt;_xlfn.SINGLE(INDEX('[1]ATTENDANCE DAILY'!$AW$4:$AW$663,$CC29))),"",IF(_xlfn.SINGLE(INDEX('[1]ATTENDANCE DAILY'!$I$4:$AM$663,$CC29,DAY(AS$14)))="T-Late","T-L",IF(_xlfn.SINGLE(INDEX('[1]ATTENDANCE DAILY'!$I$4:$AM$663,$CC29,DAY(AS$14)))="T-Cutting","T-C",INDEX('[1]ATTENDANCE DAILY'!$I$4:$AM$663,$CC29,DAY(AS$14)))))),IFERROR(IF(_xlpm._r=0,"",_xlpm._r),""))</f>
        <v/>
      </c>
      <c r="AT29" s="55"/>
      <c r="AU29" s="56" t="str">
        <f>_xlfn.LET(_xlpm._r,_xlfn.SINGLE(IF(OR($CC29="",AU$14="",AU$14&lt;_xlfn.SINGLE(INDEX('[1]ATTENDANCE DAILY'!$AV$4:$AV$663,$CC29)),AU$14&gt;_xlfn.SINGLE(INDEX('[1]ATTENDANCE DAILY'!$AW$4:$AW$663,$CC29))),"",IF(_xlfn.SINGLE(INDEX('[1]ATTENDANCE DAILY'!$I$4:$AM$663,$CC29,DAY(AU$14)))="T-Late","T-L",IF(_xlfn.SINGLE(INDEX('[1]ATTENDANCE DAILY'!$I$4:$AM$663,$CC29,DAY(AU$14)))="T-Cutting","T-C",INDEX('[1]ATTENDANCE DAILY'!$I$4:$AM$663,$CC29,DAY(AU$14)))))),IFERROR(IF(_xlpm._r=0,"",_xlpm._r),""))</f>
        <v/>
      </c>
      <c r="AV29" s="87" t="str">
        <f>_xlfn.LET(_xlpm._r,_xlfn.SINGLE(IF(OR($CC29="",AV$14="",AV$14&lt;_xlfn.SINGLE(INDEX('[1]ATTENDANCE DAILY'!$AV$4:$AV$663,$CC29)),AV$14&gt;_xlfn.SINGLE(INDEX('[1]ATTENDANCE DAILY'!$AW$4:$AW$663,$CC29))),"",IF(_xlfn.SINGLE(INDEX('[1]ATTENDANCE DAILY'!$I$4:$AM$663,$CC29,DAY(AV$14)))="T-Late","T-L",IF(_xlfn.SINGLE(INDEX('[1]ATTENDANCE DAILY'!$I$4:$AM$663,$CC29,DAY(AV$14)))="T-Cutting","T-C",INDEX('[1]ATTENDANCE DAILY'!$I$4:$AM$663,$CC29,DAY(AV$14)))))),IFERROR(IF(_xlpm._r=0,"",_xlpm._r),""))</f>
        <v/>
      </c>
      <c r="AW29" s="54" t="str">
        <f>_xlfn.LET(_xlpm._r,_xlfn.SINGLE(IF(OR($CC29="",AW$14="",AW$14&lt;_xlfn.SINGLE(INDEX('[1]ATTENDANCE DAILY'!$AV$4:$AV$663,$CC29)),AW$14&gt;_xlfn.SINGLE(INDEX('[1]ATTENDANCE DAILY'!$AW$4:$AW$663,$CC29))),"",IF(_xlfn.SINGLE(INDEX('[1]ATTENDANCE DAILY'!$I$4:$AM$663,$CC29,DAY(AW$14)))="T-Late","T-L",IF(_xlfn.SINGLE(INDEX('[1]ATTENDANCE DAILY'!$I$4:$AM$663,$CC29,DAY(AW$14)))="T-Cutting","T-C",INDEX('[1]ATTENDANCE DAILY'!$I$4:$AM$663,$CC29,DAY(AW$14)))))),IFERROR(IF(_xlpm._r=0,"",_xlpm._r),""))</f>
        <v/>
      </c>
      <c r="AX29" s="55"/>
      <c r="AY29" s="57" t="str">
        <f>_xlfn.LET(_xlpm._r,_xlfn.SINGLE(IF(OR($CC29="",AY$14="",AY$14&lt;_xlfn.SINGLE(INDEX('[1]ATTENDANCE DAILY'!$AV$4:$AV$663,$CC29)),AY$14&gt;_xlfn.SINGLE(INDEX('[1]ATTENDANCE DAILY'!$AW$4:$AW$663,$CC29))),"",IF(_xlfn.SINGLE(INDEX('[1]ATTENDANCE DAILY'!$I$4:$AM$663,$CC29,DAY(AY$14)))="T-Late","T-L",IF(_xlfn.SINGLE(INDEX('[1]ATTENDANCE DAILY'!$I$4:$AM$663,$CC29,DAY(AY$14)))="T-Cutting","T-C",INDEX('[1]ATTENDANCE DAILY'!$I$4:$AM$663,$CC29,DAY(AY$14)))))),IFERROR(IF(_xlpm._r=0,"",_xlpm._r),""))</f>
        <v/>
      </c>
      <c r="AZ29" s="58"/>
      <c r="BA29" s="55"/>
      <c r="BB29" s="57" t="str">
        <f>_xlfn.LET(_xlpm._r,_xlfn.SINGLE(IF(OR($CC29="",BB$14="",BB$14&lt;_xlfn.SINGLE(INDEX('[1]ATTENDANCE DAILY'!$AV$4:$AV$663,$CC29)),BB$14&gt;_xlfn.SINGLE(INDEX('[1]ATTENDANCE DAILY'!$AW$4:$AW$663,$CC29))),"",IF(_xlfn.SINGLE(INDEX('[1]ATTENDANCE DAILY'!$I$4:$AM$663,$CC29,DAY(BB$14)))="T-Late","T-L",IF(_xlfn.SINGLE(INDEX('[1]ATTENDANCE DAILY'!$I$4:$AM$663,$CC29,DAY(BB$14)))="T-Cutting","T-C",INDEX('[1]ATTENDANCE DAILY'!$I$4:$AM$663,$CC29,DAY(BB$14)))))),IFERROR(IF(_xlpm._r=0,"",_xlpm._r),""))</f>
        <v/>
      </c>
      <c r="BC29" s="55"/>
      <c r="BD29" s="56" t="str">
        <f>_xlfn.LET(_xlpm._r,_xlfn.SINGLE(IF(OR($CC29="",BD$14="",BD$14&lt;_xlfn.SINGLE(INDEX('[1]ATTENDANCE DAILY'!$AV$4:$AV$663,$CC29)),BD$14&gt;_xlfn.SINGLE(INDEX('[1]ATTENDANCE DAILY'!$AW$4:$AW$663,$CC29))),"",IF(_xlfn.SINGLE(INDEX('[1]ATTENDANCE DAILY'!$I$4:$AM$663,$CC29,DAY(BD$14)))="T-Late","T-L",IF(_xlfn.SINGLE(INDEX('[1]ATTENDANCE DAILY'!$I$4:$AM$663,$CC29,DAY(BD$14)))="T-Cutting","T-C",INDEX('[1]ATTENDANCE DAILY'!$I$4:$AM$663,$CC29,DAY(BD$14)))))),IFERROR(IF(_xlpm._r=0,"",_xlpm._r),""))</f>
        <v/>
      </c>
      <c r="BE29" s="57" t="str">
        <f>_xlfn.LET(_xlpm._r,_xlfn.SINGLE(IF(OR($CC29="",BE$14="",BE$14&lt;_xlfn.SINGLE(INDEX('[1]ATTENDANCE DAILY'!$AV$4:$AV$663,$CC29)),BE$14&gt;_xlfn.SINGLE(INDEX('[1]ATTENDANCE DAILY'!$AW$4:$AW$663,$CC29))),"",IF(_xlfn.SINGLE(INDEX('[1]ATTENDANCE DAILY'!$I$4:$AM$663,$CC29,DAY(BE$14)))="T-Late","T-L",IF(_xlfn.SINGLE(INDEX('[1]ATTENDANCE DAILY'!$I$4:$AM$663,$CC29,DAY(BE$14)))="T-Cutting","T-C",INDEX('[1]ATTENDANCE DAILY'!$I$4:$AM$663,$CC29,DAY(BE$14)))))),IFERROR(IF(_xlpm._r=0,"",_xlpm._r),""))</f>
        <v/>
      </c>
      <c r="BF29" s="58"/>
      <c r="BG29" s="58"/>
      <c r="BH29" s="86"/>
      <c r="BI29" s="88">
        <f>IF($CC29="","",INDEX('[1]ATTENDANCE DAILY'!$AR$4:$AR$663,$CC29))</f>
        <v>0</v>
      </c>
      <c r="BJ29" s="89"/>
      <c r="BK29" s="90"/>
      <c r="BL29" s="88">
        <f>IF($CC29="","",INDEX('[1]ATTENDANCE DAILY'!$AS$4:$AS$663,$CC29))</f>
        <v>23</v>
      </c>
      <c r="BM29" s="89"/>
      <c r="BN29" s="89"/>
      <c r="BO29" s="90"/>
      <c r="BP29" s="91" t="str">
        <f>IF($CC29="","",IF(INDEX('[1]ATTENDANCE DAILY'!$AN$4:$AN$663,$CC29)="","",INDEX('[1]ATTENDANCE DAILY'!$AN$4:$AN$663,$CC29)&amp;IF(INDEX('[1]ATTENDANCE DAILY'!$AO$4:$AO$663,$CC29)="",""," ("&amp;TEXT(INDEX('[1]ATTENDANCE DAILY'!$AO$4:$AO$663,$CC29),"mm-dd-yyyy")&amp;")")&amp;IF(INDEX('[1]ATTENDANCE DAILY'!$AP$4:$AP$663,$CC29)="",""," - "&amp;INDEX('[1]ATTENDANCE DAILY'!$AP$4:$AP$663,$CC29))))</f>
        <v/>
      </c>
      <c r="BQ29" s="89"/>
      <c r="BR29" s="89"/>
      <c r="BS29" s="89"/>
      <c r="BT29" s="89"/>
      <c r="BU29" s="89"/>
      <c r="BV29" s="89"/>
      <c r="BW29" s="89"/>
      <c r="BX29" s="89"/>
      <c r="BY29" s="89"/>
      <c r="BZ29" s="89"/>
      <c r="CA29" s="90"/>
      <c r="CC29">
        <f>IF(COUNTIFS('[1]ATTENDANCE DAILY'!$C$4:$C$663,$BN$11,'[1]ATTENDANCE DAILY'!$F$4:$F$663,"Male",'[1]ATTENDANCE DAILY'!$G$4:$G$663,1,'[1]ATTENDANCE DAILY'!$BA$4:$BA$663,12)=0,"",SUMIFS('[1]ATTENDANCE DAILY'!$A$4:$A$663,'[1]ATTENDANCE DAILY'!$C$4:$C$663,$BN$11,'[1]ATTENDANCE DAILY'!$F$4:$F$663,"Male",'[1]ATTENDANCE DAILY'!$G$4:$G$663,1,'[1]ATTENDANCE DAILY'!$BA$4:$BA$663,12))</f>
        <v>72</v>
      </c>
    </row>
    <row r="30" spans="1:81" ht="19.95" customHeight="1">
      <c r="A30" s="80">
        <v>13</v>
      </c>
      <c r="B30" s="81"/>
      <c r="C30" s="81"/>
      <c r="D30" s="81"/>
      <c r="E30" s="81"/>
      <c r="F30" s="82"/>
      <c r="G30" s="83" t="str">
        <f>IF($CC30="","",INDEX('[1]ATTENDANCE DAILY'!$E$4:$E$663,$CC30))</f>
        <v>SUGAY, ASHTON GUTIERREZ</v>
      </c>
      <c r="H30" s="84"/>
      <c r="I30" s="84"/>
      <c r="J30" s="85"/>
      <c r="K30" s="54" t="str">
        <f>_xlfn.LET(_xlpm._r,_xlfn.SINGLE(IF(OR($CC30="",K$14="",K$14&lt;_xlfn.SINGLE(INDEX('[1]ATTENDANCE DAILY'!$AV$4:$AV$663,$CC30)),K$14&gt;_xlfn.SINGLE(INDEX('[1]ATTENDANCE DAILY'!$AW$4:$AW$663,$CC30))),"",IF(_xlfn.SINGLE(INDEX('[1]ATTENDANCE DAILY'!$I$4:$AM$663,$CC30,DAY(K$14)))="T-Late","T-L",IF(_xlfn.SINGLE(INDEX('[1]ATTENDANCE DAILY'!$I$4:$AM$663,$CC30,DAY(K$14)))="T-Cutting","T-C",INDEX('[1]ATTENDANCE DAILY'!$I$4:$AM$663,$CC30,DAY(K$14)))))),IFERROR(IF(_xlpm._r=0,"",_xlpm._r),""))</f>
        <v/>
      </c>
      <c r="L30" s="55"/>
      <c r="M30" s="56" t="str">
        <f>_xlfn.LET(_xlpm._r,_xlfn.SINGLE(IF(OR($CC30="",M$14="",M$14&lt;_xlfn.SINGLE(INDEX('[1]ATTENDANCE DAILY'!$AV$4:$AV$663,$CC30)),M$14&gt;_xlfn.SINGLE(INDEX('[1]ATTENDANCE DAILY'!$AW$4:$AW$663,$CC30))),"",IF(_xlfn.SINGLE(INDEX('[1]ATTENDANCE DAILY'!$I$4:$AM$663,$CC30,DAY(M$14)))="T-Late","T-L",IF(_xlfn.SINGLE(INDEX('[1]ATTENDANCE DAILY'!$I$4:$AM$663,$CC30,DAY(M$14)))="T-Cutting","T-C",INDEX('[1]ATTENDANCE DAILY'!$I$4:$AM$663,$CC30,DAY(M$14)))))),IFERROR(IF(_xlpm._r=0,"",_xlpm._r),""))</f>
        <v/>
      </c>
      <c r="N30" s="56" t="str">
        <f>_xlfn.LET(_xlpm._r,_xlfn.SINGLE(IF(OR($CC30="",N$14="",N$14&lt;_xlfn.SINGLE(INDEX('[1]ATTENDANCE DAILY'!$AV$4:$AV$663,$CC30)),N$14&gt;_xlfn.SINGLE(INDEX('[1]ATTENDANCE DAILY'!$AW$4:$AW$663,$CC30))),"",IF(_xlfn.SINGLE(INDEX('[1]ATTENDANCE DAILY'!$I$4:$AM$663,$CC30,DAY(N$14)))="T-Late","T-L",IF(_xlfn.SINGLE(INDEX('[1]ATTENDANCE DAILY'!$I$4:$AM$663,$CC30,DAY(N$14)))="T-Cutting","T-C",INDEX('[1]ATTENDANCE DAILY'!$I$4:$AM$663,$CC30,DAY(N$14)))))),IFERROR(IF(_xlpm._r=0,"",_xlpm._r),""))</f>
        <v/>
      </c>
      <c r="O30" s="57" t="str">
        <f>_xlfn.LET(_xlpm._r,_xlfn.SINGLE(IF(OR($CC30="",O$14="",O$14&lt;_xlfn.SINGLE(INDEX('[1]ATTENDANCE DAILY'!$AV$4:$AV$663,$CC30)),O$14&gt;_xlfn.SINGLE(INDEX('[1]ATTENDANCE DAILY'!$AW$4:$AW$663,$CC30))),"",IF(_xlfn.SINGLE(INDEX('[1]ATTENDANCE DAILY'!$I$4:$AM$663,$CC30,DAY(O$14)))="T-Late","T-L",IF(_xlfn.SINGLE(INDEX('[1]ATTENDANCE DAILY'!$I$4:$AM$663,$CC30,DAY(O$14)))="T-Cutting","T-C",INDEX('[1]ATTENDANCE DAILY'!$I$4:$AM$663,$CC30,DAY(O$14)))))),IFERROR(IF(_xlpm._r=0,"",_xlpm._r),""))</f>
        <v/>
      </c>
      <c r="P30" s="58"/>
      <c r="Q30" s="58"/>
      <c r="R30" s="55"/>
      <c r="S30" s="57" t="str">
        <f>_xlfn.LET(_xlpm._r,_xlfn.SINGLE(IF(OR($CC30="",S$14="",S$14&lt;_xlfn.SINGLE(INDEX('[1]ATTENDANCE DAILY'!$AV$4:$AV$663,$CC30)),S$14&gt;_xlfn.SINGLE(INDEX('[1]ATTENDANCE DAILY'!$AW$4:$AW$663,$CC30))),"",IF(_xlfn.SINGLE(INDEX('[1]ATTENDANCE DAILY'!$I$4:$AM$663,$CC30,DAY(S$14)))="T-Late","T-L",IF(_xlfn.SINGLE(INDEX('[1]ATTENDANCE DAILY'!$I$4:$AM$663,$CC30,DAY(S$14)))="T-Cutting","T-C",INDEX('[1]ATTENDANCE DAILY'!$I$4:$AM$663,$CC30,DAY(S$14)))))),IFERROR(IF(_xlpm._r=0,"",_xlpm._r),""))</f>
        <v/>
      </c>
      <c r="T30" s="58"/>
      <c r="U30" s="86"/>
      <c r="V30" s="59" t="str">
        <f>_xlfn.LET(_xlpm._r,_xlfn.SINGLE(IF(OR($CC30="",V$14="",V$14&lt;_xlfn.SINGLE(INDEX('[1]ATTENDANCE DAILY'!$AV$4:$AV$663,$CC30)),V$14&gt;_xlfn.SINGLE(INDEX('[1]ATTENDANCE DAILY'!$AW$4:$AW$663,$CC30))),"",IF(_xlfn.SINGLE(INDEX('[1]ATTENDANCE DAILY'!$I$4:$AM$663,$CC30,DAY(V$14)))="T-Late","T-L",IF(_xlfn.SINGLE(INDEX('[1]ATTENDANCE DAILY'!$I$4:$AM$663,$CC30,DAY(V$14)))="T-Cutting","T-C",INDEX('[1]ATTENDANCE DAILY'!$I$4:$AM$663,$CC30,DAY(V$14)))))),IFERROR(IF(_xlpm._r=0,"",_xlpm._r),""))</f>
        <v/>
      </c>
      <c r="W30" s="57" t="str">
        <f>_xlfn.LET(_xlpm._r,_xlfn.SINGLE(IF(OR($CC30="",W$14="",W$14&lt;_xlfn.SINGLE(INDEX('[1]ATTENDANCE DAILY'!$AV$4:$AV$663,$CC30)),W$14&gt;_xlfn.SINGLE(INDEX('[1]ATTENDANCE DAILY'!$AW$4:$AW$663,$CC30))),"",IF(_xlfn.SINGLE(INDEX('[1]ATTENDANCE DAILY'!$I$4:$AM$663,$CC30,DAY(W$14)))="T-Late","T-L",IF(_xlfn.SINGLE(INDEX('[1]ATTENDANCE DAILY'!$I$4:$AM$663,$CC30,DAY(W$14)))="T-Cutting","T-C",INDEX('[1]ATTENDANCE DAILY'!$I$4:$AM$663,$CC30,DAY(W$14)))))),IFERROR(IF(_xlpm._r=0,"",_xlpm._r),""))</f>
        <v/>
      </c>
      <c r="X30" s="58"/>
      <c r="Y30" s="55"/>
      <c r="Z30" s="56" t="str">
        <f>_xlfn.LET(_xlpm._r,_xlfn.SINGLE(IF(OR($CC30="",Z$14="",Z$14&lt;_xlfn.SINGLE(INDEX('[1]ATTENDANCE DAILY'!$AV$4:$AV$663,$CC30)),Z$14&gt;_xlfn.SINGLE(INDEX('[1]ATTENDANCE DAILY'!$AW$4:$AW$663,$CC30))),"",IF(_xlfn.SINGLE(INDEX('[1]ATTENDANCE DAILY'!$I$4:$AM$663,$CC30,DAY(Z$14)))="T-Late","T-L",IF(_xlfn.SINGLE(INDEX('[1]ATTENDANCE DAILY'!$I$4:$AM$663,$CC30,DAY(Z$14)))="T-Cutting","T-C",INDEX('[1]ATTENDANCE DAILY'!$I$4:$AM$663,$CC30,DAY(Z$14)))))),IFERROR(IF(_xlpm._r=0,"",_xlpm._r),""))</f>
        <v/>
      </c>
      <c r="AA30" s="56" t="str">
        <f>_xlfn.LET(_xlpm._r,_xlfn.SINGLE(IF(OR($CC30="",AA$14="",AA$14&lt;_xlfn.SINGLE(INDEX('[1]ATTENDANCE DAILY'!$AV$4:$AV$663,$CC30)),AA$14&gt;_xlfn.SINGLE(INDEX('[1]ATTENDANCE DAILY'!$AW$4:$AW$663,$CC30))),"",IF(_xlfn.SINGLE(INDEX('[1]ATTENDANCE DAILY'!$I$4:$AM$663,$CC30,DAY(AA$14)))="T-Late","T-L",IF(_xlfn.SINGLE(INDEX('[1]ATTENDANCE DAILY'!$I$4:$AM$663,$CC30,DAY(AA$14)))="T-Cutting","T-C",INDEX('[1]ATTENDANCE DAILY'!$I$4:$AM$663,$CC30,DAY(AA$14)))))),IFERROR(IF(_xlpm._r=0,"",_xlpm._r),""))</f>
        <v/>
      </c>
      <c r="AB30" s="57" t="str">
        <f>_xlfn.LET(_xlpm._r,_xlfn.SINGLE(IF(OR($CC30="",AB$14="",AB$14&lt;_xlfn.SINGLE(INDEX('[1]ATTENDANCE DAILY'!$AV$4:$AV$663,$CC30)),AB$14&gt;_xlfn.SINGLE(INDEX('[1]ATTENDANCE DAILY'!$AW$4:$AW$663,$CC30))),"",IF(_xlfn.SINGLE(INDEX('[1]ATTENDANCE DAILY'!$I$4:$AM$663,$CC30,DAY(AB$14)))="T-Late","T-L",IF(_xlfn.SINGLE(INDEX('[1]ATTENDANCE DAILY'!$I$4:$AM$663,$CC30,DAY(AB$14)))="T-Cutting","T-C",INDEX('[1]ATTENDANCE DAILY'!$I$4:$AM$663,$CC30,DAY(AB$14)))))),IFERROR(IF(_xlpm._r=0,"",_xlpm._r),""))</f>
        <v/>
      </c>
      <c r="AC30" s="58"/>
      <c r="AD30" s="86"/>
      <c r="AE30" s="54" t="str">
        <f>_xlfn.LET(_xlpm._r,_xlfn.SINGLE(IF(OR($CC30="",AE$14="",AE$14&lt;_xlfn.SINGLE(INDEX('[1]ATTENDANCE DAILY'!$AV$4:$AV$663,$CC30)),AE$14&gt;_xlfn.SINGLE(INDEX('[1]ATTENDANCE DAILY'!$AW$4:$AW$663,$CC30))),"",IF(_xlfn.SINGLE(INDEX('[1]ATTENDANCE DAILY'!$I$4:$AM$663,$CC30,DAY(AE$14)))="T-Late","T-L",IF(_xlfn.SINGLE(INDEX('[1]ATTENDANCE DAILY'!$I$4:$AM$663,$CC30,DAY(AE$14)))="T-Cutting","T-C",INDEX('[1]ATTENDANCE DAILY'!$I$4:$AM$663,$CC30,DAY(AE$14)))))),IFERROR(IF(_xlpm._r=0,"",_xlpm._r),""))</f>
        <v/>
      </c>
      <c r="AF30" s="58"/>
      <c r="AG30" s="55"/>
      <c r="AH30" s="56" t="str">
        <f>_xlfn.LET(_xlpm._r,_xlfn.SINGLE(IF(OR($CC30="",AH$14="",AH$14&lt;_xlfn.SINGLE(INDEX('[1]ATTENDANCE DAILY'!$AV$4:$AV$663,$CC30)),AH$14&gt;_xlfn.SINGLE(INDEX('[1]ATTENDANCE DAILY'!$AW$4:$AW$663,$CC30))),"",IF(_xlfn.SINGLE(INDEX('[1]ATTENDANCE DAILY'!$I$4:$AM$663,$CC30,DAY(AH$14)))="T-Late","T-L",IF(_xlfn.SINGLE(INDEX('[1]ATTENDANCE DAILY'!$I$4:$AM$663,$CC30,DAY(AH$14)))="T-Cutting","T-C",INDEX('[1]ATTENDANCE DAILY'!$I$4:$AM$663,$CC30,DAY(AH$14)))))),IFERROR(IF(_xlpm._r=0,"",_xlpm._r),""))</f>
        <v/>
      </c>
      <c r="AI30" s="57" t="str">
        <f>_xlfn.LET(_xlpm._r,_xlfn.SINGLE(IF(OR($CC30="",AI$14="",AI$14&lt;_xlfn.SINGLE(INDEX('[1]ATTENDANCE DAILY'!$AV$4:$AV$663,$CC30)),AI$14&gt;_xlfn.SINGLE(INDEX('[1]ATTENDANCE DAILY'!$AW$4:$AW$663,$CC30))),"",IF(_xlfn.SINGLE(INDEX('[1]ATTENDANCE DAILY'!$I$4:$AM$663,$CC30,DAY(AI$14)))="T-Late","T-L",IF(_xlfn.SINGLE(INDEX('[1]ATTENDANCE DAILY'!$I$4:$AM$663,$CC30,DAY(AI$14)))="T-Cutting","T-C",INDEX('[1]ATTENDANCE DAILY'!$I$4:$AM$663,$CC30,DAY(AI$14)))))),IFERROR(IF(_xlpm._r=0,"",_xlpm._r),""))</f>
        <v/>
      </c>
      <c r="AJ30" s="58"/>
      <c r="AK30" s="55"/>
      <c r="AL30" s="57" t="str">
        <f>_xlfn.LET(_xlpm._r,_xlfn.SINGLE(IF(OR($CC30="",AL$14="",AL$14&lt;_xlfn.SINGLE(INDEX('[1]ATTENDANCE DAILY'!$AV$4:$AV$663,$CC30)),AL$14&gt;_xlfn.SINGLE(INDEX('[1]ATTENDANCE DAILY'!$AW$4:$AW$663,$CC30))),"",IF(_xlfn.SINGLE(INDEX('[1]ATTENDANCE DAILY'!$I$4:$AM$663,$CC30,DAY(AL$14)))="T-Late","T-L",IF(_xlfn.SINGLE(INDEX('[1]ATTENDANCE DAILY'!$I$4:$AM$663,$CC30,DAY(AL$14)))="T-Cutting","T-C",INDEX('[1]ATTENDANCE DAILY'!$I$4:$AM$663,$CC30,DAY(AL$14)))))),IFERROR(IF(_xlpm._r=0,"",_xlpm._r),""))</f>
        <v/>
      </c>
      <c r="AM30" s="55"/>
      <c r="AN30" s="57" t="str">
        <f>_xlfn.LET(_xlpm._r,_xlfn.SINGLE(IF(OR($CC30="",AN$14="",AN$14&lt;_xlfn.SINGLE(INDEX('[1]ATTENDANCE DAILY'!$AV$4:$AV$663,$CC30)),AN$14&gt;_xlfn.SINGLE(INDEX('[1]ATTENDANCE DAILY'!$AW$4:$AW$663,$CC30))),"",IF(_xlfn.SINGLE(INDEX('[1]ATTENDANCE DAILY'!$I$4:$AM$663,$CC30,DAY(AN$14)))="T-Late","T-L",IF(_xlfn.SINGLE(INDEX('[1]ATTENDANCE DAILY'!$I$4:$AM$663,$CC30,DAY(AN$14)))="T-Cutting","T-C",INDEX('[1]ATTENDANCE DAILY'!$I$4:$AM$663,$CC30,DAY(AN$14)))))),IFERROR(IF(_xlpm._r=0,"",_xlpm._r),""))</f>
        <v/>
      </c>
      <c r="AO30" s="86"/>
      <c r="AP30" s="54" t="str">
        <f>_xlfn.LET(_xlpm._r,_xlfn.SINGLE(IF(OR($CC30="",AP$14="",AP$14&lt;_xlfn.SINGLE(INDEX('[1]ATTENDANCE DAILY'!$AV$4:$AV$663,$CC30)),AP$14&gt;_xlfn.SINGLE(INDEX('[1]ATTENDANCE DAILY'!$AW$4:$AW$663,$CC30))),"",IF(_xlfn.SINGLE(INDEX('[1]ATTENDANCE DAILY'!$I$4:$AM$663,$CC30,DAY(AP$14)))="T-Late","T-L",IF(_xlfn.SINGLE(INDEX('[1]ATTENDANCE DAILY'!$I$4:$AM$663,$CC30,DAY(AP$14)))="T-Cutting","T-C",INDEX('[1]ATTENDANCE DAILY'!$I$4:$AM$663,$CC30,DAY(AP$14)))))),IFERROR(IF(_xlpm._r=0,"",_xlpm._r),""))</f>
        <v/>
      </c>
      <c r="AQ30" s="55"/>
      <c r="AR30" s="56" t="str">
        <f>_xlfn.LET(_xlpm._r,_xlfn.SINGLE(IF(OR($CC30="",AR$14="",AR$14&lt;_xlfn.SINGLE(INDEX('[1]ATTENDANCE DAILY'!$AV$4:$AV$663,$CC30)),AR$14&gt;_xlfn.SINGLE(INDEX('[1]ATTENDANCE DAILY'!$AW$4:$AW$663,$CC30))),"",IF(_xlfn.SINGLE(INDEX('[1]ATTENDANCE DAILY'!$I$4:$AM$663,$CC30,DAY(AR$14)))="T-Late","T-L",IF(_xlfn.SINGLE(INDEX('[1]ATTENDANCE DAILY'!$I$4:$AM$663,$CC30,DAY(AR$14)))="T-Cutting","T-C",INDEX('[1]ATTENDANCE DAILY'!$I$4:$AM$663,$CC30,DAY(AR$14)))))),IFERROR(IF(_xlpm._r=0,"",_xlpm._r),""))</f>
        <v/>
      </c>
      <c r="AS30" s="57" t="str">
        <f>_xlfn.LET(_xlpm._r,_xlfn.SINGLE(IF(OR($CC30="",AS$14="",AS$14&lt;_xlfn.SINGLE(INDEX('[1]ATTENDANCE DAILY'!$AV$4:$AV$663,$CC30)),AS$14&gt;_xlfn.SINGLE(INDEX('[1]ATTENDANCE DAILY'!$AW$4:$AW$663,$CC30))),"",IF(_xlfn.SINGLE(INDEX('[1]ATTENDANCE DAILY'!$I$4:$AM$663,$CC30,DAY(AS$14)))="T-Late","T-L",IF(_xlfn.SINGLE(INDEX('[1]ATTENDANCE DAILY'!$I$4:$AM$663,$CC30,DAY(AS$14)))="T-Cutting","T-C",INDEX('[1]ATTENDANCE DAILY'!$I$4:$AM$663,$CC30,DAY(AS$14)))))),IFERROR(IF(_xlpm._r=0,"",_xlpm._r),""))</f>
        <v/>
      </c>
      <c r="AT30" s="55"/>
      <c r="AU30" s="56" t="str">
        <f>_xlfn.LET(_xlpm._r,_xlfn.SINGLE(IF(OR($CC30="",AU$14="",AU$14&lt;_xlfn.SINGLE(INDEX('[1]ATTENDANCE DAILY'!$AV$4:$AV$663,$CC30)),AU$14&gt;_xlfn.SINGLE(INDEX('[1]ATTENDANCE DAILY'!$AW$4:$AW$663,$CC30))),"",IF(_xlfn.SINGLE(INDEX('[1]ATTENDANCE DAILY'!$I$4:$AM$663,$CC30,DAY(AU$14)))="T-Late","T-L",IF(_xlfn.SINGLE(INDEX('[1]ATTENDANCE DAILY'!$I$4:$AM$663,$CC30,DAY(AU$14)))="T-Cutting","T-C",INDEX('[1]ATTENDANCE DAILY'!$I$4:$AM$663,$CC30,DAY(AU$14)))))),IFERROR(IF(_xlpm._r=0,"",_xlpm._r),""))</f>
        <v/>
      </c>
      <c r="AV30" s="87" t="str">
        <f>_xlfn.LET(_xlpm._r,_xlfn.SINGLE(IF(OR($CC30="",AV$14="",AV$14&lt;_xlfn.SINGLE(INDEX('[1]ATTENDANCE DAILY'!$AV$4:$AV$663,$CC30)),AV$14&gt;_xlfn.SINGLE(INDEX('[1]ATTENDANCE DAILY'!$AW$4:$AW$663,$CC30))),"",IF(_xlfn.SINGLE(INDEX('[1]ATTENDANCE DAILY'!$I$4:$AM$663,$CC30,DAY(AV$14)))="T-Late","T-L",IF(_xlfn.SINGLE(INDEX('[1]ATTENDANCE DAILY'!$I$4:$AM$663,$CC30,DAY(AV$14)))="T-Cutting","T-C",INDEX('[1]ATTENDANCE DAILY'!$I$4:$AM$663,$CC30,DAY(AV$14)))))),IFERROR(IF(_xlpm._r=0,"",_xlpm._r),""))</f>
        <v/>
      </c>
      <c r="AW30" s="54" t="str">
        <f>_xlfn.LET(_xlpm._r,_xlfn.SINGLE(IF(OR($CC30="",AW$14="",AW$14&lt;_xlfn.SINGLE(INDEX('[1]ATTENDANCE DAILY'!$AV$4:$AV$663,$CC30)),AW$14&gt;_xlfn.SINGLE(INDEX('[1]ATTENDANCE DAILY'!$AW$4:$AW$663,$CC30))),"",IF(_xlfn.SINGLE(INDEX('[1]ATTENDANCE DAILY'!$I$4:$AM$663,$CC30,DAY(AW$14)))="T-Late","T-L",IF(_xlfn.SINGLE(INDEX('[1]ATTENDANCE DAILY'!$I$4:$AM$663,$CC30,DAY(AW$14)))="T-Cutting","T-C",INDEX('[1]ATTENDANCE DAILY'!$I$4:$AM$663,$CC30,DAY(AW$14)))))),IFERROR(IF(_xlpm._r=0,"",_xlpm._r),""))</f>
        <v/>
      </c>
      <c r="AX30" s="55"/>
      <c r="AY30" s="57" t="str">
        <f>_xlfn.LET(_xlpm._r,_xlfn.SINGLE(IF(OR($CC30="",AY$14="",AY$14&lt;_xlfn.SINGLE(INDEX('[1]ATTENDANCE DAILY'!$AV$4:$AV$663,$CC30)),AY$14&gt;_xlfn.SINGLE(INDEX('[1]ATTENDANCE DAILY'!$AW$4:$AW$663,$CC30))),"",IF(_xlfn.SINGLE(INDEX('[1]ATTENDANCE DAILY'!$I$4:$AM$663,$CC30,DAY(AY$14)))="T-Late","T-L",IF(_xlfn.SINGLE(INDEX('[1]ATTENDANCE DAILY'!$I$4:$AM$663,$CC30,DAY(AY$14)))="T-Cutting","T-C",INDEX('[1]ATTENDANCE DAILY'!$I$4:$AM$663,$CC30,DAY(AY$14)))))),IFERROR(IF(_xlpm._r=0,"",_xlpm._r),""))</f>
        <v/>
      </c>
      <c r="AZ30" s="58"/>
      <c r="BA30" s="55"/>
      <c r="BB30" s="57" t="str">
        <f>_xlfn.LET(_xlpm._r,_xlfn.SINGLE(IF(OR($CC30="",BB$14="",BB$14&lt;_xlfn.SINGLE(INDEX('[1]ATTENDANCE DAILY'!$AV$4:$AV$663,$CC30)),BB$14&gt;_xlfn.SINGLE(INDEX('[1]ATTENDANCE DAILY'!$AW$4:$AW$663,$CC30))),"",IF(_xlfn.SINGLE(INDEX('[1]ATTENDANCE DAILY'!$I$4:$AM$663,$CC30,DAY(BB$14)))="T-Late","T-L",IF(_xlfn.SINGLE(INDEX('[1]ATTENDANCE DAILY'!$I$4:$AM$663,$CC30,DAY(BB$14)))="T-Cutting","T-C",INDEX('[1]ATTENDANCE DAILY'!$I$4:$AM$663,$CC30,DAY(BB$14)))))),IFERROR(IF(_xlpm._r=0,"",_xlpm._r),""))</f>
        <v/>
      </c>
      <c r="BC30" s="55"/>
      <c r="BD30" s="56" t="str">
        <f>_xlfn.LET(_xlpm._r,_xlfn.SINGLE(IF(OR($CC30="",BD$14="",BD$14&lt;_xlfn.SINGLE(INDEX('[1]ATTENDANCE DAILY'!$AV$4:$AV$663,$CC30)),BD$14&gt;_xlfn.SINGLE(INDEX('[1]ATTENDANCE DAILY'!$AW$4:$AW$663,$CC30))),"",IF(_xlfn.SINGLE(INDEX('[1]ATTENDANCE DAILY'!$I$4:$AM$663,$CC30,DAY(BD$14)))="T-Late","T-L",IF(_xlfn.SINGLE(INDEX('[1]ATTENDANCE DAILY'!$I$4:$AM$663,$CC30,DAY(BD$14)))="T-Cutting","T-C",INDEX('[1]ATTENDANCE DAILY'!$I$4:$AM$663,$CC30,DAY(BD$14)))))),IFERROR(IF(_xlpm._r=0,"",_xlpm._r),""))</f>
        <v/>
      </c>
      <c r="BE30" s="57" t="str">
        <f>_xlfn.LET(_xlpm._r,_xlfn.SINGLE(IF(OR($CC30="",BE$14="",BE$14&lt;_xlfn.SINGLE(INDEX('[1]ATTENDANCE DAILY'!$AV$4:$AV$663,$CC30)),BE$14&gt;_xlfn.SINGLE(INDEX('[1]ATTENDANCE DAILY'!$AW$4:$AW$663,$CC30))),"",IF(_xlfn.SINGLE(INDEX('[1]ATTENDANCE DAILY'!$I$4:$AM$663,$CC30,DAY(BE$14)))="T-Late","T-L",IF(_xlfn.SINGLE(INDEX('[1]ATTENDANCE DAILY'!$I$4:$AM$663,$CC30,DAY(BE$14)))="T-Cutting","T-C",INDEX('[1]ATTENDANCE DAILY'!$I$4:$AM$663,$CC30,DAY(BE$14)))))),IFERROR(IF(_xlpm._r=0,"",_xlpm._r),""))</f>
        <v/>
      </c>
      <c r="BF30" s="58"/>
      <c r="BG30" s="58"/>
      <c r="BH30" s="86"/>
      <c r="BI30" s="88">
        <f>IF($CC30="","",INDEX('[1]ATTENDANCE DAILY'!$AR$4:$AR$663,$CC30))</f>
        <v>0</v>
      </c>
      <c r="BJ30" s="89"/>
      <c r="BK30" s="90"/>
      <c r="BL30" s="88">
        <f>IF($CC30="","",INDEX('[1]ATTENDANCE DAILY'!$AS$4:$AS$663,$CC30))</f>
        <v>23</v>
      </c>
      <c r="BM30" s="89"/>
      <c r="BN30" s="89"/>
      <c r="BO30" s="90"/>
      <c r="BP30" s="91" t="str">
        <f>IF($CC30="","",IF(INDEX('[1]ATTENDANCE DAILY'!$AN$4:$AN$663,$CC30)="","",INDEX('[1]ATTENDANCE DAILY'!$AN$4:$AN$663,$CC30)&amp;IF(INDEX('[1]ATTENDANCE DAILY'!$AO$4:$AO$663,$CC30)="",""," ("&amp;TEXT(INDEX('[1]ATTENDANCE DAILY'!$AO$4:$AO$663,$CC30),"mm-dd-yyyy")&amp;")")&amp;IF(INDEX('[1]ATTENDANCE DAILY'!$AP$4:$AP$663,$CC30)="",""," - "&amp;INDEX('[1]ATTENDANCE DAILY'!$AP$4:$AP$663,$CC30))))</f>
        <v/>
      </c>
      <c r="BQ30" s="89"/>
      <c r="BR30" s="89"/>
      <c r="BS30" s="89"/>
      <c r="BT30" s="89"/>
      <c r="BU30" s="89"/>
      <c r="BV30" s="89"/>
      <c r="BW30" s="89"/>
      <c r="BX30" s="89"/>
      <c r="BY30" s="89"/>
      <c r="BZ30" s="89"/>
      <c r="CA30" s="90"/>
      <c r="CC30">
        <f>IF(COUNTIFS('[1]ATTENDANCE DAILY'!$C$4:$C$663,$BN$11,'[1]ATTENDANCE DAILY'!$F$4:$F$663,"Male",'[1]ATTENDANCE DAILY'!$G$4:$G$663,1,'[1]ATTENDANCE DAILY'!$BA$4:$BA$663,13)=0,"",SUMIFS('[1]ATTENDANCE DAILY'!$A$4:$A$663,'[1]ATTENDANCE DAILY'!$C$4:$C$663,$BN$11,'[1]ATTENDANCE DAILY'!$F$4:$F$663,"Male",'[1]ATTENDANCE DAILY'!$G$4:$G$663,1,'[1]ATTENDANCE DAILY'!$BA$4:$BA$663,13))</f>
        <v>73</v>
      </c>
    </row>
    <row r="31" spans="1:81" ht="19.95" customHeight="1">
      <c r="A31" s="80">
        <v>14</v>
      </c>
      <c r="B31" s="81"/>
      <c r="C31" s="81"/>
      <c r="D31" s="81"/>
      <c r="E31" s="81"/>
      <c r="F31" s="82"/>
      <c r="G31" s="83" t="str">
        <f>IF($CC31="","",INDEX('[1]ATTENDANCE DAILY'!$E$4:$E$663,$CC31))</f>
        <v>SANTIAGO, JARED ALBERTH BARREDA</v>
      </c>
      <c r="H31" s="84"/>
      <c r="I31" s="84"/>
      <c r="J31" s="85"/>
      <c r="K31" s="54" t="str">
        <f>_xlfn.LET(_xlpm._r,_xlfn.SINGLE(IF(OR($CC31="",K$14="",K$14&lt;_xlfn.SINGLE(INDEX('[1]ATTENDANCE DAILY'!$AV$4:$AV$663,$CC31)),K$14&gt;_xlfn.SINGLE(INDEX('[1]ATTENDANCE DAILY'!$AW$4:$AW$663,$CC31))),"",IF(_xlfn.SINGLE(INDEX('[1]ATTENDANCE DAILY'!$I$4:$AM$663,$CC31,DAY(K$14)))="T-Late","T-L",IF(_xlfn.SINGLE(INDEX('[1]ATTENDANCE DAILY'!$I$4:$AM$663,$CC31,DAY(K$14)))="T-Cutting","T-C",INDEX('[1]ATTENDANCE DAILY'!$I$4:$AM$663,$CC31,DAY(K$14)))))),IFERROR(IF(_xlpm._r=0,"",_xlpm._r),""))</f>
        <v/>
      </c>
      <c r="L31" s="55"/>
      <c r="M31" s="56" t="str">
        <f>_xlfn.LET(_xlpm._r,_xlfn.SINGLE(IF(OR($CC31="",M$14="",M$14&lt;_xlfn.SINGLE(INDEX('[1]ATTENDANCE DAILY'!$AV$4:$AV$663,$CC31)),M$14&gt;_xlfn.SINGLE(INDEX('[1]ATTENDANCE DAILY'!$AW$4:$AW$663,$CC31))),"",IF(_xlfn.SINGLE(INDEX('[1]ATTENDANCE DAILY'!$I$4:$AM$663,$CC31,DAY(M$14)))="T-Late","T-L",IF(_xlfn.SINGLE(INDEX('[1]ATTENDANCE DAILY'!$I$4:$AM$663,$CC31,DAY(M$14)))="T-Cutting","T-C",INDEX('[1]ATTENDANCE DAILY'!$I$4:$AM$663,$CC31,DAY(M$14)))))),IFERROR(IF(_xlpm._r=0,"",_xlpm._r),""))</f>
        <v/>
      </c>
      <c r="N31" s="56" t="str">
        <f>_xlfn.LET(_xlpm._r,_xlfn.SINGLE(IF(OR($CC31="",N$14="",N$14&lt;_xlfn.SINGLE(INDEX('[1]ATTENDANCE DAILY'!$AV$4:$AV$663,$CC31)),N$14&gt;_xlfn.SINGLE(INDEX('[1]ATTENDANCE DAILY'!$AW$4:$AW$663,$CC31))),"",IF(_xlfn.SINGLE(INDEX('[1]ATTENDANCE DAILY'!$I$4:$AM$663,$CC31,DAY(N$14)))="T-Late","T-L",IF(_xlfn.SINGLE(INDEX('[1]ATTENDANCE DAILY'!$I$4:$AM$663,$CC31,DAY(N$14)))="T-Cutting","T-C",INDEX('[1]ATTENDANCE DAILY'!$I$4:$AM$663,$CC31,DAY(N$14)))))),IFERROR(IF(_xlpm._r=0,"",_xlpm._r),""))</f>
        <v/>
      </c>
      <c r="O31" s="57" t="str">
        <f>_xlfn.LET(_xlpm._r,_xlfn.SINGLE(IF(OR($CC31="",O$14="",O$14&lt;_xlfn.SINGLE(INDEX('[1]ATTENDANCE DAILY'!$AV$4:$AV$663,$CC31)),O$14&gt;_xlfn.SINGLE(INDEX('[1]ATTENDANCE DAILY'!$AW$4:$AW$663,$CC31))),"",IF(_xlfn.SINGLE(INDEX('[1]ATTENDANCE DAILY'!$I$4:$AM$663,$CC31,DAY(O$14)))="T-Late","T-L",IF(_xlfn.SINGLE(INDEX('[1]ATTENDANCE DAILY'!$I$4:$AM$663,$CC31,DAY(O$14)))="T-Cutting","T-C",INDEX('[1]ATTENDANCE DAILY'!$I$4:$AM$663,$CC31,DAY(O$14)))))),IFERROR(IF(_xlpm._r=0,"",_xlpm._r),""))</f>
        <v/>
      </c>
      <c r="P31" s="58"/>
      <c r="Q31" s="58"/>
      <c r="R31" s="55"/>
      <c r="S31" s="57" t="str">
        <f>_xlfn.LET(_xlpm._r,_xlfn.SINGLE(IF(OR($CC31="",S$14="",S$14&lt;_xlfn.SINGLE(INDEX('[1]ATTENDANCE DAILY'!$AV$4:$AV$663,$CC31)),S$14&gt;_xlfn.SINGLE(INDEX('[1]ATTENDANCE DAILY'!$AW$4:$AW$663,$CC31))),"",IF(_xlfn.SINGLE(INDEX('[1]ATTENDANCE DAILY'!$I$4:$AM$663,$CC31,DAY(S$14)))="T-Late","T-L",IF(_xlfn.SINGLE(INDEX('[1]ATTENDANCE DAILY'!$I$4:$AM$663,$CC31,DAY(S$14)))="T-Cutting","T-C",INDEX('[1]ATTENDANCE DAILY'!$I$4:$AM$663,$CC31,DAY(S$14)))))),IFERROR(IF(_xlpm._r=0,"",_xlpm._r),""))</f>
        <v/>
      </c>
      <c r="T31" s="58"/>
      <c r="U31" s="86"/>
      <c r="V31" s="59" t="str">
        <f>_xlfn.LET(_xlpm._r,_xlfn.SINGLE(IF(OR($CC31="",V$14="",V$14&lt;_xlfn.SINGLE(INDEX('[1]ATTENDANCE DAILY'!$AV$4:$AV$663,$CC31)),V$14&gt;_xlfn.SINGLE(INDEX('[1]ATTENDANCE DAILY'!$AW$4:$AW$663,$CC31))),"",IF(_xlfn.SINGLE(INDEX('[1]ATTENDANCE DAILY'!$I$4:$AM$663,$CC31,DAY(V$14)))="T-Late","T-L",IF(_xlfn.SINGLE(INDEX('[1]ATTENDANCE DAILY'!$I$4:$AM$663,$CC31,DAY(V$14)))="T-Cutting","T-C",INDEX('[1]ATTENDANCE DAILY'!$I$4:$AM$663,$CC31,DAY(V$14)))))),IFERROR(IF(_xlpm._r=0,"",_xlpm._r),""))</f>
        <v/>
      </c>
      <c r="W31" s="57" t="str">
        <f>_xlfn.LET(_xlpm._r,_xlfn.SINGLE(IF(OR($CC31="",W$14="",W$14&lt;_xlfn.SINGLE(INDEX('[1]ATTENDANCE DAILY'!$AV$4:$AV$663,$CC31)),W$14&gt;_xlfn.SINGLE(INDEX('[1]ATTENDANCE DAILY'!$AW$4:$AW$663,$CC31))),"",IF(_xlfn.SINGLE(INDEX('[1]ATTENDANCE DAILY'!$I$4:$AM$663,$CC31,DAY(W$14)))="T-Late","T-L",IF(_xlfn.SINGLE(INDEX('[1]ATTENDANCE DAILY'!$I$4:$AM$663,$CC31,DAY(W$14)))="T-Cutting","T-C",INDEX('[1]ATTENDANCE DAILY'!$I$4:$AM$663,$CC31,DAY(W$14)))))),IFERROR(IF(_xlpm._r=0,"",_xlpm._r),""))</f>
        <v/>
      </c>
      <c r="X31" s="58"/>
      <c r="Y31" s="55"/>
      <c r="Z31" s="56" t="str">
        <f>_xlfn.LET(_xlpm._r,_xlfn.SINGLE(IF(OR($CC31="",Z$14="",Z$14&lt;_xlfn.SINGLE(INDEX('[1]ATTENDANCE DAILY'!$AV$4:$AV$663,$CC31)),Z$14&gt;_xlfn.SINGLE(INDEX('[1]ATTENDANCE DAILY'!$AW$4:$AW$663,$CC31))),"",IF(_xlfn.SINGLE(INDEX('[1]ATTENDANCE DAILY'!$I$4:$AM$663,$CC31,DAY(Z$14)))="T-Late","T-L",IF(_xlfn.SINGLE(INDEX('[1]ATTENDANCE DAILY'!$I$4:$AM$663,$CC31,DAY(Z$14)))="T-Cutting","T-C",INDEX('[1]ATTENDANCE DAILY'!$I$4:$AM$663,$CC31,DAY(Z$14)))))),IFERROR(IF(_xlpm._r=0,"",_xlpm._r),""))</f>
        <v/>
      </c>
      <c r="AA31" s="56" t="str">
        <f>_xlfn.LET(_xlpm._r,_xlfn.SINGLE(IF(OR($CC31="",AA$14="",AA$14&lt;_xlfn.SINGLE(INDEX('[1]ATTENDANCE DAILY'!$AV$4:$AV$663,$CC31)),AA$14&gt;_xlfn.SINGLE(INDEX('[1]ATTENDANCE DAILY'!$AW$4:$AW$663,$CC31))),"",IF(_xlfn.SINGLE(INDEX('[1]ATTENDANCE DAILY'!$I$4:$AM$663,$CC31,DAY(AA$14)))="T-Late","T-L",IF(_xlfn.SINGLE(INDEX('[1]ATTENDANCE DAILY'!$I$4:$AM$663,$CC31,DAY(AA$14)))="T-Cutting","T-C",INDEX('[1]ATTENDANCE DAILY'!$I$4:$AM$663,$CC31,DAY(AA$14)))))),IFERROR(IF(_xlpm._r=0,"",_xlpm._r),""))</f>
        <v/>
      </c>
      <c r="AB31" s="57" t="str">
        <f>_xlfn.LET(_xlpm._r,_xlfn.SINGLE(IF(OR($CC31="",AB$14="",AB$14&lt;_xlfn.SINGLE(INDEX('[1]ATTENDANCE DAILY'!$AV$4:$AV$663,$CC31)),AB$14&gt;_xlfn.SINGLE(INDEX('[1]ATTENDANCE DAILY'!$AW$4:$AW$663,$CC31))),"",IF(_xlfn.SINGLE(INDEX('[1]ATTENDANCE DAILY'!$I$4:$AM$663,$CC31,DAY(AB$14)))="T-Late","T-L",IF(_xlfn.SINGLE(INDEX('[1]ATTENDANCE DAILY'!$I$4:$AM$663,$CC31,DAY(AB$14)))="T-Cutting","T-C",INDEX('[1]ATTENDANCE DAILY'!$I$4:$AM$663,$CC31,DAY(AB$14)))))),IFERROR(IF(_xlpm._r=0,"",_xlpm._r),""))</f>
        <v/>
      </c>
      <c r="AC31" s="58"/>
      <c r="AD31" s="86"/>
      <c r="AE31" s="54" t="str">
        <f>_xlfn.LET(_xlpm._r,_xlfn.SINGLE(IF(OR($CC31="",AE$14="",AE$14&lt;_xlfn.SINGLE(INDEX('[1]ATTENDANCE DAILY'!$AV$4:$AV$663,$CC31)),AE$14&gt;_xlfn.SINGLE(INDEX('[1]ATTENDANCE DAILY'!$AW$4:$AW$663,$CC31))),"",IF(_xlfn.SINGLE(INDEX('[1]ATTENDANCE DAILY'!$I$4:$AM$663,$CC31,DAY(AE$14)))="T-Late","T-L",IF(_xlfn.SINGLE(INDEX('[1]ATTENDANCE DAILY'!$I$4:$AM$663,$CC31,DAY(AE$14)))="T-Cutting","T-C",INDEX('[1]ATTENDANCE DAILY'!$I$4:$AM$663,$CC31,DAY(AE$14)))))),IFERROR(IF(_xlpm._r=0,"",_xlpm._r),""))</f>
        <v/>
      </c>
      <c r="AF31" s="58"/>
      <c r="AG31" s="55"/>
      <c r="AH31" s="56" t="str">
        <f>_xlfn.LET(_xlpm._r,_xlfn.SINGLE(IF(OR($CC31="",AH$14="",AH$14&lt;_xlfn.SINGLE(INDEX('[1]ATTENDANCE DAILY'!$AV$4:$AV$663,$CC31)),AH$14&gt;_xlfn.SINGLE(INDEX('[1]ATTENDANCE DAILY'!$AW$4:$AW$663,$CC31))),"",IF(_xlfn.SINGLE(INDEX('[1]ATTENDANCE DAILY'!$I$4:$AM$663,$CC31,DAY(AH$14)))="T-Late","T-L",IF(_xlfn.SINGLE(INDEX('[1]ATTENDANCE DAILY'!$I$4:$AM$663,$CC31,DAY(AH$14)))="T-Cutting","T-C",INDEX('[1]ATTENDANCE DAILY'!$I$4:$AM$663,$CC31,DAY(AH$14)))))),IFERROR(IF(_xlpm._r=0,"",_xlpm._r),""))</f>
        <v/>
      </c>
      <c r="AI31" s="57" t="str">
        <f>_xlfn.LET(_xlpm._r,_xlfn.SINGLE(IF(OR($CC31="",AI$14="",AI$14&lt;_xlfn.SINGLE(INDEX('[1]ATTENDANCE DAILY'!$AV$4:$AV$663,$CC31)),AI$14&gt;_xlfn.SINGLE(INDEX('[1]ATTENDANCE DAILY'!$AW$4:$AW$663,$CC31))),"",IF(_xlfn.SINGLE(INDEX('[1]ATTENDANCE DAILY'!$I$4:$AM$663,$CC31,DAY(AI$14)))="T-Late","T-L",IF(_xlfn.SINGLE(INDEX('[1]ATTENDANCE DAILY'!$I$4:$AM$663,$CC31,DAY(AI$14)))="T-Cutting","T-C",INDEX('[1]ATTENDANCE DAILY'!$I$4:$AM$663,$CC31,DAY(AI$14)))))),IFERROR(IF(_xlpm._r=0,"",_xlpm._r),""))</f>
        <v/>
      </c>
      <c r="AJ31" s="58"/>
      <c r="AK31" s="55"/>
      <c r="AL31" s="57" t="str">
        <f>_xlfn.LET(_xlpm._r,_xlfn.SINGLE(IF(OR($CC31="",AL$14="",AL$14&lt;_xlfn.SINGLE(INDEX('[1]ATTENDANCE DAILY'!$AV$4:$AV$663,$CC31)),AL$14&gt;_xlfn.SINGLE(INDEX('[1]ATTENDANCE DAILY'!$AW$4:$AW$663,$CC31))),"",IF(_xlfn.SINGLE(INDEX('[1]ATTENDANCE DAILY'!$I$4:$AM$663,$CC31,DAY(AL$14)))="T-Late","T-L",IF(_xlfn.SINGLE(INDEX('[1]ATTENDANCE DAILY'!$I$4:$AM$663,$CC31,DAY(AL$14)))="T-Cutting","T-C",INDEX('[1]ATTENDANCE DAILY'!$I$4:$AM$663,$CC31,DAY(AL$14)))))),IFERROR(IF(_xlpm._r=0,"",_xlpm._r),""))</f>
        <v/>
      </c>
      <c r="AM31" s="55"/>
      <c r="AN31" s="57" t="str">
        <f>_xlfn.LET(_xlpm._r,_xlfn.SINGLE(IF(OR($CC31="",AN$14="",AN$14&lt;_xlfn.SINGLE(INDEX('[1]ATTENDANCE DAILY'!$AV$4:$AV$663,$CC31)),AN$14&gt;_xlfn.SINGLE(INDEX('[1]ATTENDANCE DAILY'!$AW$4:$AW$663,$CC31))),"",IF(_xlfn.SINGLE(INDEX('[1]ATTENDANCE DAILY'!$I$4:$AM$663,$CC31,DAY(AN$14)))="T-Late","T-L",IF(_xlfn.SINGLE(INDEX('[1]ATTENDANCE DAILY'!$I$4:$AM$663,$CC31,DAY(AN$14)))="T-Cutting","T-C",INDEX('[1]ATTENDANCE DAILY'!$I$4:$AM$663,$CC31,DAY(AN$14)))))),IFERROR(IF(_xlpm._r=0,"",_xlpm._r),""))</f>
        <v/>
      </c>
      <c r="AO31" s="86"/>
      <c r="AP31" s="54" t="str">
        <f>_xlfn.LET(_xlpm._r,_xlfn.SINGLE(IF(OR($CC31="",AP$14="",AP$14&lt;_xlfn.SINGLE(INDEX('[1]ATTENDANCE DAILY'!$AV$4:$AV$663,$CC31)),AP$14&gt;_xlfn.SINGLE(INDEX('[1]ATTENDANCE DAILY'!$AW$4:$AW$663,$CC31))),"",IF(_xlfn.SINGLE(INDEX('[1]ATTENDANCE DAILY'!$I$4:$AM$663,$CC31,DAY(AP$14)))="T-Late","T-L",IF(_xlfn.SINGLE(INDEX('[1]ATTENDANCE DAILY'!$I$4:$AM$663,$CC31,DAY(AP$14)))="T-Cutting","T-C",INDEX('[1]ATTENDANCE DAILY'!$I$4:$AM$663,$CC31,DAY(AP$14)))))),IFERROR(IF(_xlpm._r=0,"",_xlpm._r),""))</f>
        <v/>
      </c>
      <c r="AQ31" s="55"/>
      <c r="AR31" s="56" t="str">
        <f>_xlfn.LET(_xlpm._r,_xlfn.SINGLE(IF(OR($CC31="",AR$14="",AR$14&lt;_xlfn.SINGLE(INDEX('[1]ATTENDANCE DAILY'!$AV$4:$AV$663,$CC31)),AR$14&gt;_xlfn.SINGLE(INDEX('[1]ATTENDANCE DAILY'!$AW$4:$AW$663,$CC31))),"",IF(_xlfn.SINGLE(INDEX('[1]ATTENDANCE DAILY'!$I$4:$AM$663,$CC31,DAY(AR$14)))="T-Late","T-L",IF(_xlfn.SINGLE(INDEX('[1]ATTENDANCE DAILY'!$I$4:$AM$663,$CC31,DAY(AR$14)))="T-Cutting","T-C",INDEX('[1]ATTENDANCE DAILY'!$I$4:$AM$663,$CC31,DAY(AR$14)))))),IFERROR(IF(_xlpm._r=0,"",_xlpm._r),""))</f>
        <v/>
      </c>
      <c r="AS31" s="57" t="str">
        <f>_xlfn.LET(_xlpm._r,_xlfn.SINGLE(IF(OR($CC31="",AS$14="",AS$14&lt;_xlfn.SINGLE(INDEX('[1]ATTENDANCE DAILY'!$AV$4:$AV$663,$CC31)),AS$14&gt;_xlfn.SINGLE(INDEX('[1]ATTENDANCE DAILY'!$AW$4:$AW$663,$CC31))),"",IF(_xlfn.SINGLE(INDEX('[1]ATTENDANCE DAILY'!$I$4:$AM$663,$CC31,DAY(AS$14)))="T-Late","T-L",IF(_xlfn.SINGLE(INDEX('[1]ATTENDANCE DAILY'!$I$4:$AM$663,$CC31,DAY(AS$14)))="T-Cutting","T-C",INDEX('[1]ATTENDANCE DAILY'!$I$4:$AM$663,$CC31,DAY(AS$14)))))),IFERROR(IF(_xlpm._r=0,"",_xlpm._r),""))</f>
        <v/>
      </c>
      <c r="AT31" s="55"/>
      <c r="AU31" s="56" t="str">
        <f>_xlfn.LET(_xlpm._r,_xlfn.SINGLE(IF(OR($CC31="",AU$14="",AU$14&lt;_xlfn.SINGLE(INDEX('[1]ATTENDANCE DAILY'!$AV$4:$AV$663,$CC31)),AU$14&gt;_xlfn.SINGLE(INDEX('[1]ATTENDANCE DAILY'!$AW$4:$AW$663,$CC31))),"",IF(_xlfn.SINGLE(INDEX('[1]ATTENDANCE DAILY'!$I$4:$AM$663,$CC31,DAY(AU$14)))="T-Late","T-L",IF(_xlfn.SINGLE(INDEX('[1]ATTENDANCE DAILY'!$I$4:$AM$663,$CC31,DAY(AU$14)))="T-Cutting","T-C",INDEX('[1]ATTENDANCE DAILY'!$I$4:$AM$663,$CC31,DAY(AU$14)))))),IFERROR(IF(_xlpm._r=0,"",_xlpm._r),""))</f>
        <v/>
      </c>
      <c r="AV31" s="87" t="str">
        <f>_xlfn.LET(_xlpm._r,_xlfn.SINGLE(IF(OR($CC31="",AV$14="",AV$14&lt;_xlfn.SINGLE(INDEX('[1]ATTENDANCE DAILY'!$AV$4:$AV$663,$CC31)),AV$14&gt;_xlfn.SINGLE(INDEX('[1]ATTENDANCE DAILY'!$AW$4:$AW$663,$CC31))),"",IF(_xlfn.SINGLE(INDEX('[1]ATTENDANCE DAILY'!$I$4:$AM$663,$CC31,DAY(AV$14)))="T-Late","T-L",IF(_xlfn.SINGLE(INDEX('[1]ATTENDANCE DAILY'!$I$4:$AM$663,$CC31,DAY(AV$14)))="T-Cutting","T-C",INDEX('[1]ATTENDANCE DAILY'!$I$4:$AM$663,$CC31,DAY(AV$14)))))),IFERROR(IF(_xlpm._r=0,"",_xlpm._r),""))</f>
        <v/>
      </c>
      <c r="AW31" s="54" t="str">
        <f>_xlfn.LET(_xlpm._r,_xlfn.SINGLE(IF(OR($CC31="",AW$14="",AW$14&lt;_xlfn.SINGLE(INDEX('[1]ATTENDANCE DAILY'!$AV$4:$AV$663,$CC31)),AW$14&gt;_xlfn.SINGLE(INDEX('[1]ATTENDANCE DAILY'!$AW$4:$AW$663,$CC31))),"",IF(_xlfn.SINGLE(INDEX('[1]ATTENDANCE DAILY'!$I$4:$AM$663,$CC31,DAY(AW$14)))="T-Late","T-L",IF(_xlfn.SINGLE(INDEX('[1]ATTENDANCE DAILY'!$I$4:$AM$663,$CC31,DAY(AW$14)))="T-Cutting","T-C",INDEX('[1]ATTENDANCE DAILY'!$I$4:$AM$663,$CC31,DAY(AW$14)))))),IFERROR(IF(_xlpm._r=0,"",_xlpm._r),""))</f>
        <v/>
      </c>
      <c r="AX31" s="55"/>
      <c r="AY31" s="57" t="str">
        <f>_xlfn.LET(_xlpm._r,_xlfn.SINGLE(IF(OR($CC31="",AY$14="",AY$14&lt;_xlfn.SINGLE(INDEX('[1]ATTENDANCE DAILY'!$AV$4:$AV$663,$CC31)),AY$14&gt;_xlfn.SINGLE(INDEX('[1]ATTENDANCE DAILY'!$AW$4:$AW$663,$CC31))),"",IF(_xlfn.SINGLE(INDEX('[1]ATTENDANCE DAILY'!$I$4:$AM$663,$CC31,DAY(AY$14)))="T-Late","T-L",IF(_xlfn.SINGLE(INDEX('[1]ATTENDANCE DAILY'!$I$4:$AM$663,$CC31,DAY(AY$14)))="T-Cutting","T-C",INDEX('[1]ATTENDANCE DAILY'!$I$4:$AM$663,$CC31,DAY(AY$14)))))),IFERROR(IF(_xlpm._r=0,"",_xlpm._r),""))</f>
        <v/>
      </c>
      <c r="AZ31" s="58"/>
      <c r="BA31" s="55"/>
      <c r="BB31" s="57" t="str">
        <f>_xlfn.LET(_xlpm._r,_xlfn.SINGLE(IF(OR($CC31="",BB$14="",BB$14&lt;_xlfn.SINGLE(INDEX('[1]ATTENDANCE DAILY'!$AV$4:$AV$663,$CC31)),BB$14&gt;_xlfn.SINGLE(INDEX('[1]ATTENDANCE DAILY'!$AW$4:$AW$663,$CC31))),"",IF(_xlfn.SINGLE(INDEX('[1]ATTENDANCE DAILY'!$I$4:$AM$663,$CC31,DAY(BB$14)))="T-Late","T-L",IF(_xlfn.SINGLE(INDEX('[1]ATTENDANCE DAILY'!$I$4:$AM$663,$CC31,DAY(BB$14)))="T-Cutting","T-C",INDEX('[1]ATTENDANCE DAILY'!$I$4:$AM$663,$CC31,DAY(BB$14)))))),IFERROR(IF(_xlpm._r=0,"",_xlpm._r),""))</f>
        <v/>
      </c>
      <c r="BC31" s="55"/>
      <c r="BD31" s="56" t="str">
        <f>_xlfn.LET(_xlpm._r,_xlfn.SINGLE(IF(OR($CC31="",BD$14="",BD$14&lt;_xlfn.SINGLE(INDEX('[1]ATTENDANCE DAILY'!$AV$4:$AV$663,$CC31)),BD$14&gt;_xlfn.SINGLE(INDEX('[1]ATTENDANCE DAILY'!$AW$4:$AW$663,$CC31))),"",IF(_xlfn.SINGLE(INDEX('[1]ATTENDANCE DAILY'!$I$4:$AM$663,$CC31,DAY(BD$14)))="T-Late","T-L",IF(_xlfn.SINGLE(INDEX('[1]ATTENDANCE DAILY'!$I$4:$AM$663,$CC31,DAY(BD$14)))="T-Cutting","T-C",INDEX('[1]ATTENDANCE DAILY'!$I$4:$AM$663,$CC31,DAY(BD$14)))))),IFERROR(IF(_xlpm._r=0,"",_xlpm._r),""))</f>
        <v/>
      </c>
      <c r="BE31" s="57" t="str">
        <f>_xlfn.LET(_xlpm._r,_xlfn.SINGLE(IF(OR($CC31="",BE$14="",BE$14&lt;_xlfn.SINGLE(INDEX('[1]ATTENDANCE DAILY'!$AV$4:$AV$663,$CC31)),BE$14&gt;_xlfn.SINGLE(INDEX('[1]ATTENDANCE DAILY'!$AW$4:$AW$663,$CC31))),"",IF(_xlfn.SINGLE(INDEX('[1]ATTENDANCE DAILY'!$I$4:$AM$663,$CC31,DAY(BE$14)))="T-Late","T-L",IF(_xlfn.SINGLE(INDEX('[1]ATTENDANCE DAILY'!$I$4:$AM$663,$CC31,DAY(BE$14)))="T-Cutting","T-C",INDEX('[1]ATTENDANCE DAILY'!$I$4:$AM$663,$CC31,DAY(BE$14)))))),IFERROR(IF(_xlpm._r=0,"",_xlpm._r),""))</f>
        <v/>
      </c>
      <c r="BF31" s="58"/>
      <c r="BG31" s="58"/>
      <c r="BH31" s="86"/>
      <c r="BI31" s="88">
        <f>IF($CC31="","",INDEX('[1]ATTENDANCE DAILY'!$AR$4:$AR$663,$CC31))</f>
        <v>0</v>
      </c>
      <c r="BJ31" s="89"/>
      <c r="BK31" s="90"/>
      <c r="BL31" s="88">
        <f>IF($CC31="","",INDEX('[1]ATTENDANCE DAILY'!$AS$4:$AS$663,$CC31))</f>
        <v>23</v>
      </c>
      <c r="BM31" s="89"/>
      <c r="BN31" s="89"/>
      <c r="BO31" s="90"/>
      <c r="BP31" s="91" t="str">
        <f>IF($CC31="","",IF(INDEX('[1]ATTENDANCE DAILY'!$AN$4:$AN$663,$CC31)="","",INDEX('[1]ATTENDANCE DAILY'!$AN$4:$AN$663,$CC31)&amp;IF(INDEX('[1]ATTENDANCE DAILY'!$AO$4:$AO$663,$CC31)="",""," ("&amp;TEXT(INDEX('[1]ATTENDANCE DAILY'!$AO$4:$AO$663,$CC31),"mm-dd-yyyy")&amp;")")&amp;IF(INDEX('[1]ATTENDANCE DAILY'!$AP$4:$AP$663,$CC31)="",""," - "&amp;INDEX('[1]ATTENDANCE DAILY'!$AP$4:$AP$663,$CC31))))</f>
        <v/>
      </c>
      <c r="BQ31" s="89"/>
      <c r="BR31" s="89"/>
      <c r="BS31" s="89"/>
      <c r="BT31" s="89"/>
      <c r="BU31" s="89"/>
      <c r="BV31" s="89"/>
      <c r="BW31" s="89"/>
      <c r="BX31" s="89"/>
      <c r="BY31" s="89"/>
      <c r="BZ31" s="89"/>
      <c r="CA31" s="90"/>
      <c r="CC31">
        <f>IF(COUNTIFS('[1]ATTENDANCE DAILY'!$C$4:$C$663,$BN$11,'[1]ATTENDANCE DAILY'!$F$4:$F$663,"Male",'[1]ATTENDANCE DAILY'!$G$4:$G$663,1,'[1]ATTENDANCE DAILY'!$BA$4:$BA$663,14)=0,"",SUMIFS('[1]ATTENDANCE DAILY'!$A$4:$A$663,'[1]ATTENDANCE DAILY'!$C$4:$C$663,$BN$11,'[1]ATTENDANCE DAILY'!$F$4:$F$663,"Male",'[1]ATTENDANCE DAILY'!$G$4:$G$663,1,'[1]ATTENDANCE DAILY'!$BA$4:$BA$663,14))</f>
        <v>74</v>
      </c>
    </row>
    <row r="32" spans="1:81" ht="19.95" customHeight="1">
      <c r="A32" s="80">
        <v>15</v>
      </c>
      <c r="B32" s="81"/>
      <c r="C32" s="81"/>
      <c r="D32" s="81"/>
      <c r="E32" s="81"/>
      <c r="F32" s="82"/>
      <c r="G32" s="83" t="str">
        <f>IF($CC32="","",INDEX('[1]ATTENDANCE DAILY'!$E$4:$E$663,$CC32))</f>
        <v/>
      </c>
      <c r="H32" s="84"/>
      <c r="I32" s="84"/>
      <c r="J32" s="85"/>
      <c r="K32" s="54" t="str">
        <f>_xlfn.LET(_xlpm._r,_xlfn.SINGLE(IF(OR($CC32="",K$14="",K$14&lt;_xlfn.SINGLE(INDEX('[1]ATTENDANCE DAILY'!$AV$4:$AV$663,$CC32)),K$14&gt;_xlfn.SINGLE(INDEX('[1]ATTENDANCE DAILY'!$AW$4:$AW$663,$CC32))),"",IF(_xlfn.SINGLE(INDEX('[1]ATTENDANCE DAILY'!$I$4:$AM$663,$CC32,DAY(K$14)))="T-Late","T-L",IF(_xlfn.SINGLE(INDEX('[1]ATTENDANCE DAILY'!$I$4:$AM$663,$CC32,DAY(K$14)))="T-Cutting","T-C",INDEX('[1]ATTENDANCE DAILY'!$I$4:$AM$663,$CC32,DAY(K$14)))))),IFERROR(IF(_xlpm._r=0,"",_xlpm._r),""))</f>
        <v/>
      </c>
      <c r="L32" s="55"/>
      <c r="M32" s="56" t="str">
        <f>_xlfn.LET(_xlpm._r,_xlfn.SINGLE(IF(OR($CC32="",M$14="",M$14&lt;_xlfn.SINGLE(INDEX('[1]ATTENDANCE DAILY'!$AV$4:$AV$663,$CC32)),M$14&gt;_xlfn.SINGLE(INDEX('[1]ATTENDANCE DAILY'!$AW$4:$AW$663,$CC32))),"",IF(_xlfn.SINGLE(INDEX('[1]ATTENDANCE DAILY'!$I$4:$AM$663,$CC32,DAY(M$14)))="T-Late","T-L",IF(_xlfn.SINGLE(INDEX('[1]ATTENDANCE DAILY'!$I$4:$AM$663,$CC32,DAY(M$14)))="T-Cutting","T-C",INDEX('[1]ATTENDANCE DAILY'!$I$4:$AM$663,$CC32,DAY(M$14)))))),IFERROR(IF(_xlpm._r=0,"",_xlpm._r),""))</f>
        <v/>
      </c>
      <c r="N32" s="56" t="str">
        <f>_xlfn.LET(_xlpm._r,_xlfn.SINGLE(IF(OR($CC32="",N$14="",N$14&lt;_xlfn.SINGLE(INDEX('[1]ATTENDANCE DAILY'!$AV$4:$AV$663,$CC32)),N$14&gt;_xlfn.SINGLE(INDEX('[1]ATTENDANCE DAILY'!$AW$4:$AW$663,$CC32))),"",IF(_xlfn.SINGLE(INDEX('[1]ATTENDANCE DAILY'!$I$4:$AM$663,$CC32,DAY(N$14)))="T-Late","T-L",IF(_xlfn.SINGLE(INDEX('[1]ATTENDANCE DAILY'!$I$4:$AM$663,$CC32,DAY(N$14)))="T-Cutting","T-C",INDEX('[1]ATTENDANCE DAILY'!$I$4:$AM$663,$CC32,DAY(N$14)))))),IFERROR(IF(_xlpm._r=0,"",_xlpm._r),""))</f>
        <v/>
      </c>
      <c r="O32" s="57" t="str">
        <f>_xlfn.LET(_xlpm._r,_xlfn.SINGLE(IF(OR($CC32="",O$14="",O$14&lt;_xlfn.SINGLE(INDEX('[1]ATTENDANCE DAILY'!$AV$4:$AV$663,$CC32)),O$14&gt;_xlfn.SINGLE(INDEX('[1]ATTENDANCE DAILY'!$AW$4:$AW$663,$CC32))),"",IF(_xlfn.SINGLE(INDEX('[1]ATTENDANCE DAILY'!$I$4:$AM$663,$CC32,DAY(O$14)))="T-Late","T-L",IF(_xlfn.SINGLE(INDEX('[1]ATTENDANCE DAILY'!$I$4:$AM$663,$CC32,DAY(O$14)))="T-Cutting","T-C",INDEX('[1]ATTENDANCE DAILY'!$I$4:$AM$663,$CC32,DAY(O$14)))))),IFERROR(IF(_xlpm._r=0,"",_xlpm._r),""))</f>
        <v/>
      </c>
      <c r="P32" s="58"/>
      <c r="Q32" s="58"/>
      <c r="R32" s="55"/>
      <c r="S32" s="57" t="str">
        <f>_xlfn.LET(_xlpm._r,_xlfn.SINGLE(IF(OR($CC32="",S$14="",S$14&lt;_xlfn.SINGLE(INDEX('[1]ATTENDANCE DAILY'!$AV$4:$AV$663,$CC32)),S$14&gt;_xlfn.SINGLE(INDEX('[1]ATTENDANCE DAILY'!$AW$4:$AW$663,$CC32))),"",IF(_xlfn.SINGLE(INDEX('[1]ATTENDANCE DAILY'!$I$4:$AM$663,$CC32,DAY(S$14)))="T-Late","T-L",IF(_xlfn.SINGLE(INDEX('[1]ATTENDANCE DAILY'!$I$4:$AM$663,$CC32,DAY(S$14)))="T-Cutting","T-C",INDEX('[1]ATTENDANCE DAILY'!$I$4:$AM$663,$CC32,DAY(S$14)))))),IFERROR(IF(_xlpm._r=0,"",_xlpm._r),""))</f>
        <v/>
      </c>
      <c r="T32" s="58"/>
      <c r="U32" s="86"/>
      <c r="V32" s="59" t="str">
        <f>_xlfn.LET(_xlpm._r,_xlfn.SINGLE(IF(OR($CC32="",V$14="",V$14&lt;_xlfn.SINGLE(INDEX('[1]ATTENDANCE DAILY'!$AV$4:$AV$663,$CC32)),V$14&gt;_xlfn.SINGLE(INDEX('[1]ATTENDANCE DAILY'!$AW$4:$AW$663,$CC32))),"",IF(_xlfn.SINGLE(INDEX('[1]ATTENDANCE DAILY'!$I$4:$AM$663,$CC32,DAY(V$14)))="T-Late","T-L",IF(_xlfn.SINGLE(INDEX('[1]ATTENDANCE DAILY'!$I$4:$AM$663,$CC32,DAY(V$14)))="T-Cutting","T-C",INDEX('[1]ATTENDANCE DAILY'!$I$4:$AM$663,$CC32,DAY(V$14)))))),IFERROR(IF(_xlpm._r=0,"",_xlpm._r),""))</f>
        <v/>
      </c>
      <c r="W32" s="57" t="str">
        <f>_xlfn.LET(_xlpm._r,_xlfn.SINGLE(IF(OR($CC32="",W$14="",W$14&lt;_xlfn.SINGLE(INDEX('[1]ATTENDANCE DAILY'!$AV$4:$AV$663,$CC32)),W$14&gt;_xlfn.SINGLE(INDEX('[1]ATTENDANCE DAILY'!$AW$4:$AW$663,$CC32))),"",IF(_xlfn.SINGLE(INDEX('[1]ATTENDANCE DAILY'!$I$4:$AM$663,$CC32,DAY(W$14)))="T-Late","T-L",IF(_xlfn.SINGLE(INDEX('[1]ATTENDANCE DAILY'!$I$4:$AM$663,$CC32,DAY(W$14)))="T-Cutting","T-C",INDEX('[1]ATTENDANCE DAILY'!$I$4:$AM$663,$CC32,DAY(W$14)))))),IFERROR(IF(_xlpm._r=0,"",_xlpm._r),""))</f>
        <v/>
      </c>
      <c r="X32" s="58"/>
      <c r="Y32" s="55"/>
      <c r="Z32" s="56" t="str">
        <f>_xlfn.LET(_xlpm._r,_xlfn.SINGLE(IF(OR($CC32="",Z$14="",Z$14&lt;_xlfn.SINGLE(INDEX('[1]ATTENDANCE DAILY'!$AV$4:$AV$663,$CC32)),Z$14&gt;_xlfn.SINGLE(INDEX('[1]ATTENDANCE DAILY'!$AW$4:$AW$663,$CC32))),"",IF(_xlfn.SINGLE(INDEX('[1]ATTENDANCE DAILY'!$I$4:$AM$663,$CC32,DAY(Z$14)))="T-Late","T-L",IF(_xlfn.SINGLE(INDEX('[1]ATTENDANCE DAILY'!$I$4:$AM$663,$CC32,DAY(Z$14)))="T-Cutting","T-C",INDEX('[1]ATTENDANCE DAILY'!$I$4:$AM$663,$CC32,DAY(Z$14)))))),IFERROR(IF(_xlpm._r=0,"",_xlpm._r),""))</f>
        <v/>
      </c>
      <c r="AA32" s="56" t="str">
        <f>_xlfn.LET(_xlpm._r,_xlfn.SINGLE(IF(OR($CC32="",AA$14="",AA$14&lt;_xlfn.SINGLE(INDEX('[1]ATTENDANCE DAILY'!$AV$4:$AV$663,$CC32)),AA$14&gt;_xlfn.SINGLE(INDEX('[1]ATTENDANCE DAILY'!$AW$4:$AW$663,$CC32))),"",IF(_xlfn.SINGLE(INDEX('[1]ATTENDANCE DAILY'!$I$4:$AM$663,$CC32,DAY(AA$14)))="T-Late","T-L",IF(_xlfn.SINGLE(INDEX('[1]ATTENDANCE DAILY'!$I$4:$AM$663,$CC32,DAY(AA$14)))="T-Cutting","T-C",INDEX('[1]ATTENDANCE DAILY'!$I$4:$AM$663,$CC32,DAY(AA$14)))))),IFERROR(IF(_xlpm._r=0,"",_xlpm._r),""))</f>
        <v/>
      </c>
      <c r="AB32" s="57" t="str">
        <f>_xlfn.LET(_xlpm._r,_xlfn.SINGLE(IF(OR($CC32="",AB$14="",AB$14&lt;_xlfn.SINGLE(INDEX('[1]ATTENDANCE DAILY'!$AV$4:$AV$663,$CC32)),AB$14&gt;_xlfn.SINGLE(INDEX('[1]ATTENDANCE DAILY'!$AW$4:$AW$663,$CC32))),"",IF(_xlfn.SINGLE(INDEX('[1]ATTENDANCE DAILY'!$I$4:$AM$663,$CC32,DAY(AB$14)))="T-Late","T-L",IF(_xlfn.SINGLE(INDEX('[1]ATTENDANCE DAILY'!$I$4:$AM$663,$CC32,DAY(AB$14)))="T-Cutting","T-C",INDEX('[1]ATTENDANCE DAILY'!$I$4:$AM$663,$CC32,DAY(AB$14)))))),IFERROR(IF(_xlpm._r=0,"",_xlpm._r),""))</f>
        <v/>
      </c>
      <c r="AC32" s="58"/>
      <c r="AD32" s="86"/>
      <c r="AE32" s="54" t="str">
        <f>_xlfn.LET(_xlpm._r,_xlfn.SINGLE(IF(OR($CC32="",AE$14="",AE$14&lt;_xlfn.SINGLE(INDEX('[1]ATTENDANCE DAILY'!$AV$4:$AV$663,$CC32)),AE$14&gt;_xlfn.SINGLE(INDEX('[1]ATTENDANCE DAILY'!$AW$4:$AW$663,$CC32))),"",IF(_xlfn.SINGLE(INDEX('[1]ATTENDANCE DAILY'!$I$4:$AM$663,$CC32,DAY(AE$14)))="T-Late","T-L",IF(_xlfn.SINGLE(INDEX('[1]ATTENDANCE DAILY'!$I$4:$AM$663,$CC32,DAY(AE$14)))="T-Cutting","T-C",INDEX('[1]ATTENDANCE DAILY'!$I$4:$AM$663,$CC32,DAY(AE$14)))))),IFERROR(IF(_xlpm._r=0,"",_xlpm._r),""))</f>
        <v/>
      </c>
      <c r="AF32" s="58"/>
      <c r="AG32" s="55"/>
      <c r="AH32" s="56" t="str">
        <f>_xlfn.LET(_xlpm._r,_xlfn.SINGLE(IF(OR($CC32="",AH$14="",AH$14&lt;_xlfn.SINGLE(INDEX('[1]ATTENDANCE DAILY'!$AV$4:$AV$663,$CC32)),AH$14&gt;_xlfn.SINGLE(INDEX('[1]ATTENDANCE DAILY'!$AW$4:$AW$663,$CC32))),"",IF(_xlfn.SINGLE(INDEX('[1]ATTENDANCE DAILY'!$I$4:$AM$663,$CC32,DAY(AH$14)))="T-Late","T-L",IF(_xlfn.SINGLE(INDEX('[1]ATTENDANCE DAILY'!$I$4:$AM$663,$CC32,DAY(AH$14)))="T-Cutting","T-C",INDEX('[1]ATTENDANCE DAILY'!$I$4:$AM$663,$CC32,DAY(AH$14)))))),IFERROR(IF(_xlpm._r=0,"",_xlpm._r),""))</f>
        <v/>
      </c>
      <c r="AI32" s="57" t="str">
        <f>_xlfn.LET(_xlpm._r,_xlfn.SINGLE(IF(OR($CC32="",AI$14="",AI$14&lt;_xlfn.SINGLE(INDEX('[1]ATTENDANCE DAILY'!$AV$4:$AV$663,$CC32)),AI$14&gt;_xlfn.SINGLE(INDEX('[1]ATTENDANCE DAILY'!$AW$4:$AW$663,$CC32))),"",IF(_xlfn.SINGLE(INDEX('[1]ATTENDANCE DAILY'!$I$4:$AM$663,$CC32,DAY(AI$14)))="T-Late","T-L",IF(_xlfn.SINGLE(INDEX('[1]ATTENDANCE DAILY'!$I$4:$AM$663,$CC32,DAY(AI$14)))="T-Cutting","T-C",INDEX('[1]ATTENDANCE DAILY'!$I$4:$AM$663,$CC32,DAY(AI$14)))))),IFERROR(IF(_xlpm._r=0,"",_xlpm._r),""))</f>
        <v/>
      </c>
      <c r="AJ32" s="58"/>
      <c r="AK32" s="55"/>
      <c r="AL32" s="57" t="str">
        <f>_xlfn.LET(_xlpm._r,_xlfn.SINGLE(IF(OR($CC32="",AL$14="",AL$14&lt;_xlfn.SINGLE(INDEX('[1]ATTENDANCE DAILY'!$AV$4:$AV$663,$CC32)),AL$14&gt;_xlfn.SINGLE(INDEX('[1]ATTENDANCE DAILY'!$AW$4:$AW$663,$CC32))),"",IF(_xlfn.SINGLE(INDEX('[1]ATTENDANCE DAILY'!$I$4:$AM$663,$CC32,DAY(AL$14)))="T-Late","T-L",IF(_xlfn.SINGLE(INDEX('[1]ATTENDANCE DAILY'!$I$4:$AM$663,$CC32,DAY(AL$14)))="T-Cutting","T-C",INDEX('[1]ATTENDANCE DAILY'!$I$4:$AM$663,$CC32,DAY(AL$14)))))),IFERROR(IF(_xlpm._r=0,"",_xlpm._r),""))</f>
        <v/>
      </c>
      <c r="AM32" s="55"/>
      <c r="AN32" s="57" t="str">
        <f>_xlfn.LET(_xlpm._r,_xlfn.SINGLE(IF(OR($CC32="",AN$14="",AN$14&lt;_xlfn.SINGLE(INDEX('[1]ATTENDANCE DAILY'!$AV$4:$AV$663,$CC32)),AN$14&gt;_xlfn.SINGLE(INDEX('[1]ATTENDANCE DAILY'!$AW$4:$AW$663,$CC32))),"",IF(_xlfn.SINGLE(INDEX('[1]ATTENDANCE DAILY'!$I$4:$AM$663,$CC32,DAY(AN$14)))="T-Late","T-L",IF(_xlfn.SINGLE(INDEX('[1]ATTENDANCE DAILY'!$I$4:$AM$663,$CC32,DAY(AN$14)))="T-Cutting","T-C",INDEX('[1]ATTENDANCE DAILY'!$I$4:$AM$663,$CC32,DAY(AN$14)))))),IFERROR(IF(_xlpm._r=0,"",_xlpm._r),""))</f>
        <v/>
      </c>
      <c r="AO32" s="86"/>
      <c r="AP32" s="54" t="str">
        <f>_xlfn.LET(_xlpm._r,_xlfn.SINGLE(IF(OR($CC32="",AP$14="",AP$14&lt;_xlfn.SINGLE(INDEX('[1]ATTENDANCE DAILY'!$AV$4:$AV$663,$CC32)),AP$14&gt;_xlfn.SINGLE(INDEX('[1]ATTENDANCE DAILY'!$AW$4:$AW$663,$CC32))),"",IF(_xlfn.SINGLE(INDEX('[1]ATTENDANCE DAILY'!$I$4:$AM$663,$CC32,DAY(AP$14)))="T-Late","T-L",IF(_xlfn.SINGLE(INDEX('[1]ATTENDANCE DAILY'!$I$4:$AM$663,$CC32,DAY(AP$14)))="T-Cutting","T-C",INDEX('[1]ATTENDANCE DAILY'!$I$4:$AM$663,$CC32,DAY(AP$14)))))),IFERROR(IF(_xlpm._r=0,"",_xlpm._r),""))</f>
        <v/>
      </c>
      <c r="AQ32" s="55"/>
      <c r="AR32" s="56" t="str">
        <f>_xlfn.LET(_xlpm._r,_xlfn.SINGLE(IF(OR($CC32="",AR$14="",AR$14&lt;_xlfn.SINGLE(INDEX('[1]ATTENDANCE DAILY'!$AV$4:$AV$663,$CC32)),AR$14&gt;_xlfn.SINGLE(INDEX('[1]ATTENDANCE DAILY'!$AW$4:$AW$663,$CC32))),"",IF(_xlfn.SINGLE(INDEX('[1]ATTENDANCE DAILY'!$I$4:$AM$663,$CC32,DAY(AR$14)))="T-Late","T-L",IF(_xlfn.SINGLE(INDEX('[1]ATTENDANCE DAILY'!$I$4:$AM$663,$CC32,DAY(AR$14)))="T-Cutting","T-C",INDEX('[1]ATTENDANCE DAILY'!$I$4:$AM$663,$CC32,DAY(AR$14)))))),IFERROR(IF(_xlpm._r=0,"",_xlpm._r),""))</f>
        <v/>
      </c>
      <c r="AS32" s="57" t="str">
        <f>_xlfn.LET(_xlpm._r,_xlfn.SINGLE(IF(OR($CC32="",AS$14="",AS$14&lt;_xlfn.SINGLE(INDEX('[1]ATTENDANCE DAILY'!$AV$4:$AV$663,$CC32)),AS$14&gt;_xlfn.SINGLE(INDEX('[1]ATTENDANCE DAILY'!$AW$4:$AW$663,$CC32))),"",IF(_xlfn.SINGLE(INDEX('[1]ATTENDANCE DAILY'!$I$4:$AM$663,$CC32,DAY(AS$14)))="T-Late","T-L",IF(_xlfn.SINGLE(INDEX('[1]ATTENDANCE DAILY'!$I$4:$AM$663,$CC32,DAY(AS$14)))="T-Cutting","T-C",INDEX('[1]ATTENDANCE DAILY'!$I$4:$AM$663,$CC32,DAY(AS$14)))))),IFERROR(IF(_xlpm._r=0,"",_xlpm._r),""))</f>
        <v/>
      </c>
      <c r="AT32" s="55"/>
      <c r="AU32" s="56" t="str">
        <f>_xlfn.LET(_xlpm._r,_xlfn.SINGLE(IF(OR($CC32="",AU$14="",AU$14&lt;_xlfn.SINGLE(INDEX('[1]ATTENDANCE DAILY'!$AV$4:$AV$663,$CC32)),AU$14&gt;_xlfn.SINGLE(INDEX('[1]ATTENDANCE DAILY'!$AW$4:$AW$663,$CC32))),"",IF(_xlfn.SINGLE(INDEX('[1]ATTENDANCE DAILY'!$I$4:$AM$663,$CC32,DAY(AU$14)))="T-Late","T-L",IF(_xlfn.SINGLE(INDEX('[1]ATTENDANCE DAILY'!$I$4:$AM$663,$CC32,DAY(AU$14)))="T-Cutting","T-C",INDEX('[1]ATTENDANCE DAILY'!$I$4:$AM$663,$CC32,DAY(AU$14)))))),IFERROR(IF(_xlpm._r=0,"",_xlpm._r),""))</f>
        <v/>
      </c>
      <c r="AV32" s="87" t="str">
        <f>_xlfn.LET(_xlpm._r,_xlfn.SINGLE(IF(OR($CC32="",AV$14="",AV$14&lt;_xlfn.SINGLE(INDEX('[1]ATTENDANCE DAILY'!$AV$4:$AV$663,$CC32)),AV$14&gt;_xlfn.SINGLE(INDEX('[1]ATTENDANCE DAILY'!$AW$4:$AW$663,$CC32))),"",IF(_xlfn.SINGLE(INDEX('[1]ATTENDANCE DAILY'!$I$4:$AM$663,$CC32,DAY(AV$14)))="T-Late","T-L",IF(_xlfn.SINGLE(INDEX('[1]ATTENDANCE DAILY'!$I$4:$AM$663,$CC32,DAY(AV$14)))="T-Cutting","T-C",INDEX('[1]ATTENDANCE DAILY'!$I$4:$AM$663,$CC32,DAY(AV$14)))))),IFERROR(IF(_xlpm._r=0,"",_xlpm._r),""))</f>
        <v/>
      </c>
      <c r="AW32" s="54" t="str">
        <f>_xlfn.LET(_xlpm._r,_xlfn.SINGLE(IF(OR($CC32="",AW$14="",AW$14&lt;_xlfn.SINGLE(INDEX('[1]ATTENDANCE DAILY'!$AV$4:$AV$663,$CC32)),AW$14&gt;_xlfn.SINGLE(INDEX('[1]ATTENDANCE DAILY'!$AW$4:$AW$663,$CC32))),"",IF(_xlfn.SINGLE(INDEX('[1]ATTENDANCE DAILY'!$I$4:$AM$663,$CC32,DAY(AW$14)))="T-Late","T-L",IF(_xlfn.SINGLE(INDEX('[1]ATTENDANCE DAILY'!$I$4:$AM$663,$CC32,DAY(AW$14)))="T-Cutting","T-C",INDEX('[1]ATTENDANCE DAILY'!$I$4:$AM$663,$CC32,DAY(AW$14)))))),IFERROR(IF(_xlpm._r=0,"",_xlpm._r),""))</f>
        <v/>
      </c>
      <c r="AX32" s="55"/>
      <c r="AY32" s="57" t="str">
        <f>_xlfn.LET(_xlpm._r,_xlfn.SINGLE(IF(OR($CC32="",AY$14="",AY$14&lt;_xlfn.SINGLE(INDEX('[1]ATTENDANCE DAILY'!$AV$4:$AV$663,$CC32)),AY$14&gt;_xlfn.SINGLE(INDEX('[1]ATTENDANCE DAILY'!$AW$4:$AW$663,$CC32))),"",IF(_xlfn.SINGLE(INDEX('[1]ATTENDANCE DAILY'!$I$4:$AM$663,$CC32,DAY(AY$14)))="T-Late","T-L",IF(_xlfn.SINGLE(INDEX('[1]ATTENDANCE DAILY'!$I$4:$AM$663,$CC32,DAY(AY$14)))="T-Cutting","T-C",INDEX('[1]ATTENDANCE DAILY'!$I$4:$AM$663,$CC32,DAY(AY$14)))))),IFERROR(IF(_xlpm._r=0,"",_xlpm._r),""))</f>
        <v/>
      </c>
      <c r="AZ32" s="58"/>
      <c r="BA32" s="55"/>
      <c r="BB32" s="57" t="str">
        <f>_xlfn.LET(_xlpm._r,_xlfn.SINGLE(IF(OR($CC32="",BB$14="",BB$14&lt;_xlfn.SINGLE(INDEX('[1]ATTENDANCE DAILY'!$AV$4:$AV$663,$CC32)),BB$14&gt;_xlfn.SINGLE(INDEX('[1]ATTENDANCE DAILY'!$AW$4:$AW$663,$CC32))),"",IF(_xlfn.SINGLE(INDEX('[1]ATTENDANCE DAILY'!$I$4:$AM$663,$CC32,DAY(BB$14)))="T-Late","T-L",IF(_xlfn.SINGLE(INDEX('[1]ATTENDANCE DAILY'!$I$4:$AM$663,$CC32,DAY(BB$14)))="T-Cutting","T-C",INDEX('[1]ATTENDANCE DAILY'!$I$4:$AM$663,$CC32,DAY(BB$14)))))),IFERROR(IF(_xlpm._r=0,"",_xlpm._r),""))</f>
        <v/>
      </c>
      <c r="BC32" s="55"/>
      <c r="BD32" s="56" t="str">
        <f>_xlfn.LET(_xlpm._r,_xlfn.SINGLE(IF(OR($CC32="",BD$14="",BD$14&lt;_xlfn.SINGLE(INDEX('[1]ATTENDANCE DAILY'!$AV$4:$AV$663,$CC32)),BD$14&gt;_xlfn.SINGLE(INDEX('[1]ATTENDANCE DAILY'!$AW$4:$AW$663,$CC32))),"",IF(_xlfn.SINGLE(INDEX('[1]ATTENDANCE DAILY'!$I$4:$AM$663,$CC32,DAY(BD$14)))="T-Late","T-L",IF(_xlfn.SINGLE(INDEX('[1]ATTENDANCE DAILY'!$I$4:$AM$663,$CC32,DAY(BD$14)))="T-Cutting","T-C",INDEX('[1]ATTENDANCE DAILY'!$I$4:$AM$663,$CC32,DAY(BD$14)))))),IFERROR(IF(_xlpm._r=0,"",_xlpm._r),""))</f>
        <v/>
      </c>
      <c r="BE32" s="57" t="str">
        <f>_xlfn.LET(_xlpm._r,_xlfn.SINGLE(IF(OR($CC32="",BE$14="",BE$14&lt;_xlfn.SINGLE(INDEX('[1]ATTENDANCE DAILY'!$AV$4:$AV$663,$CC32)),BE$14&gt;_xlfn.SINGLE(INDEX('[1]ATTENDANCE DAILY'!$AW$4:$AW$663,$CC32))),"",IF(_xlfn.SINGLE(INDEX('[1]ATTENDANCE DAILY'!$I$4:$AM$663,$CC32,DAY(BE$14)))="T-Late","T-L",IF(_xlfn.SINGLE(INDEX('[1]ATTENDANCE DAILY'!$I$4:$AM$663,$CC32,DAY(BE$14)))="T-Cutting","T-C",INDEX('[1]ATTENDANCE DAILY'!$I$4:$AM$663,$CC32,DAY(BE$14)))))),IFERROR(IF(_xlpm._r=0,"",_xlpm._r),""))</f>
        <v/>
      </c>
      <c r="BF32" s="58"/>
      <c r="BG32" s="58"/>
      <c r="BH32" s="86"/>
      <c r="BI32" s="88" t="str">
        <f>IF($CC32="","",INDEX('[1]ATTENDANCE DAILY'!$AR$4:$AR$663,$CC32))</f>
        <v/>
      </c>
      <c r="BJ32" s="89"/>
      <c r="BK32" s="90"/>
      <c r="BL32" s="88" t="str">
        <f>IF($CC32="","",INDEX('[1]ATTENDANCE DAILY'!$AS$4:$AS$663,$CC32))</f>
        <v/>
      </c>
      <c r="BM32" s="89"/>
      <c r="BN32" s="89"/>
      <c r="BO32" s="90"/>
      <c r="BP32" s="91" t="str">
        <f>IF($CC32="","",IF(INDEX('[1]ATTENDANCE DAILY'!$AN$4:$AN$663,$CC32)="","",INDEX('[1]ATTENDANCE DAILY'!$AN$4:$AN$663,$CC32)&amp;IF(INDEX('[1]ATTENDANCE DAILY'!$AO$4:$AO$663,$CC32)="",""," ("&amp;TEXT(INDEX('[1]ATTENDANCE DAILY'!$AO$4:$AO$663,$CC32),"mm-dd-yyyy")&amp;")")&amp;IF(INDEX('[1]ATTENDANCE DAILY'!$AP$4:$AP$663,$CC32)="",""," - "&amp;INDEX('[1]ATTENDANCE DAILY'!$AP$4:$AP$663,$CC32))))</f>
        <v/>
      </c>
      <c r="BQ32" s="89"/>
      <c r="BR32" s="89"/>
      <c r="BS32" s="89"/>
      <c r="BT32" s="89"/>
      <c r="BU32" s="89"/>
      <c r="BV32" s="89"/>
      <c r="BW32" s="89"/>
      <c r="BX32" s="89"/>
      <c r="BY32" s="89"/>
      <c r="BZ32" s="89"/>
      <c r="CA32" s="90"/>
      <c r="CC32" t="str">
        <f>IF(COUNTIFS('[1]ATTENDANCE DAILY'!$C$4:$C$663,$BN$11,'[1]ATTENDANCE DAILY'!$F$4:$F$663,"Male",'[1]ATTENDANCE DAILY'!$G$4:$G$663,1,'[1]ATTENDANCE DAILY'!$BA$4:$BA$663,15)=0,"",SUMIFS('[1]ATTENDANCE DAILY'!$A$4:$A$663,'[1]ATTENDANCE DAILY'!$C$4:$C$663,$BN$11,'[1]ATTENDANCE DAILY'!$F$4:$F$663,"Male",'[1]ATTENDANCE DAILY'!$G$4:$G$663,1,'[1]ATTENDANCE DAILY'!$BA$4:$BA$663,15))</f>
        <v/>
      </c>
    </row>
    <row r="33" spans="1:81" ht="19.95" customHeight="1">
      <c r="A33" s="80">
        <v>16</v>
      </c>
      <c r="B33" s="81"/>
      <c r="C33" s="81"/>
      <c r="D33" s="81"/>
      <c r="E33" s="81"/>
      <c r="F33" s="82"/>
      <c r="G33" s="83" t="str">
        <f>IF($CC33="","",INDEX('[1]ATTENDANCE DAILY'!$E$4:$E$663,$CC33))</f>
        <v/>
      </c>
      <c r="H33" s="84"/>
      <c r="I33" s="84"/>
      <c r="J33" s="85"/>
      <c r="K33" s="54" t="str">
        <f>_xlfn.LET(_xlpm._r,_xlfn.SINGLE(IF(OR($CC33="",K$14="",K$14&lt;_xlfn.SINGLE(INDEX('[1]ATTENDANCE DAILY'!$AV$4:$AV$663,$CC33)),K$14&gt;_xlfn.SINGLE(INDEX('[1]ATTENDANCE DAILY'!$AW$4:$AW$663,$CC33))),"",IF(_xlfn.SINGLE(INDEX('[1]ATTENDANCE DAILY'!$I$4:$AM$663,$CC33,DAY(K$14)))="T-Late","T-L",IF(_xlfn.SINGLE(INDEX('[1]ATTENDANCE DAILY'!$I$4:$AM$663,$CC33,DAY(K$14)))="T-Cutting","T-C",INDEX('[1]ATTENDANCE DAILY'!$I$4:$AM$663,$CC33,DAY(K$14)))))),IFERROR(IF(_xlpm._r=0,"",_xlpm._r),""))</f>
        <v/>
      </c>
      <c r="L33" s="55"/>
      <c r="M33" s="56" t="str">
        <f>_xlfn.LET(_xlpm._r,_xlfn.SINGLE(IF(OR($CC33="",M$14="",M$14&lt;_xlfn.SINGLE(INDEX('[1]ATTENDANCE DAILY'!$AV$4:$AV$663,$CC33)),M$14&gt;_xlfn.SINGLE(INDEX('[1]ATTENDANCE DAILY'!$AW$4:$AW$663,$CC33))),"",IF(_xlfn.SINGLE(INDEX('[1]ATTENDANCE DAILY'!$I$4:$AM$663,$CC33,DAY(M$14)))="T-Late","T-L",IF(_xlfn.SINGLE(INDEX('[1]ATTENDANCE DAILY'!$I$4:$AM$663,$CC33,DAY(M$14)))="T-Cutting","T-C",INDEX('[1]ATTENDANCE DAILY'!$I$4:$AM$663,$CC33,DAY(M$14)))))),IFERROR(IF(_xlpm._r=0,"",_xlpm._r),""))</f>
        <v/>
      </c>
      <c r="N33" s="56" t="str">
        <f>_xlfn.LET(_xlpm._r,_xlfn.SINGLE(IF(OR($CC33="",N$14="",N$14&lt;_xlfn.SINGLE(INDEX('[1]ATTENDANCE DAILY'!$AV$4:$AV$663,$CC33)),N$14&gt;_xlfn.SINGLE(INDEX('[1]ATTENDANCE DAILY'!$AW$4:$AW$663,$CC33))),"",IF(_xlfn.SINGLE(INDEX('[1]ATTENDANCE DAILY'!$I$4:$AM$663,$CC33,DAY(N$14)))="T-Late","T-L",IF(_xlfn.SINGLE(INDEX('[1]ATTENDANCE DAILY'!$I$4:$AM$663,$CC33,DAY(N$14)))="T-Cutting","T-C",INDEX('[1]ATTENDANCE DAILY'!$I$4:$AM$663,$CC33,DAY(N$14)))))),IFERROR(IF(_xlpm._r=0,"",_xlpm._r),""))</f>
        <v/>
      </c>
      <c r="O33" s="57" t="str">
        <f>_xlfn.LET(_xlpm._r,_xlfn.SINGLE(IF(OR($CC33="",O$14="",O$14&lt;_xlfn.SINGLE(INDEX('[1]ATTENDANCE DAILY'!$AV$4:$AV$663,$CC33)),O$14&gt;_xlfn.SINGLE(INDEX('[1]ATTENDANCE DAILY'!$AW$4:$AW$663,$CC33))),"",IF(_xlfn.SINGLE(INDEX('[1]ATTENDANCE DAILY'!$I$4:$AM$663,$CC33,DAY(O$14)))="T-Late","T-L",IF(_xlfn.SINGLE(INDEX('[1]ATTENDANCE DAILY'!$I$4:$AM$663,$CC33,DAY(O$14)))="T-Cutting","T-C",INDEX('[1]ATTENDANCE DAILY'!$I$4:$AM$663,$CC33,DAY(O$14)))))),IFERROR(IF(_xlpm._r=0,"",_xlpm._r),""))</f>
        <v/>
      </c>
      <c r="P33" s="58"/>
      <c r="Q33" s="58"/>
      <c r="R33" s="55"/>
      <c r="S33" s="57" t="str">
        <f>_xlfn.LET(_xlpm._r,_xlfn.SINGLE(IF(OR($CC33="",S$14="",S$14&lt;_xlfn.SINGLE(INDEX('[1]ATTENDANCE DAILY'!$AV$4:$AV$663,$CC33)),S$14&gt;_xlfn.SINGLE(INDEX('[1]ATTENDANCE DAILY'!$AW$4:$AW$663,$CC33))),"",IF(_xlfn.SINGLE(INDEX('[1]ATTENDANCE DAILY'!$I$4:$AM$663,$CC33,DAY(S$14)))="T-Late","T-L",IF(_xlfn.SINGLE(INDEX('[1]ATTENDANCE DAILY'!$I$4:$AM$663,$CC33,DAY(S$14)))="T-Cutting","T-C",INDEX('[1]ATTENDANCE DAILY'!$I$4:$AM$663,$CC33,DAY(S$14)))))),IFERROR(IF(_xlpm._r=0,"",_xlpm._r),""))</f>
        <v/>
      </c>
      <c r="T33" s="58"/>
      <c r="U33" s="86"/>
      <c r="V33" s="59" t="str">
        <f>_xlfn.LET(_xlpm._r,_xlfn.SINGLE(IF(OR($CC33="",V$14="",V$14&lt;_xlfn.SINGLE(INDEX('[1]ATTENDANCE DAILY'!$AV$4:$AV$663,$CC33)),V$14&gt;_xlfn.SINGLE(INDEX('[1]ATTENDANCE DAILY'!$AW$4:$AW$663,$CC33))),"",IF(_xlfn.SINGLE(INDEX('[1]ATTENDANCE DAILY'!$I$4:$AM$663,$CC33,DAY(V$14)))="T-Late","T-L",IF(_xlfn.SINGLE(INDEX('[1]ATTENDANCE DAILY'!$I$4:$AM$663,$CC33,DAY(V$14)))="T-Cutting","T-C",INDEX('[1]ATTENDANCE DAILY'!$I$4:$AM$663,$CC33,DAY(V$14)))))),IFERROR(IF(_xlpm._r=0,"",_xlpm._r),""))</f>
        <v/>
      </c>
      <c r="W33" s="57" t="str">
        <f>_xlfn.LET(_xlpm._r,_xlfn.SINGLE(IF(OR($CC33="",W$14="",W$14&lt;_xlfn.SINGLE(INDEX('[1]ATTENDANCE DAILY'!$AV$4:$AV$663,$CC33)),W$14&gt;_xlfn.SINGLE(INDEX('[1]ATTENDANCE DAILY'!$AW$4:$AW$663,$CC33))),"",IF(_xlfn.SINGLE(INDEX('[1]ATTENDANCE DAILY'!$I$4:$AM$663,$CC33,DAY(W$14)))="T-Late","T-L",IF(_xlfn.SINGLE(INDEX('[1]ATTENDANCE DAILY'!$I$4:$AM$663,$CC33,DAY(W$14)))="T-Cutting","T-C",INDEX('[1]ATTENDANCE DAILY'!$I$4:$AM$663,$CC33,DAY(W$14)))))),IFERROR(IF(_xlpm._r=0,"",_xlpm._r),""))</f>
        <v/>
      </c>
      <c r="X33" s="58"/>
      <c r="Y33" s="55"/>
      <c r="Z33" s="56" t="str">
        <f>_xlfn.LET(_xlpm._r,_xlfn.SINGLE(IF(OR($CC33="",Z$14="",Z$14&lt;_xlfn.SINGLE(INDEX('[1]ATTENDANCE DAILY'!$AV$4:$AV$663,$CC33)),Z$14&gt;_xlfn.SINGLE(INDEX('[1]ATTENDANCE DAILY'!$AW$4:$AW$663,$CC33))),"",IF(_xlfn.SINGLE(INDEX('[1]ATTENDANCE DAILY'!$I$4:$AM$663,$CC33,DAY(Z$14)))="T-Late","T-L",IF(_xlfn.SINGLE(INDEX('[1]ATTENDANCE DAILY'!$I$4:$AM$663,$CC33,DAY(Z$14)))="T-Cutting","T-C",INDEX('[1]ATTENDANCE DAILY'!$I$4:$AM$663,$CC33,DAY(Z$14)))))),IFERROR(IF(_xlpm._r=0,"",_xlpm._r),""))</f>
        <v/>
      </c>
      <c r="AA33" s="56" t="str">
        <f>_xlfn.LET(_xlpm._r,_xlfn.SINGLE(IF(OR($CC33="",AA$14="",AA$14&lt;_xlfn.SINGLE(INDEX('[1]ATTENDANCE DAILY'!$AV$4:$AV$663,$CC33)),AA$14&gt;_xlfn.SINGLE(INDEX('[1]ATTENDANCE DAILY'!$AW$4:$AW$663,$CC33))),"",IF(_xlfn.SINGLE(INDEX('[1]ATTENDANCE DAILY'!$I$4:$AM$663,$CC33,DAY(AA$14)))="T-Late","T-L",IF(_xlfn.SINGLE(INDEX('[1]ATTENDANCE DAILY'!$I$4:$AM$663,$CC33,DAY(AA$14)))="T-Cutting","T-C",INDEX('[1]ATTENDANCE DAILY'!$I$4:$AM$663,$CC33,DAY(AA$14)))))),IFERROR(IF(_xlpm._r=0,"",_xlpm._r),""))</f>
        <v/>
      </c>
      <c r="AB33" s="57" t="str">
        <f>_xlfn.LET(_xlpm._r,_xlfn.SINGLE(IF(OR($CC33="",AB$14="",AB$14&lt;_xlfn.SINGLE(INDEX('[1]ATTENDANCE DAILY'!$AV$4:$AV$663,$CC33)),AB$14&gt;_xlfn.SINGLE(INDEX('[1]ATTENDANCE DAILY'!$AW$4:$AW$663,$CC33))),"",IF(_xlfn.SINGLE(INDEX('[1]ATTENDANCE DAILY'!$I$4:$AM$663,$CC33,DAY(AB$14)))="T-Late","T-L",IF(_xlfn.SINGLE(INDEX('[1]ATTENDANCE DAILY'!$I$4:$AM$663,$CC33,DAY(AB$14)))="T-Cutting","T-C",INDEX('[1]ATTENDANCE DAILY'!$I$4:$AM$663,$CC33,DAY(AB$14)))))),IFERROR(IF(_xlpm._r=0,"",_xlpm._r),""))</f>
        <v/>
      </c>
      <c r="AC33" s="58"/>
      <c r="AD33" s="86"/>
      <c r="AE33" s="54" t="str">
        <f>_xlfn.LET(_xlpm._r,_xlfn.SINGLE(IF(OR($CC33="",AE$14="",AE$14&lt;_xlfn.SINGLE(INDEX('[1]ATTENDANCE DAILY'!$AV$4:$AV$663,$CC33)),AE$14&gt;_xlfn.SINGLE(INDEX('[1]ATTENDANCE DAILY'!$AW$4:$AW$663,$CC33))),"",IF(_xlfn.SINGLE(INDEX('[1]ATTENDANCE DAILY'!$I$4:$AM$663,$CC33,DAY(AE$14)))="T-Late","T-L",IF(_xlfn.SINGLE(INDEX('[1]ATTENDANCE DAILY'!$I$4:$AM$663,$CC33,DAY(AE$14)))="T-Cutting","T-C",INDEX('[1]ATTENDANCE DAILY'!$I$4:$AM$663,$CC33,DAY(AE$14)))))),IFERROR(IF(_xlpm._r=0,"",_xlpm._r),""))</f>
        <v/>
      </c>
      <c r="AF33" s="58"/>
      <c r="AG33" s="55"/>
      <c r="AH33" s="56" t="str">
        <f>_xlfn.LET(_xlpm._r,_xlfn.SINGLE(IF(OR($CC33="",AH$14="",AH$14&lt;_xlfn.SINGLE(INDEX('[1]ATTENDANCE DAILY'!$AV$4:$AV$663,$CC33)),AH$14&gt;_xlfn.SINGLE(INDEX('[1]ATTENDANCE DAILY'!$AW$4:$AW$663,$CC33))),"",IF(_xlfn.SINGLE(INDEX('[1]ATTENDANCE DAILY'!$I$4:$AM$663,$CC33,DAY(AH$14)))="T-Late","T-L",IF(_xlfn.SINGLE(INDEX('[1]ATTENDANCE DAILY'!$I$4:$AM$663,$CC33,DAY(AH$14)))="T-Cutting","T-C",INDEX('[1]ATTENDANCE DAILY'!$I$4:$AM$663,$CC33,DAY(AH$14)))))),IFERROR(IF(_xlpm._r=0,"",_xlpm._r),""))</f>
        <v/>
      </c>
      <c r="AI33" s="57" t="str">
        <f>_xlfn.LET(_xlpm._r,_xlfn.SINGLE(IF(OR($CC33="",AI$14="",AI$14&lt;_xlfn.SINGLE(INDEX('[1]ATTENDANCE DAILY'!$AV$4:$AV$663,$CC33)),AI$14&gt;_xlfn.SINGLE(INDEX('[1]ATTENDANCE DAILY'!$AW$4:$AW$663,$CC33))),"",IF(_xlfn.SINGLE(INDEX('[1]ATTENDANCE DAILY'!$I$4:$AM$663,$CC33,DAY(AI$14)))="T-Late","T-L",IF(_xlfn.SINGLE(INDEX('[1]ATTENDANCE DAILY'!$I$4:$AM$663,$CC33,DAY(AI$14)))="T-Cutting","T-C",INDEX('[1]ATTENDANCE DAILY'!$I$4:$AM$663,$CC33,DAY(AI$14)))))),IFERROR(IF(_xlpm._r=0,"",_xlpm._r),""))</f>
        <v/>
      </c>
      <c r="AJ33" s="58"/>
      <c r="AK33" s="55"/>
      <c r="AL33" s="57" t="str">
        <f>_xlfn.LET(_xlpm._r,_xlfn.SINGLE(IF(OR($CC33="",AL$14="",AL$14&lt;_xlfn.SINGLE(INDEX('[1]ATTENDANCE DAILY'!$AV$4:$AV$663,$CC33)),AL$14&gt;_xlfn.SINGLE(INDEX('[1]ATTENDANCE DAILY'!$AW$4:$AW$663,$CC33))),"",IF(_xlfn.SINGLE(INDEX('[1]ATTENDANCE DAILY'!$I$4:$AM$663,$CC33,DAY(AL$14)))="T-Late","T-L",IF(_xlfn.SINGLE(INDEX('[1]ATTENDANCE DAILY'!$I$4:$AM$663,$CC33,DAY(AL$14)))="T-Cutting","T-C",INDEX('[1]ATTENDANCE DAILY'!$I$4:$AM$663,$CC33,DAY(AL$14)))))),IFERROR(IF(_xlpm._r=0,"",_xlpm._r),""))</f>
        <v/>
      </c>
      <c r="AM33" s="55"/>
      <c r="AN33" s="57" t="str">
        <f>_xlfn.LET(_xlpm._r,_xlfn.SINGLE(IF(OR($CC33="",AN$14="",AN$14&lt;_xlfn.SINGLE(INDEX('[1]ATTENDANCE DAILY'!$AV$4:$AV$663,$CC33)),AN$14&gt;_xlfn.SINGLE(INDEX('[1]ATTENDANCE DAILY'!$AW$4:$AW$663,$CC33))),"",IF(_xlfn.SINGLE(INDEX('[1]ATTENDANCE DAILY'!$I$4:$AM$663,$CC33,DAY(AN$14)))="T-Late","T-L",IF(_xlfn.SINGLE(INDEX('[1]ATTENDANCE DAILY'!$I$4:$AM$663,$CC33,DAY(AN$14)))="T-Cutting","T-C",INDEX('[1]ATTENDANCE DAILY'!$I$4:$AM$663,$CC33,DAY(AN$14)))))),IFERROR(IF(_xlpm._r=0,"",_xlpm._r),""))</f>
        <v/>
      </c>
      <c r="AO33" s="86"/>
      <c r="AP33" s="54" t="str">
        <f>_xlfn.LET(_xlpm._r,_xlfn.SINGLE(IF(OR($CC33="",AP$14="",AP$14&lt;_xlfn.SINGLE(INDEX('[1]ATTENDANCE DAILY'!$AV$4:$AV$663,$CC33)),AP$14&gt;_xlfn.SINGLE(INDEX('[1]ATTENDANCE DAILY'!$AW$4:$AW$663,$CC33))),"",IF(_xlfn.SINGLE(INDEX('[1]ATTENDANCE DAILY'!$I$4:$AM$663,$CC33,DAY(AP$14)))="T-Late","T-L",IF(_xlfn.SINGLE(INDEX('[1]ATTENDANCE DAILY'!$I$4:$AM$663,$CC33,DAY(AP$14)))="T-Cutting","T-C",INDEX('[1]ATTENDANCE DAILY'!$I$4:$AM$663,$CC33,DAY(AP$14)))))),IFERROR(IF(_xlpm._r=0,"",_xlpm._r),""))</f>
        <v/>
      </c>
      <c r="AQ33" s="55"/>
      <c r="AR33" s="56" t="str">
        <f>_xlfn.LET(_xlpm._r,_xlfn.SINGLE(IF(OR($CC33="",AR$14="",AR$14&lt;_xlfn.SINGLE(INDEX('[1]ATTENDANCE DAILY'!$AV$4:$AV$663,$CC33)),AR$14&gt;_xlfn.SINGLE(INDEX('[1]ATTENDANCE DAILY'!$AW$4:$AW$663,$CC33))),"",IF(_xlfn.SINGLE(INDEX('[1]ATTENDANCE DAILY'!$I$4:$AM$663,$CC33,DAY(AR$14)))="T-Late","T-L",IF(_xlfn.SINGLE(INDEX('[1]ATTENDANCE DAILY'!$I$4:$AM$663,$CC33,DAY(AR$14)))="T-Cutting","T-C",INDEX('[1]ATTENDANCE DAILY'!$I$4:$AM$663,$CC33,DAY(AR$14)))))),IFERROR(IF(_xlpm._r=0,"",_xlpm._r),""))</f>
        <v/>
      </c>
      <c r="AS33" s="57" t="str">
        <f>_xlfn.LET(_xlpm._r,_xlfn.SINGLE(IF(OR($CC33="",AS$14="",AS$14&lt;_xlfn.SINGLE(INDEX('[1]ATTENDANCE DAILY'!$AV$4:$AV$663,$CC33)),AS$14&gt;_xlfn.SINGLE(INDEX('[1]ATTENDANCE DAILY'!$AW$4:$AW$663,$CC33))),"",IF(_xlfn.SINGLE(INDEX('[1]ATTENDANCE DAILY'!$I$4:$AM$663,$CC33,DAY(AS$14)))="T-Late","T-L",IF(_xlfn.SINGLE(INDEX('[1]ATTENDANCE DAILY'!$I$4:$AM$663,$CC33,DAY(AS$14)))="T-Cutting","T-C",INDEX('[1]ATTENDANCE DAILY'!$I$4:$AM$663,$CC33,DAY(AS$14)))))),IFERROR(IF(_xlpm._r=0,"",_xlpm._r),""))</f>
        <v/>
      </c>
      <c r="AT33" s="55"/>
      <c r="AU33" s="56" t="str">
        <f>_xlfn.LET(_xlpm._r,_xlfn.SINGLE(IF(OR($CC33="",AU$14="",AU$14&lt;_xlfn.SINGLE(INDEX('[1]ATTENDANCE DAILY'!$AV$4:$AV$663,$CC33)),AU$14&gt;_xlfn.SINGLE(INDEX('[1]ATTENDANCE DAILY'!$AW$4:$AW$663,$CC33))),"",IF(_xlfn.SINGLE(INDEX('[1]ATTENDANCE DAILY'!$I$4:$AM$663,$CC33,DAY(AU$14)))="T-Late","T-L",IF(_xlfn.SINGLE(INDEX('[1]ATTENDANCE DAILY'!$I$4:$AM$663,$CC33,DAY(AU$14)))="T-Cutting","T-C",INDEX('[1]ATTENDANCE DAILY'!$I$4:$AM$663,$CC33,DAY(AU$14)))))),IFERROR(IF(_xlpm._r=0,"",_xlpm._r),""))</f>
        <v/>
      </c>
      <c r="AV33" s="87" t="str">
        <f>_xlfn.LET(_xlpm._r,_xlfn.SINGLE(IF(OR($CC33="",AV$14="",AV$14&lt;_xlfn.SINGLE(INDEX('[1]ATTENDANCE DAILY'!$AV$4:$AV$663,$CC33)),AV$14&gt;_xlfn.SINGLE(INDEX('[1]ATTENDANCE DAILY'!$AW$4:$AW$663,$CC33))),"",IF(_xlfn.SINGLE(INDEX('[1]ATTENDANCE DAILY'!$I$4:$AM$663,$CC33,DAY(AV$14)))="T-Late","T-L",IF(_xlfn.SINGLE(INDEX('[1]ATTENDANCE DAILY'!$I$4:$AM$663,$CC33,DAY(AV$14)))="T-Cutting","T-C",INDEX('[1]ATTENDANCE DAILY'!$I$4:$AM$663,$CC33,DAY(AV$14)))))),IFERROR(IF(_xlpm._r=0,"",_xlpm._r),""))</f>
        <v/>
      </c>
      <c r="AW33" s="54" t="str">
        <f>_xlfn.LET(_xlpm._r,_xlfn.SINGLE(IF(OR($CC33="",AW$14="",AW$14&lt;_xlfn.SINGLE(INDEX('[1]ATTENDANCE DAILY'!$AV$4:$AV$663,$CC33)),AW$14&gt;_xlfn.SINGLE(INDEX('[1]ATTENDANCE DAILY'!$AW$4:$AW$663,$CC33))),"",IF(_xlfn.SINGLE(INDEX('[1]ATTENDANCE DAILY'!$I$4:$AM$663,$CC33,DAY(AW$14)))="T-Late","T-L",IF(_xlfn.SINGLE(INDEX('[1]ATTENDANCE DAILY'!$I$4:$AM$663,$CC33,DAY(AW$14)))="T-Cutting","T-C",INDEX('[1]ATTENDANCE DAILY'!$I$4:$AM$663,$CC33,DAY(AW$14)))))),IFERROR(IF(_xlpm._r=0,"",_xlpm._r),""))</f>
        <v/>
      </c>
      <c r="AX33" s="55"/>
      <c r="AY33" s="57" t="str">
        <f>_xlfn.LET(_xlpm._r,_xlfn.SINGLE(IF(OR($CC33="",AY$14="",AY$14&lt;_xlfn.SINGLE(INDEX('[1]ATTENDANCE DAILY'!$AV$4:$AV$663,$CC33)),AY$14&gt;_xlfn.SINGLE(INDEX('[1]ATTENDANCE DAILY'!$AW$4:$AW$663,$CC33))),"",IF(_xlfn.SINGLE(INDEX('[1]ATTENDANCE DAILY'!$I$4:$AM$663,$CC33,DAY(AY$14)))="T-Late","T-L",IF(_xlfn.SINGLE(INDEX('[1]ATTENDANCE DAILY'!$I$4:$AM$663,$CC33,DAY(AY$14)))="T-Cutting","T-C",INDEX('[1]ATTENDANCE DAILY'!$I$4:$AM$663,$CC33,DAY(AY$14)))))),IFERROR(IF(_xlpm._r=0,"",_xlpm._r),""))</f>
        <v/>
      </c>
      <c r="AZ33" s="58"/>
      <c r="BA33" s="55"/>
      <c r="BB33" s="57" t="str">
        <f>_xlfn.LET(_xlpm._r,_xlfn.SINGLE(IF(OR($CC33="",BB$14="",BB$14&lt;_xlfn.SINGLE(INDEX('[1]ATTENDANCE DAILY'!$AV$4:$AV$663,$CC33)),BB$14&gt;_xlfn.SINGLE(INDEX('[1]ATTENDANCE DAILY'!$AW$4:$AW$663,$CC33))),"",IF(_xlfn.SINGLE(INDEX('[1]ATTENDANCE DAILY'!$I$4:$AM$663,$CC33,DAY(BB$14)))="T-Late","T-L",IF(_xlfn.SINGLE(INDEX('[1]ATTENDANCE DAILY'!$I$4:$AM$663,$CC33,DAY(BB$14)))="T-Cutting","T-C",INDEX('[1]ATTENDANCE DAILY'!$I$4:$AM$663,$CC33,DAY(BB$14)))))),IFERROR(IF(_xlpm._r=0,"",_xlpm._r),""))</f>
        <v/>
      </c>
      <c r="BC33" s="55"/>
      <c r="BD33" s="56" t="str">
        <f>_xlfn.LET(_xlpm._r,_xlfn.SINGLE(IF(OR($CC33="",BD$14="",BD$14&lt;_xlfn.SINGLE(INDEX('[1]ATTENDANCE DAILY'!$AV$4:$AV$663,$CC33)),BD$14&gt;_xlfn.SINGLE(INDEX('[1]ATTENDANCE DAILY'!$AW$4:$AW$663,$CC33))),"",IF(_xlfn.SINGLE(INDEX('[1]ATTENDANCE DAILY'!$I$4:$AM$663,$CC33,DAY(BD$14)))="T-Late","T-L",IF(_xlfn.SINGLE(INDEX('[1]ATTENDANCE DAILY'!$I$4:$AM$663,$CC33,DAY(BD$14)))="T-Cutting","T-C",INDEX('[1]ATTENDANCE DAILY'!$I$4:$AM$663,$CC33,DAY(BD$14)))))),IFERROR(IF(_xlpm._r=0,"",_xlpm._r),""))</f>
        <v/>
      </c>
      <c r="BE33" s="57" t="str">
        <f>_xlfn.LET(_xlpm._r,_xlfn.SINGLE(IF(OR($CC33="",BE$14="",BE$14&lt;_xlfn.SINGLE(INDEX('[1]ATTENDANCE DAILY'!$AV$4:$AV$663,$CC33)),BE$14&gt;_xlfn.SINGLE(INDEX('[1]ATTENDANCE DAILY'!$AW$4:$AW$663,$CC33))),"",IF(_xlfn.SINGLE(INDEX('[1]ATTENDANCE DAILY'!$I$4:$AM$663,$CC33,DAY(BE$14)))="T-Late","T-L",IF(_xlfn.SINGLE(INDEX('[1]ATTENDANCE DAILY'!$I$4:$AM$663,$CC33,DAY(BE$14)))="T-Cutting","T-C",INDEX('[1]ATTENDANCE DAILY'!$I$4:$AM$663,$CC33,DAY(BE$14)))))),IFERROR(IF(_xlpm._r=0,"",_xlpm._r),""))</f>
        <v/>
      </c>
      <c r="BF33" s="58"/>
      <c r="BG33" s="58"/>
      <c r="BH33" s="86"/>
      <c r="BI33" s="88" t="str">
        <f>IF($CC33="","",INDEX('[1]ATTENDANCE DAILY'!$AR$4:$AR$663,$CC33))</f>
        <v/>
      </c>
      <c r="BJ33" s="89"/>
      <c r="BK33" s="90"/>
      <c r="BL33" s="88" t="str">
        <f>IF($CC33="","",INDEX('[1]ATTENDANCE DAILY'!$AS$4:$AS$663,$CC33))</f>
        <v/>
      </c>
      <c r="BM33" s="89"/>
      <c r="BN33" s="89"/>
      <c r="BO33" s="90"/>
      <c r="BP33" s="91" t="str">
        <f>IF($CC33="","",IF(INDEX('[1]ATTENDANCE DAILY'!$AN$4:$AN$663,$CC33)="","",INDEX('[1]ATTENDANCE DAILY'!$AN$4:$AN$663,$CC33)&amp;IF(INDEX('[1]ATTENDANCE DAILY'!$AO$4:$AO$663,$CC33)="",""," ("&amp;TEXT(INDEX('[1]ATTENDANCE DAILY'!$AO$4:$AO$663,$CC33),"mm-dd-yyyy")&amp;")")&amp;IF(INDEX('[1]ATTENDANCE DAILY'!$AP$4:$AP$663,$CC33)="",""," - "&amp;INDEX('[1]ATTENDANCE DAILY'!$AP$4:$AP$663,$CC33))))</f>
        <v/>
      </c>
      <c r="BQ33" s="89"/>
      <c r="BR33" s="89"/>
      <c r="BS33" s="89"/>
      <c r="BT33" s="89"/>
      <c r="BU33" s="89"/>
      <c r="BV33" s="89"/>
      <c r="BW33" s="89"/>
      <c r="BX33" s="89"/>
      <c r="BY33" s="89"/>
      <c r="BZ33" s="89"/>
      <c r="CA33" s="90"/>
      <c r="CC33" t="str">
        <f>IF(COUNTIFS('[1]ATTENDANCE DAILY'!$C$4:$C$663,$BN$11,'[1]ATTENDANCE DAILY'!$F$4:$F$663,"Male",'[1]ATTENDANCE DAILY'!$G$4:$G$663,1,'[1]ATTENDANCE DAILY'!$BA$4:$BA$663,16)=0,"",SUMIFS('[1]ATTENDANCE DAILY'!$A$4:$A$663,'[1]ATTENDANCE DAILY'!$C$4:$C$663,$BN$11,'[1]ATTENDANCE DAILY'!$F$4:$F$663,"Male",'[1]ATTENDANCE DAILY'!$G$4:$G$663,1,'[1]ATTENDANCE DAILY'!$BA$4:$BA$663,16))</f>
        <v/>
      </c>
    </row>
    <row r="34" spans="1:81" ht="19.95" customHeight="1">
      <c r="A34" s="80">
        <v>17</v>
      </c>
      <c r="B34" s="81"/>
      <c r="C34" s="81"/>
      <c r="D34" s="81"/>
      <c r="E34" s="81"/>
      <c r="F34" s="82"/>
      <c r="G34" s="83" t="str">
        <f>IF($CC34="","",INDEX('[1]ATTENDANCE DAILY'!$E$4:$E$663,$CC34))</f>
        <v/>
      </c>
      <c r="H34" s="84"/>
      <c r="I34" s="84"/>
      <c r="J34" s="85"/>
      <c r="K34" s="54" t="str">
        <f>_xlfn.LET(_xlpm._r,_xlfn.SINGLE(IF(OR($CC34="",K$14="",K$14&lt;_xlfn.SINGLE(INDEX('[1]ATTENDANCE DAILY'!$AV$4:$AV$663,$CC34)),K$14&gt;_xlfn.SINGLE(INDEX('[1]ATTENDANCE DAILY'!$AW$4:$AW$663,$CC34))),"",IF(_xlfn.SINGLE(INDEX('[1]ATTENDANCE DAILY'!$I$4:$AM$663,$CC34,DAY(K$14)))="T-Late","T-L",IF(_xlfn.SINGLE(INDEX('[1]ATTENDANCE DAILY'!$I$4:$AM$663,$CC34,DAY(K$14)))="T-Cutting","T-C",INDEX('[1]ATTENDANCE DAILY'!$I$4:$AM$663,$CC34,DAY(K$14)))))),IFERROR(IF(_xlpm._r=0,"",_xlpm._r),""))</f>
        <v/>
      </c>
      <c r="L34" s="55"/>
      <c r="M34" s="56" t="str">
        <f>_xlfn.LET(_xlpm._r,_xlfn.SINGLE(IF(OR($CC34="",M$14="",M$14&lt;_xlfn.SINGLE(INDEX('[1]ATTENDANCE DAILY'!$AV$4:$AV$663,$CC34)),M$14&gt;_xlfn.SINGLE(INDEX('[1]ATTENDANCE DAILY'!$AW$4:$AW$663,$CC34))),"",IF(_xlfn.SINGLE(INDEX('[1]ATTENDANCE DAILY'!$I$4:$AM$663,$CC34,DAY(M$14)))="T-Late","T-L",IF(_xlfn.SINGLE(INDEX('[1]ATTENDANCE DAILY'!$I$4:$AM$663,$CC34,DAY(M$14)))="T-Cutting","T-C",INDEX('[1]ATTENDANCE DAILY'!$I$4:$AM$663,$CC34,DAY(M$14)))))),IFERROR(IF(_xlpm._r=0,"",_xlpm._r),""))</f>
        <v/>
      </c>
      <c r="N34" s="56" t="str">
        <f>_xlfn.LET(_xlpm._r,_xlfn.SINGLE(IF(OR($CC34="",N$14="",N$14&lt;_xlfn.SINGLE(INDEX('[1]ATTENDANCE DAILY'!$AV$4:$AV$663,$CC34)),N$14&gt;_xlfn.SINGLE(INDEX('[1]ATTENDANCE DAILY'!$AW$4:$AW$663,$CC34))),"",IF(_xlfn.SINGLE(INDEX('[1]ATTENDANCE DAILY'!$I$4:$AM$663,$CC34,DAY(N$14)))="T-Late","T-L",IF(_xlfn.SINGLE(INDEX('[1]ATTENDANCE DAILY'!$I$4:$AM$663,$CC34,DAY(N$14)))="T-Cutting","T-C",INDEX('[1]ATTENDANCE DAILY'!$I$4:$AM$663,$CC34,DAY(N$14)))))),IFERROR(IF(_xlpm._r=0,"",_xlpm._r),""))</f>
        <v/>
      </c>
      <c r="O34" s="57" t="str">
        <f>_xlfn.LET(_xlpm._r,_xlfn.SINGLE(IF(OR($CC34="",O$14="",O$14&lt;_xlfn.SINGLE(INDEX('[1]ATTENDANCE DAILY'!$AV$4:$AV$663,$CC34)),O$14&gt;_xlfn.SINGLE(INDEX('[1]ATTENDANCE DAILY'!$AW$4:$AW$663,$CC34))),"",IF(_xlfn.SINGLE(INDEX('[1]ATTENDANCE DAILY'!$I$4:$AM$663,$CC34,DAY(O$14)))="T-Late","T-L",IF(_xlfn.SINGLE(INDEX('[1]ATTENDANCE DAILY'!$I$4:$AM$663,$CC34,DAY(O$14)))="T-Cutting","T-C",INDEX('[1]ATTENDANCE DAILY'!$I$4:$AM$663,$CC34,DAY(O$14)))))),IFERROR(IF(_xlpm._r=0,"",_xlpm._r),""))</f>
        <v/>
      </c>
      <c r="P34" s="58"/>
      <c r="Q34" s="58"/>
      <c r="R34" s="55"/>
      <c r="S34" s="57" t="str">
        <f>_xlfn.LET(_xlpm._r,_xlfn.SINGLE(IF(OR($CC34="",S$14="",S$14&lt;_xlfn.SINGLE(INDEX('[1]ATTENDANCE DAILY'!$AV$4:$AV$663,$CC34)),S$14&gt;_xlfn.SINGLE(INDEX('[1]ATTENDANCE DAILY'!$AW$4:$AW$663,$CC34))),"",IF(_xlfn.SINGLE(INDEX('[1]ATTENDANCE DAILY'!$I$4:$AM$663,$CC34,DAY(S$14)))="T-Late","T-L",IF(_xlfn.SINGLE(INDEX('[1]ATTENDANCE DAILY'!$I$4:$AM$663,$CC34,DAY(S$14)))="T-Cutting","T-C",INDEX('[1]ATTENDANCE DAILY'!$I$4:$AM$663,$CC34,DAY(S$14)))))),IFERROR(IF(_xlpm._r=0,"",_xlpm._r),""))</f>
        <v/>
      </c>
      <c r="T34" s="58"/>
      <c r="U34" s="86"/>
      <c r="V34" s="59" t="str">
        <f>_xlfn.LET(_xlpm._r,_xlfn.SINGLE(IF(OR($CC34="",V$14="",V$14&lt;_xlfn.SINGLE(INDEX('[1]ATTENDANCE DAILY'!$AV$4:$AV$663,$CC34)),V$14&gt;_xlfn.SINGLE(INDEX('[1]ATTENDANCE DAILY'!$AW$4:$AW$663,$CC34))),"",IF(_xlfn.SINGLE(INDEX('[1]ATTENDANCE DAILY'!$I$4:$AM$663,$CC34,DAY(V$14)))="T-Late","T-L",IF(_xlfn.SINGLE(INDEX('[1]ATTENDANCE DAILY'!$I$4:$AM$663,$CC34,DAY(V$14)))="T-Cutting","T-C",INDEX('[1]ATTENDANCE DAILY'!$I$4:$AM$663,$CC34,DAY(V$14)))))),IFERROR(IF(_xlpm._r=0,"",_xlpm._r),""))</f>
        <v/>
      </c>
      <c r="W34" s="57" t="str">
        <f>_xlfn.LET(_xlpm._r,_xlfn.SINGLE(IF(OR($CC34="",W$14="",W$14&lt;_xlfn.SINGLE(INDEX('[1]ATTENDANCE DAILY'!$AV$4:$AV$663,$CC34)),W$14&gt;_xlfn.SINGLE(INDEX('[1]ATTENDANCE DAILY'!$AW$4:$AW$663,$CC34))),"",IF(_xlfn.SINGLE(INDEX('[1]ATTENDANCE DAILY'!$I$4:$AM$663,$CC34,DAY(W$14)))="T-Late","T-L",IF(_xlfn.SINGLE(INDEX('[1]ATTENDANCE DAILY'!$I$4:$AM$663,$CC34,DAY(W$14)))="T-Cutting","T-C",INDEX('[1]ATTENDANCE DAILY'!$I$4:$AM$663,$CC34,DAY(W$14)))))),IFERROR(IF(_xlpm._r=0,"",_xlpm._r),""))</f>
        <v/>
      </c>
      <c r="X34" s="58"/>
      <c r="Y34" s="55"/>
      <c r="Z34" s="56" t="str">
        <f>_xlfn.LET(_xlpm._r,_xlfn.SINGLE(IF(OR($CC34="",Z$14="",Z$14&lt;_xlfn.SINGLE(INDEX('[1]ATTENDANCE DAILY'!$AV$4:$AV$663,$CC34)),Z$14&gt;_xlfn.SINGLE(INDEX('[1]ATTENDANCE DAILY'!$AW$4:$AW$663,$CC34))),"",IF(_xlfn.SINGLE(INDEX('[1]ATTENDANCE DAILY'!$I$4:$AM$663,$CC34,DAY(Z$14)))="T-Late","T-L",IF(_xlfn.SINGLE(INDEX('[1]ATTENDANCE DAILY'!$I$4:$AM$663,$CC34,DAY(Z$14)))="T-Cutting","T-C",INDEX('[1]ATTENDANCE DAILY'!$I$4:$AM$663,$CC34,DAY(Z$14)))))),IFERROR(IF(_xlpm._r=0,"",_xlpm._r),""))</f>
        <v/>
      </c>
      <c r="AA34" s="56" t="str">
        <f>_xlfn.LET(_xlpm._r,_xlfn.SINGLE(IF(OR($CC34="",AA$14="",AA$14&lt;_xlfn.SINGLE(INDEX('[1]ATTENDANCE DAILY'!$AV$4:$AV$663,$CC34)),AA$14&gt;_xlfn.SINGLE(INDEX('[1]ATTENDANCE DAILY'!$AW$4:$AW$663,$CC34))),"",IF(_xlfn.SINGLE(INDEX('[1]ATTENDANCE DAILY'!$I$4:$AM$663,$CC34,DAY(AA$14)))="T-Late","T-L",IF(_xlfn.SINGLE(INDEX('[1]ATTENDANCE DAILY'!$I$4:$AM$663,$CC34,DAY(AA$14)))="T-Cutting","T-C",INDEX('[1]ATTENDANCE DAILY'!$I$4:$AM$663,$CC34,DAY(AA$14)))))),IFERROR(IF(_xlpm._r=0,"",_xlpm._r),""))</f>
        <v/>
      </c>
      <c r="AB34" s="57" t="str">
        <f>_xlfn.LET(_xlpm._r,_xlfn.SINGLE(IF(OR($CC34="",AB$14="",AB$14&lt;_xlfn.SINGLE(INDEX('[1]ATTENDANCE DAILY'!$AV$4:$AV$663,$CC34)),AB$14&gt;_xlfn.SINGLE(INDEX('[1]ATTENDANCE DAILY'!$AW$4:$AW$663,$CC34))),"",IF(_xlfn.SINGLE(INDEX('[1]ATTENDANCE DAILY'!$I$4:$AM$663,$CC34,DAY(AB$14)))="T-Late","T-L",IF(_xlfn.SINGLE(INDEX('[1]ATTENDANCE DAILY'!$I$4:$AM$663,$CC34,DAY(AB$14)))="T-Cutting","T-C",INDEX('[1]ATTENDANCE DAILY'!$I$4:$AM$663,$CC34,DAY(AB$14)))))),IFERROR(IF(_xlpm._r=0,"",_xlpm._r),""))</f>
        <v/>
      </c>
      <c r="AC34" s="58"/>
      <c r="AD34" s="86"/>
      <c r="AE34" s="54" t="str">
        <f>_xlfn.LET(_xlpm._r,_xlfn.SINGLE(IF(OR($CC34="",AE$14="",AE$14&lt;_xlfn.SINGLE(INDEX('[1]ATTENDANCE DAILY'!$AV$4:$AV$663,$CC34)),AE$14&gt;_xlfn.SINGLE(INDEX('[1]ATTENDANCE DAILY'!$AW$4:$AW$663,$CC34))),"",IF(_xlfn.SINGLE(INDEX('[1]ATTENDANCE DAILY'!$I$4:$AM$663,$CC34,DAY(AE$14)))="T-Late","T-L",IF(_xlfn.SINGLE(INDEX('[1]ATTENDANCE DAILY'!$I$4:$AM$663,$CC34,DAY(AE$14)))="T-Cutting","T-C",INDEX('[1]ATTENDANCE DAILY'!$I$4:$AM$663,$CC34,DAY(AE$14)))))),IFERROR(IF(_xlpm._r=0,"",_xlpm._r),""))</f>
        <v/>
      </c>
      <c r="AF34" s="58"/>
      <c r="AG34" s="55"/>
      <c r="AH34" s="56" t="str">
        <f>_xlfn.LET(_xlpm._r,_xlfn.SINGLE(IF(OR($CC34="",AH$14="",AH$14&lt;_xlfn.SINGLE(INDEX('[1]ATTENDANCE DAILY'!$AV$4:$AV$663,$CC34)),AH$14&gt;_xlfn.SINGLE(INDEX('[1]ATTENDANCE DAILY'!$AW$4:$AW$663,$CC34))),"",IF(_xlfn.SINGLE(INDEX('[1]ATTENDANCE DAILY'!$I$4:$AM$663,$CC34,DAY(AH$14)))="T-Late","T-L",IF(_xlfn.SINGLE(INDEX('[1]ATTENDANCE DAILY'!$I$4:$AM$663,$CC34,DAY(AH$14)))="T-Cutting","T-C",INDEX('[1]ATTENDANCE DAILY'!$I$4:$AM$663,$CC34,DAY(AH$14)))))),IFERROR(IF(_xlpm._r=0,"",_xlpm._r),""))</f>
        <v/>
      </c>
      <c r="AI34" s="57" t="str">
        <f>_xlfn.LET(_xlpm._r,_xlfn.SINGLE(IF(OR($CC34="",AI$14="",AI$14&lt;_xlfn.SINGLE(INDEX('[1]ATTENDANCE DAILY'!$AV$4:$AV$663,$CC34)),AI$14&gt;_xlfn.SINGLE(INDEX('[1]ATTENDANCE DAILY'!$AW$4:$AW$663,$CC34))),"",IF(_xlfn.SINGLE(INDEX('[1]ATTENDANCE DAILY'!$I$4:$AM$663,$CC34,DAY(AI$14)))="T-Late","T-L",IF(_xlfn.SINGLE(INDEX('[1]ATTENDANCE DAILY'!$I$4:$AM$663,$CC34,DAY(AI$14)))="T-Cutting","T-C",INDEX('[1]ATTENDANCE DAILY'!$I$4:$AM$663,$CC34,DAY(AI$14)))))),IFERROR(IF(_xlpm._r=0,"",_xlpm._r),""))</f>
        <v/>
      </c>
      <c r="AJ34" s="58"/>
      <c r="AK34" s="55"/>
      <c r="AL34" s="57" t="str">
        <f>_xlfn.LET(_xlpm._r,_xlfn.SINGLE(IF(OR($CC34="",AL$14="",AL$14&lt;_xlfn.SINGLE(INDEX('[1]ATTENDANCE DAILY'!$AV$4:$AV$663,$CC34)),AL$14&gt;_xlfn.SINGLE(INDEX('[1]ATTENDANCE DAILY'!$AW$4:$AW$663,$CC34))),"",IF(_xlfn.SINGLE(INDEX('[1]ATTENDANCE DAILY'!$I$4:$AM$663,$CC34,DAY(AL$14)))="T-Late","T-L",IF(_xlfn.SINGLE(INDEX('[1]ATTENDANCE DAILY'!$I$4:$AM$663,$CC34,DAY(AL$14)))="T-Cutting","T-C",INDEX('[1]ATTENDANCE DAILY'!$I$4:$AM$663,$CC34,DAY(AL$14)))))),IFERROR(IF(_xlpm._r=0,"",_xlpm._r),""))</f>
        <v/>
      </c>
      <c r="AM34" s="55"/>
      <c r="AN34" s="57" t="str">
        <f>_xlfn.LET(_xlpm._r,_xlfn.SINGLE(IF(OR($CC34="",AN$14="",AN$14&lt;_xlfn.SINGLE(INDEX('[1]ATTENDANCE DAILY'!$AV$4:$AV$663,$CC34)),AN$14&gt;_xlfn.SINGLE(INDEX('[1]ATTENDANCE DAILY'!$AW$4:$AW$663,$CC34))),"",IF(_xlfn.SINGLE(INDEX('[1]ATTENDANCE DAILY'!$I$4:$AM$663,$CC34,DAY(AN$14)))="T-Late","T-L",IF(_xlfn.SINGLE(INDEX('[1]ATTENDANCE DAILY'!$I$4:$AM$663,$CC34,DAY(AN$14)))="T-Cutting","T-C",INDEX('[1]ATTENDANCE DAILY'!$I$4:$AM$663,$CC34,DAY(AN$14)))))),IFERROR(IF(_xlpm._r=0,"",_xlpm._r),""))</f>
        <v/>
      </c>
      <c r="AO34" s="86"/>
      <c r="AP34" s="54" t="str">
        <f>_xlfn.LET(_xlpm._r,_xlfn.SINGLE(IF(OR($CC34="",AP$14="",AP$14&lt;_xlfn.SINGLE(INDEX('[1]ATTENDANCE DAILY'!$AV$4:$AV$663,$CC34)),AP$14&gt;_xlfn.SINGLE(INDEX('[1]ATTENDANCE DAILY'!$AW$4:$AW$663,$CC34))),"",IF(_xlfn.SINGLE(INDEX('[1]ATTENDANCE DAILY'!$I$4:$AM$663,$CC34,DAY(AP$14)))="T-Late","T-L",IF(_xlfn.SINGLE(INDEX('[1]ATTENDANCE DAILY'!$I$4:$AM$663,$CC34,DAY(AP$14)))="T-Cutting","T-C",INDEX('[1]ATTENDANCE DAILY'!$I$4:$AM$663,$CC34,DAY(AP$14)))))),IFERROR(IF(_xlpm._r=0,"",_xlpm._r),""))</f>
        <v/>
      </c>
      <c r="AQ34" s="55"/>
      <c r="AR34" s="56" t="str">
        <f>_xlfn.LET(_xlpm._r,_xlfn.SINGLE(IF(OR($CC34="",AR$14="",AR$14&lt;_xlfn.SINGLE(INDEX('[1]ATTENDANCE DAILY'!$AV$4:$AV$663,$CC34)),AR$14&gt;_xlfn.SINGLE(INDEX('[1]ATTENDANCE DAILY'!$AW$4:$AW$663,$CC34))),"",IF(_xlfn.SINGLE(INDEX('[1]ATTENDANCE DAILY'!$I$4:$AM$663,$CC34,DAY(AR$14)))="T-Late","T-L",IF(_xlfn.SINGLE(INDEX('[1]ATTENDANCE DAILY'!$I$4:$AM$663,$CC34,DAY(AR$14)))="T-Cutting","T-C",INDEX('[1]ATTENDANCE DAILY'!$I$4:$AM$663,$CC34,DAY(AR$14)))))),IFERROR(IF(_xlpm._r=0,"",_xlpm._r),""))</f>
        <v/>
      </c>
      <c r="AS34" s="57" t="str">
        <f>_xlfn.LET(_xlpm._r,_xlfn.SINGLE(IF(OR($CC34="",AS$14="",AS$14&lt;_xlfn.SINGLE(INDEX('[1]ATTENDANCE DAILY'!$AV$4:$AV$663,$CC34)),AS$14&gt;_xlfn.SINGLE(INDEX('[1]ATTENDANCE DAILY'!$AW$4:$AW$663,$CC34))),"",IF(_xlfn.SINGLE(INDEX('[1]ATTENDANCE DAILY'!$I$4:$AM$663,$CC34,DAY(AS$14)))="T-Late","T-L",IF(_xlfn.SINGLE(INDEX('[1]ATTENDANCE DAILY'!$I$4:$AM$663,$CC34,DAY(AS$14)))="T-Cutting","T-C",INDEX('[1]ATTENDANCE DAILY'!$I$4:$AM$663,$CC34,DAY(AS$14)))))),IFERROR(IF(_xlpm._r=0,"",_xlpm._r),""))</f>
        <v/>
      </c>
      <c r="AT34" s="55"/>
      <c r="AU34" s="56" t="str">
        <f>_xlfn.LET(_xlpm._r,_xlfn.SINGLE(IF(OR($CC34="",AU$14="",AU$14&lt;_xlfn.SINGLE(INDEX('[1]ATTENDANCE DAILY'!$AV$4:$AV$663,$CC34)),AU$14&gt;_xlfn.SINGLE(INDEX('[1]ATTENDANCE DAILY'!$AW$4:$AW$663,$CC34))),"",IF(_xlfn.SINGLE(INDEX('[1]ATTENDANCE DAILY'!$I$4:$AM$663,$CC34,DAY(AU$14)))="T-Late","T-L",IF(_xlfn.SINGLE(INDEX('[1]ATTENDANCE DAILY'!$I$4:$AM$663,$CC34,DAY(AU$14)))="T-Cutting","T-C",INDEX('[1]ATTENDANCE DAILY'!$I$4:$AM$663,$CC34,DAY(AU$14)))))),IFERROR(IF(_xlpm._r=0,"",_xlpm._r),""))</f>
        <v/>
      </c>
      <c r="AV34" s="87" t="str">
        <f>_xlfn.LET(_xlpm._r,_xlfn.SINGLE(IF(OR($CC34="",AV$14="",AV$14&lt;_xlfn.SINGLE(INDEX('[1]ATTENDANCE DAILY'!$AV$4:$AV$663,$CC34)),AV$14&gt;_xlfn.SINGLE(INDEX('[1]ATTENDANCE DAILY'!$AW$4:$AW$663,$CC34))),"",IF(_xlfn.SINGLE(INDEX('[1]ATTENDANCE DAILY'!$I$4:$AM$663,$CC34,DAY(AV$14)))="T-Late","T-L",IF(_xlfn.SINGLE(INDEX('[1]ATTENDANCE DAILY'!$I$4:$AM$663,$CC34,DAY(AV$14)))="T-Cutting","T-C",INDEX('[1]ATTENDANCE DAILY'!$I$4:$AM$663,$CC34,DAY(AV$14)))))),IFERROR(IF(_xlpm._r=0,"",_xlpm._r),""))</f>
        <v/>
      </c>
      <c r="AW34" s="54" t="str">
        <f>_xlfn.LET(_xlpm._r,_xlfn.SINGLE(IF(OR($CC34="",AW$14="",AW$14&lt;_xlfn.SINGLE(INDEX('[1]ATTENDANCE DAILY'!$AV$4:$AV$663,$CC34)),AW$14&gt;_xlfn.SINGLE(INDEX('[1]ATTENDANCE DAILY'!$AW$4:$AW$663,$CC34))),"",IF(_xlfn.SINGLE(INDEX('[1]ATTENDANCE DAILY'!$I$4:$AM$663,$CC34,DAY(AW$14)))="T-Late","T-L",IF(_xlfn.SINGLE(INDEX('[1]ATTENDANCE DAILY'!$I$4:$AM$663,$CC34,DAY(AW$14)))="T-Cutting","T-C",INDEX('[1]ATTENDANCE DAILY'!$I$4:$AM$663,$CC34,DAY(AW$14)))))),IFERROR(IF(_xlpm._r=0,"",_xlpm._r),""))</f>
        <v/>
      </c>
      <c r="AX34" s="55"/>
      <c r="AY34" s="57" t="str">
        <f>_xlfn.LET(_xlpm._r,_xlfn.SINGLE(IF(OR($CC34="",AY$14="",AY$14&lt;_xlfn.SINGLE(INDEX('[1]ATTENDANCE DAILY'!$AV$4:$AV$663,$CC34)),AY$14&gt;_xlfn.SINGLE(INDEX('[1]ATTENDANCE DAILY'!$AW$4:$AW$663,$CC34))),"",IF(_xlfn.SINGLE(INDEX('[1]ATTENDANCE DAILY'!$I$4:$AM$663,$CC34,DAY(AY$14)))="T-Late","T-L",IF(_xlfn.SINGLE(INDEX('[1]ATTENDANCE DAILY'!$I$4:$AM$663,$CC34,DAY(AY$14)))="T-Cutting","T-C",INDEX('[1]ATTENDANCE DAILY'!$I$4:$AM$663,$CC34,DAY(AY$14)))))),IFERROR(IF(_xlpm._r=0,"",_xlpm._r),""))</f>
        <v/>
      </c>
      <c r="AZ34" s="58"/>
      <c r="BA34" s="55"/>
      <c r="BB34" s="57" t="str">
        <f>_xlfn.LET(_xlpm._r,_xlfn.SINGLE(IF(OR($CC34="",BB$14="",BB$14&lt;_xlfn.SINGLE(INDEX('[1]ATTENDANCE DAILY'!$AV$4:$AV$663,$CC34)),BB$14&gt;_xlfn.SINGLE(INDEX('[1]ATTENDANCE DAILY'!$AW$4:$AW$663,$CC34))),"",IF(_xlfn.SINGLE(INDEX('[1]ATTENDANCE DAILY'!$I$4:$AM$663,$CC34,DAY(BB$14)))="T-Late","T-L",IF(_xlfn.SINGLE(INDEX('[1]ATTENDANCE DAILY'!$I$4:$AM$663,$CC34,DAY(BB$14)))="T-Cutting","T-C",INDEX('[1]ATTENDANCE DAILY'!$I$4:$AM$663,$CC34,DAY(BB$14)))))),IFERROR(IF(_xlpm._r=0,"",_xlpm._r),""))</f>
        <v/>
      </c>
      <c r="BC34" s="55"/>
      <c r="BD34" s="56" t="str">
        <f>_xlfn.LET(_xlpm._r,_xlfn.SINGLE(IF(OR($CC34="",BD$14="",BD$14&lt;_xlfn.SINGLE(INDEX('[1]ATTENDANCE DAILY'!$AV$4:$AV$663,$CC34)),BD$14&gt;_xlfn.SINGLE(INDEX('[1]ATTENDANCE DAILY'!$AW$4:$AW$663,$CC34))),"",IF(_xlfn.SINGLE(INDEX('[1]ATTENDANCE DAILY'!$I$4:$AM$663,$CC34,DAY(BD$14)))="T-Late","T-L",IF(_xlfn.SINGLE(INDEX('[1]ATTENDANCE DAILY'!$I$4:$AM$663,$CC34,DAY(BD$14)))="T-Cutting","T-C",INDEX('[1]ATTENDANCE DAILY'!$I$4:$AM$663,$CC34,DAY(BD$14)))))),IFERROR(IF(_xlpm._r=0,"",_xlpm._r),""))</f>
        <v/>
      </c>
      <c r="BE34" s="57" t="str">
        <f>_xlfn.LET(_xlpm._r,_xlfn.SINGLE(IF(OR($CC34="",BE$14="",BE$14&lt;_xlfn.SINGLE(INDEX('[1]ATTENDANCE DAILY'!$AV$4:$AV$663,$CC34)),BE$14&gt;_xlfn.SINGLE(INDEX('[1]ATTENDANCE DAILY'!$AW$4:$AW$663,$CC34))),"",IF(_xlfn.SINGLE(INDEX('[1]ATTENDANCE DAILY'!$I$4:$AM$663,$CC34,DAY(BE$14)))="T-Late","T-L",IF(_xlfn.SINGLE(INDEX('[1]ATTENDANCE DAILY'!$I$4:$AM$663,$CC34,DAY(BE$14)))="T-Cutting","T-C",INDEX('[1]ATTENDANCE DAILY'!$I$4:$AM$663,$CC34,DAY(BE$14)))))),IFERROR(IF(_xlpm._r=0,"",_xlpm._r),""))</f>
        <v/>
      </c>
      <c r="BF34" s="58"/>
      <c r="BG34" s="58"/>
      <c r="BH34" s="86"/>
      <c r="BI34" s="88" t="str">
        <f>IF($CC34="","",INDEX('[1]ATTENDANCE DAILY'!$AR$4:$AR$663,$CC34))</f>
        <v/>
      </c>
      <c r="BJ34" s="89"/>
      <c r="BK34" s="90"/>
      <c r="BL34" s="88" t="str">
        <f>IF($CC34="","",INDEX('[1]ATTENDANCE DAILY'!$AS$4:$AS$663,$CC34))</f>
        <v/>
      </c>
      <c r="BM34" s="89"/>
      <c r="BN34" s="89"/>
      <c r="BO34" s="90"/>
      <c r="BP34" s="91" t="str">
        <f>IF($CC34="","",IF(INDEX('[1]ATTENDANCE DAILY'!$AN$4:$AN$663,$CC34)="","",INDEX('[1]ATTENDANCE DAILY'!$AN$4:$AN$663,$CC34)&amp;IF(INDEX('[1]ATTENDANCE DAILY'!$AO$4:$AO$663,$CC34)="",""," ("&amp;TEXT(INDEX('[1]ATTENDANCE DAILY'!$AO$4:$AO$663,$CC34),"mm-dd-yyyy")&amp;")")&amp;IF(INDEX('[1]ATTENDANCE DAILY'!$AP$4:$AP$663,$CC34)="",""," - "&amp;INDEX('[1]ATTENDANCE DAILY'!$AP$4:$AP$663,$CC34))))</f>
        <v/>
      </c>
      <c r="BQ34" s="89"/>
      <c r="BR34" s="89"/>
      <c r="BS34" s="89"/>
      <c r="BT34" s="89"/>
      <c r="BU34" s="89"/>
      <c r="BV34" s="89"/>
      <c r="BW34" s="89"/>
      <c r="BX34" s="89"/>
      <c r="BY34" s="89"/>
      <c r="BZ34" s="89"/>
      <c r="CA34" s="90"/>
      <c r="CC34" t="str">
        <f>IF(COUNTIFS('[1]ATTENDANCE DAILY'!$C$4:$C$663,$BN$11,'[1]ATTENDANCE DAILY'!$F$4:$F$663,"Male",'[1]ATTENDANCE DAILY'!$G$4:$G$663,1,'[1]ATTENDANCE DAILY'!$BA$4:$BA$663,17)=0,"",SUMIFS('[1]ATTENDANCE DAILY'!$A$4:$A$663,'[1]ATTENDANCE DAILY'!$C$4:$C$663,$BN$11,'[1]ATTENDANCE DAILY'!$F$4:$F$663,"Male",'[1]ATTENDANCE DAILY'!$G$4:$G$663,1,'[1]ATTENDANCE DAILY'!$BA$4:$BA$663,17))</f>
        <v/>
      </c>
    </row>
    <row r="35" spans="1:81" ht="19.95" customHeight="1">
      <c r="A35" s="80">
        <v>18</v>
      </c>
      <c r="B35" s="81"/>
      <c r="C35" s="81"/>
      <c r="D35" s="81"/>
      <c r="E35" s="81"/>
      <c r="F35" s="82"/>
      <c r="G35" s="83" t="str">
        <f>IF($CC35="","",INDEX('[1]ATTENDANCE DAILY'!$E$4:$E$663,$CC35))</f>
        <v/>
      </c>
      <c r="H35" s="84"/>
      <c r="I35" s="84"/>
      <c r="J35" s="85"/>
      <c r="K35" s="54" t="str">
        <f>_xlfn.LET(_xlpm._r,_xlfn.SINGLE(IF(OR($CC35="",K$14="",K$14&lt;_xlfn.SINGLE(INDEX('[1]ATTENDANCE DAILY'!$AV$4:$AV$663,$CC35)),K$14&gt;_xlfn.SINGLE(INDEX('[1]ATTENDANCE DAILY'!$AW$4:$AW$663,$CC35))),"",IF(_xlfn.SINGLE(INDEX('[1]ATTENDANCE DAILY'!$I$4:$AM$663,$CC35,DAY(K$14)))="T-Late","T-L",IF(_xlfn.SINGLE(INDEX('[1]ATTENDANCE DAILY'!$I$4:$AM$663,$CC35,DAY(K$14)))="T-Cutting","T-C",INDEX('[1]ATTENDANCE DAILY'!$I$4:$AM$663,$CC35,DAY(K$14)))))),IFERROR(IF(_xlpm._r=0,"",_xlpm._r),""))</f>
        <v/>
      </c>
      <c r="L35" s="55"/>
      <c r="M35" s="56" t="str">
        <f>_xlfn.LET(_xlpm._r,_xlfn.SINGLE(IF(OR($CC35="",M$14="",M$14&lt;_xlfn.SINGLE(INDEX('[1]ATTENDANCE DAILY'!$AV$4:$AV$663,$CC35)),M$14&gt;_xlfn.SINGLE(INDEX('[1]ATTENDANCE DAILY'!$AW$4:$AW$663,$CC35))),"",IF(_xlfn.SINGLE(INDEX('[1]ATTENDANCE DAILY'!$I$4:$AM$663,$CC35,DAY(M$14)))="T-Late","T-L",IF(_xlfn.SINGLE(INDEX('[1]ATTENDANCE DAILY'!$I$4:$AM$663,$CC35,DAY(M$14)))="T-Cutting","T-C",INDEX('[1]ATTENDANCE DAILY'!$I$4:$AM$663,$CC35,DAY(M$14)))))),IFERROR(IF(_xlpm._r=0,"",_xlpm._r),""))</f>
        <v/>
      </c>
      <c r="N35" s="56" t="str">
        <f>_xlfn.LET(_xlpm._r,_xlfn.SINGLE(IF(OR($CC35="",N$14="",N$14&lt;_xlfn.SINGLE(INDEX('[1]ATTENDANCE DAILY'!$AV$4:$AV$663,$CC35)),N$14&gt;_xlfn.SINGLE(INDEX('[1]ATTENDANCE DAILY'!$AW$4:$AW$663,$CC35))),"",IF(_xlfn.SINGLE(INDEX('[1]ATTENDANCE DAILY'!$I$4:$AM$663,$CC35,DAY(N$14)))="T-Late","T-L",IF(_xlfn.SINGLE(INDEX('[1]ATTENDANCE DAILY'!$I$4:$AM$663,$CC35,DAY(N$14)))="T-Cutting","T-C",INDEX('[1]ATTENDANCE DAILY'!$I$4:$AM$663,$CC35,DAY(N$14)))))),IFERROR(IF(_xlpm._r=0,"",_xlpm._r),""))</f>
        <v/>
      </c>
      <c r="O35" s="57" t="str">
        <f>_xlfn.LET(_xlpm._r,_xlfn.SINGLE(IF(OR($CC35="",O$14="",O$14&lt;_xlfn.SINGLE(INDEX('[1]ATTENDANCE DAILY'!$AV$4:$AV$663,$CC35)),O$14&gt;_xlfn.SINGLE(INDEX('[1]ATTENDANCE DAILY'!$AW$4:$AW$663,$CC35))),"",IF(_xlfn.SINGLE(INDEX('[1]ATTENDANCE DAILY'!$I$4:$AM$663,$CC35,DAY(O$14)))="T-Late","T-L",IF(_xlfn.SINGLE(INDEX('[1]ATTENDANCE DAILY'!$I$4:$AM$663,$CC35,DAY(O$14)))="T-Cutting","T-C",INDEX('[1]ATTENDANCE DAILY'!$I$4:$AM$663,$CC35,DAY(O$14)))))),IFERROR(IF(_xlpm._r=0,"",_xlpm._r),""))</f>
        <v/>
      </c>
      <c r="P35" s="58"/>
      <c r="Q35" s="58"/>
      <c r="R35" s="55"/>
      <c r="S35" s="57" t="str">
        <f>_xlfn.LET(_xlpm._r,_xlfn.SINGLE(IF(OR($CC35="",S$14="",S$14&lt;_xlfn.SINGLE(INDEX('[1]ATTENDANCE DAILY'!$AV$4:$AV$663,$CC35)),S$14&gt;_xlfn.SINGLE(INDEX('[1]ATTENDANCE DAILY'!$AW$4:$AW$663,$CC35))),"",IF(_xlfn.SINGLE(INDEX('[1]ATTENDANCE DAILY'!$I$4:$AM$663,$CC35,DAY(S$14)))="T-Late","T-L",IF(_xlfn.SINGLE(INDEX('[1]ATTENDANCE DAILY'!$I$4:$AM$663,$CC35,DAY(S$14)))="T-Cutting","T-C",INDEX('[1]ATTENDANCE DAILY'!$I$4:$AM$663,$CC35,DAY(S$14)))))),IFERROR(IF(_xlpm._r=0,"",_xlpm._r),""))</f>
        <v/>
      </c>
      <c r="T35" s="58"/>
      <c r="U35" s="86"/>
      <c r="V35" s="59" t="str">
        <f>_xlfn.LET(_xlpm._r,_xlfn.SINGLE(IF(OR($CC35="",V$14="",V$14&lt;_xlfn.SINGLE(INDEX('[1]ATTENDANCE DAILY'!$AV$4:$AV$663,$CC35)),V$14&gt;_xlfn.SINGLE(INDEX('[1]ATTENDANCE DAILY'!$AW$4:$AW$663,$CC35))),"",IF(_xlfn.SINGLE(INDEX('[1]ATTENDANCE DAILY'!$I$4:$AM$663,$CC35,DAY(V$14)))="T-Late","T-L",IF(_xlfn.SINGLE(INDEX('[1]ATTENDANCE DAILY'!$I$4:$AM$663,$CC35,DAY(V$14)))="T-Cutting","T-C",INDEX('[1]ATTENDANCE DAILY'!$I$4:$AM$663,$CC35,DAY(V$14)))))),IFERROR(IF(_xlpm._r=0,"",_xlpm._r),""))</f>
        <v/>
      </c>
      <c r="W35" s="57" t="str">
        <f>_xlfn.LET(_xlpm._r,_xlfn.SINGLE(IF(OR($CC35="",W$14="",W$14&lt;_xlfn.SINGLE(INDEX('[1]ATTENDANCE DAILY'!$AV$4:$AV$663,$CC35)),W$14&gt;_xlfn.SINGLE(INDEX('[1]ATTENDANCE DAILY'!$AW$4:$AW$663,$CC35))),"",IF(_xlfn.SINGLE(INDEX('[1]ATTENDANCE DAILY'!$I$4:$AM$663,$CC35,DAY(W$14)))="T-Late","T-L",IF(_xlfn.SINGLE(INDEX('[1]ATTENDANCE DAILY'!$I$4:$AM$663,$CC35,DAY(W$14)))="T-Cutting","T-C",INDEX('[1]ATTENDANCE DAILY'!$I$4:$AM$663,$CC35,DAY(W$14)))))),IFERROR(IF(_xlpm._r=0,"",_xlpm._r),""))</f>
        <v/>
      </c>
      <c r="X35" s="58"/>
      <c r="Y35" s="55"/>
      <c r="Z35" s="56" t="str">
        <f>_xlfn.LET(_xlpm._r,_xlfn.SINGLE(IF(OR($CC35="",Z$14="",Z$14&lt;_xlfn.SINGLE(INDEX('[1]ATTENDANCE DAILY'!$AV$4:$AV$663,$CC35)),Z$14&gt;_xlfn.SINGLE(INDEX('[1]ATTENDANCE DAILY'!$AW$4:$AW$663,$CC35))),"",IF(_xlfn.SINGLE(INDEX('[1]ATTENDANCE DAILY'!$I$4:$AM$663,$CC35,DAY(Z$14)))="T-Late","T-L",IF(_xlfn.SINGLE(INDEX('[1]ATTENDANCE DAILY'!$I$4:$AM$663,$CC35,DAY(Z$14)))="T-Cutting","T-C",INDEX('[1]ATTENDANCE DAILY'!$I$4:$AM$663,$CC35,DAY(Z$14)))))),IFERROR(IF(_xlpm._r=0,"",_xlpm._r),""))</f>
        <v/>
      </c>
      <c r="AA35" s="56" t="str">
        <f>_xlfn.LET(_xlpm._r,_xlfn.SINGLE(IF(OR($CC35="",AA$14="",AA$14&lt;_xlfn.SINGLE(INDEX('[1]ATTENDANCE DAILY'!$AV$4:$AV$663,$CC35)),AA$14&gt;_xlfn.SINGLE(INDEX('[1]ATTENDANCE DAILY'!$AW$4:$AW$663,$CC35))),"",IF(_xlfn.SINGLE(INDEX('[1]ATTENDANCE DAILY'!$I$4:$AM$663,$CC35,DAY(AA$14)))="T-Late","T-L",IF(_xlfn.SINGLE(INDEX('[1]ATTENDANCE DAILY'!$I$4:$AM$663,$CC35,DAY(AA$14)))="T-Cutting","T-C",INDEX('[1]ATTENDANCE DAILY'!$I$4:$AM$663,$CC35,DAY(AA$14)))))),IFERROR(IF(_xlpm._r=0,"",_xlpm._r),""))</f>
        <v/>
      </c>
      <c r="AB35" s="57" t="str">
        <f>_xlfn.LET(_xlpm._r,_xlfn.SINGLE(IF(OR($CC35="",AB$14="",AB$14&lt;_xlfn.SINGLE(INDEX('[1]ATTENDANCE DAILY'!$AV$4:$AV$663,$CC35)),AB$14&gt;_xlfn.SINGLE(INDEX('[1]ATTENDANCE DAILY'!$AW$4:$AW$663,$CC35))),"",IF(_xlfn.SINGLE(INDEX('[1]ATTENDANCE DAILY'!$I$4:$AM$663,$CC35,DAY(AB$14)))="T-Late","T-L",IF(_xlfn.SINGLE(INDEX('[1]ATTENDANCE DAILY'!$I$4:$AM$663,$CC35,DAY(AB$14)))="T-Cutting","T-C",INDEX('[1]ATTENDANCE DAILY'!$I$4:$AM$663,$CC35,DAY(AB$14)))))),IFERROR(IF(_xlpm._r=0,"",_xlpm._r),""))</f>
        <v/>
      </c>
      <c r="AC35" s="58"/>
      <c r="AD35" s="86"/>
      <c r="AE35" s="54" t="str">
        <f>_xlfn.LET(_xlpm._r,_xlfn.SINGLE(IF(OR($CC35="",AE$14="",AE$14&lt;_xlfn.SINGLE(INDEX('[1]ATTENDANCE DAILY'!$AV$4:$AV$663,$CC35)),AE$14&gt;_xlfn.SINGLE(INDEX('[1]ATTENDANCE DAILY'!$AW$4:$AW$663,$CC35))),"",IF(_xlfn.SINGLE(INDEX('[1]ATTENDANCE DAILY'!$I$4:$AM$663,$CC35,DAY(AE$14)))="T-Late","T-L",IF(_xlfn.SINGLE(INDEX('[1]ATTENDANCE DAILY'!$I$4:$AM$663,$CC35,DAY(AE$14)))="T-Cutting","T-C",INDEX('[1]ATTENDANCE DAILY'!$I$4:$AM$663,$CC35,DAY(AE$14)))))),IFERROR(IF(_xlpm._r=0,"",_xlpm._r),""))</f>
        <v/>
      </c>
      <c r="AF35" s="58"/>
      <c r="AG35" s="55"/>
      <c r="AH35" s="56" t="str">
        <f>_xlfn.LET(_xlpm._r,_xlfn.SINGLE(IF(OR($CC35="",AH$14="",AH$14&lt;_xlfn.SINGLE(INDEX('[1]ATTENDANCE DAILY'!$AV$4:$AV$663,$CC35)),AH$14&gt;_xlfn.SINGLE(INDEX('[1]ATTENDANCE DAILY'!$AW$4:$AW$663,$CC35))),"",IF(_xlfn.SINGLE(INDEX('[1]ATTENDANCE DAILY'!$I$4:$AM$663,$CC35,DAY(AH$14)))="T-Late","T-L",IF(_xlfn.SINGLE(INDEX('[1]ATTENDANCE DAILY'!$I$4:$AM$663,$CC35,DAY(AH$14)))="T-Cutting","T-C",INDEX('[1]ATTENDANCE DAILY'!$I$4:$AM$663,$CC35,DAY(AH$14)))))),IFERROR(IF(_xlpm._r=0,"",_xlpm._r),""))</f>
        <v/>
      </c>
      <c r="AI35" s="57" t="str">
        <f>_xlfn.LET(_xlpm._r,_xlfn.SINGLE(IF(OR($CC35="",AI$14="",AI$14&lt;_xlfn.SINGLE(INDEX('[1]ATTENDANCE DAILY'!$AV$4:$AV$663,$CC35)),AI$14&gt;_xlfn.SINGLE(INDEX('[1]ATTENDANCE DAILY'!$AW$4:$AW$663,$CC35))),"",IF(_xlfn.SINGLE(INDEX('[1]ATTENDANCE DAILY'!$I$4:$AM$663,$CC35,DAY(AI$14)))="T-Late","T-L",IF(_xlfn.SINGLE(INDEX('[1]ATTENDANCE DAILY'!$I$4:$AM$663,$CC35,DAY(AI$14)))="T-Cutting","T-C",INDEX('[1]ATTENDANCE DAILY'!$I$4:$AM$663,$CC35,DAY(AI$14)))))),IFERROR(IF(_xlpm._r=0,"",_xlpm._r),""))</f>
        <v/>
      </c>
      <c r="AJ35" s="58"/>
      <c r="AK35" s="55"/>
      <c r="AL35" s="57" t="str">
        <f>_xlfn.LET(_xlpm._r,_xlfn.SINGLE(IF(OR($CC35="",AL$14="",AL$14&lt;_xlfn.SINGLE(INDEX('[1]ATTENDANCE DAILY'!$AV$4:$AV$663,$CC35)),AL$14&gt;_xlfn.SINGLE(INDEX('[1]ATTENDANCE DAILY'!$AW$4:$AW$663,$CC35))),"",IF(_xlfn.SINGLE(INDEX('[1]ATTENDANCE DAILY'!$I$4:$AM$663,$CC35,DAY(AL$14)))="T-Late","T-L",IF(_xlfn.SINGLE(INDEX('[1]ATTENDANCE DAILY'!$I$4:$AM$663,$CC35,DAY(AL$14)))="T-Cutting","T-C",INDEX('[1]ATTENDANCE DAILY'!$I$4:$AM$663,$CC35,DAY(AL$14)))))),IFERROR(IF(_xlpm._r=0,"",_xlpm._r),""))</f>
        <v/>
      </c>
      <c r="AM35" s="55"/>
      <c r="AN35" s="57" t="str">
        <f>_xlfn.LET(_xlpm._r,_xlfn.SINGLE(IF(OR($CC35="",AN$14="",AN$14&lt;_xlfn.SINGLE(INDEX('[1]ATTENDANCE DAILY'!$AV$4:$AV$663,$CC35)),AN$14&gt;_xlfn.SINGLE(INDEX('[1]ATTENDANCE DAILY'!$AW$4:$AW$663,$CC35))),"",IF(_xlfn.SINGLE(INDEX('[1]ATTENDANCE DAILY'!$I$4:$AM$663,$CC35,DAY(AN$14)))="T-Late","T-L",IF(_xlfn.SINGLE(INDEX('[1]ATTENDANCE DAILY'!$I$4:$AM$663,$CC35,DAY(AN$14)))="T-Cutting","T-C",INDEX('[1]ATTENDANCE DAILY'!$I$4:$AM$663,$CC35,DAY(AN$14)))))),IFERROR(IF(_xlpm._r=0,"",_xlpm._r),""))</f>
        <v/>
      </c>
      <c r="AO35" s="86"/>
      <c r="AP35" s="54" t="str">
        <f>_xlfn.LET(_xlpm._r,_xlfn.SINGLE(IF(OR($CC35="",AP$14="",AP$14&lt;_xlfn.SINGLE(INDEX('[1]ATTENDANCE DAILY'!$AV$4:$AV$663,$CC35)),AP$14&gt;_xlfn.SINGLE(INDEX('[1]ATTENDANCE DAILY'!$AW$4:$AW$663,$CC35))),"",IF(_xlfn.SINGLE(INDEX('[1]ATTENDANCE DAILY'!$I$4:$AM$663,$CC35,DAY(AP$14)))="T-Late","T-L",IF(_xlfn.SINGLE(INDEX('[1]ATTENDANCE DAILY'!$I$4:$AM$663,$CC35,DAY(AP$14)))="T-Cutting","T-C",INDEX('[1]ATTENDANCE DAILY'!$I$4:$AM$663,$CC35,DAY(AP$14)))))),IFERROR(IF(_xlpm._r=0,"",_xlpm._r),""))</f>
        <v/>
      </c>
      <c r="AQ35" s="55"/>
      <c r="AR35" s="56" t="str">
        <f>_xlfn.LET(_xlpm._r,_xlfn.SINGLE(IF(OR($CC35="",AR$14="",AR$14&lt;_xlfn.SINGLE(INDEX('[1]ATTENDANCE DAILY'!$AV$4:$AV$663,$CC35)),AR$14&gt;_xlfn.SINGLE(INDEX('[1]ATTENDANCE DAILY'!$AW$4:$AW$663,$CC35))),"",IF(_xlfn.SINGLE(INDEX('[1]ATTENDANCE DAILY'!$I$4:$AM$663,$CC35,DAY(AR$14)))="T-Late","T-L",IF(_xlfn.SINGLE(INDEX('[1]ATTENDANCE DAILY'!$I$4:$AM$663,$CC35,DAY(AR$14)))="T-Cutting","T-C",INDEX('[1]ATTENDANCE DAILY'!$I$4:$AM$663,$CC35,DAY(AR$14)))))),IFERROR(IF(_xlpm._r=0,"",_xlpm._r),""))</f>
        <v/>
      </c>
      <c r="AS35" s="57" t="str">
        <f>_xlfn.LET(_xlpm._r,_xlfn.SINGLE(IF(OR($CC35="",AS$14="",AS$14&lt;_xlfn.SINGLE(INDEX('[1]ATTENDANCE DAILY'!$AV$4:$AV$663,$CC35)),AS$14&gt;_xlfn.SINGLE(INDEX('[1]ATTENDANCE DAILY'!$AW$4:$AW$663,$CC35))),"",IF(_xlfn.SINGLE(INDEX('[1]ATTENDANCE DAILY'!$I$4:$AM$663,$CC35,DAY(AS$14)))="T-Late","T-L",IF(_xlfn.SINGLE(INDEX('[1]ATTENDANCE DAILY'!$I$4:$AM$663,$CC35,DAY(AS$14)))="T-Cutting","T-C",INDEX('[1]ATTENDANCE DAILY'!$I$4:$AM$663,$CC35,DAY(AS$14)))))),IFERROR(IF(_xlpm._r=0,"",_xlpm._r),""))</f>
        <v/>
      </c>
      <c r="AT35" s="55"/>
      <c r="AU35" s="56" t="str">
        <f>_xlfn.LET(_xlpm._r,_xlfn.SINGLE(IF(OR($CC35="",AU$14="",AU$14&lt;_xlfn.SINGLE(INDEX('[1]ATTENDANCE DAILY'!$AV$4:$AV$663,$CC35)),AU$14&gt;_xlfn.SINGLE(INDEX('[1]ATTENDANCE DAILY'!$AW$4:$AW$663,$CC35))),"",IF(_xlfn.SINGLE(INDEX('[1]ATTENDANCE DAILY'!$I$4:$AM$663,$CC35,DAY(AU$14)))="T-Late","T-L",IF(_xlfn.SINGLE(INDEX('[1]ATTENDANCE DAILY'!$I$4:$AM$663,$CC35,DAY(AU$14)))="T-Cutting","T-C",INDEX('[1]ATTENDANCE DAILY'!$I$4:$AM$663,$CC35,DAY(AU$14)))))),IFERROR(IF(_xlpm._r=0,"",_xlpm._r),""))</f>
        <v/>
      </c>
      <c r="AV35" s="87" t="str">
        <f>_xlfn.LET(_xlpm._r,_xlfn.SINGLE(IF(OR($CC35="",AV$14="",AV$14&lt;_xlfn.SINGLE(INDEX('[1]ATTENDANCE DAILY'!$AV$4:$AV$663,$CC35)),AV$14&gt;_xlfn.SINGLE(INDEX('[1]ATTENDANCE DAILY'!$AW$4:$AW$663,$CC35))),"",IF(_xlfn.SINGLE(INDEX('[1]ATTENDANCE DAILY'!$I$4:$AM$663,$CC35,DAY(AV$14)))="T-Late","T-L",IF(_xlfn.SINGLE(INDEX('[1]ATTENDANCE DAILY'!$I$4:$AM$663,$CC35,DAY(AV$14)))="T-Cutting","T-C",INDEX('[1]ATTENDANCE DAILY'!$I$4:$AM$663,$CC35,DAY(AV$14)))))),IFERROR(IF(_xlpm._r=0,"",_xlpm._r),""))</f>
        <v/>
      </c>
      <c r="AW35" s="54" t="str">
        <f>_xlfn.LET(_xlpm._r,_xlfn.SINGLE(IF(OR($CC35="",AW$14="",AW$14&lt;_xlfn.SINGLE(INDEX('[1]ATTENDANCE DAILY'!$AV$4:$AV$663,$CC35)),AW$14&gt;_xlfn.SINGLE(INDEX('[1]ATTENDANCE DAILY'!$AW$4:$AW$663,$CC35))),"",IF(_xlfn.SINGLE(INDEX('[1]ATTENDANCE DAILY'!$I$4:$AM$663,$CC35,DAY(AW$14)))="T-Late","T-L",IF(_xlfn.SINGLE(INDEX('[1]ATTENDANCE DAILY'!$I$4:$AM$663,$CC35,DAY(AW$14)))="T-Cutting","T-C",INDEX('[1]ATTENDANCE DAILY'!$I$4:$AM$663,$CC35,DAY(AW$14)))))),IFERROR(IF(_xlpm._r=0,"",_xlpm._r),""))</f>
        <v/>
      </c>
      <c r="AX35" s="55"/>
      <c r="AY35" s="57" t="str">
        <f>_xlfn.LET(_xlpm._r,_xlfn.SINGLE(IF(OR($CC35="",AY$14="",AY$14&lt;_xlfn.SINGLE(INDEX('[1]ATTENDANCE DAILY'!$AV$4:$AV$663,$CC35)),AY$14&gt;_xlfn.SINGLE(INDEX('[1]ATTENDANCE DAILY'!$AW$4:$AW$663,$CC35))),"",IF(_xlfn.SINGLE(INDEX('[1]ATTENDANCE DAILY'!$I$4:$AM$663,$CC35,DAY(AY$14)))="T-Late","T-L",IF(_xlfn.SINGLE(INDEX('[1]ATTENDANCE DAILY'!$I$4:$AM$663,$CC35,DAY(AY$14)))="T-Cutting","T-C",INDEX('[1]ATTENDANCE DAILY'!$I$4:$AM$663,$CC35,DAY(AY$14)))))),IFERROR(IF(_xlpm._r=0,"",_xlpm._r),""))</f>
        <v/>
      </c>
      <c r="AZ35" s="58"/>
      <c r="BA35" s="55"/>
      <c r="BB35" s="57" t="str">
        <f>_xlfn.LET(_xlpm._r,_xlfn.SINGLE(IF(OR($CC35="",BB$14="",BB$14&lt;_xlfn.SINGLE(INDEX('[1]ATTENDANCE DAILY'!$AV$4:$AV$663,$CC35)),BB$14&gt;_xlfn.SINGLE(INDEX('[1]ATTENDANCE DAILY'!$AW$4:$AW$663,$CC35))),"",IF(_xlfn.SINGLE(INDEX('[1]ATTENDANCE DAILY'!$I$4:$AM$663,$CC35,DAY(BB$14)))="T-Late","T-L",IF(_xlfn.SINGLE(INDEX('[1]ATTENDANCE DAILY'!$I$4:$AM$663,$CC35,DAY(BB$14)))="T-Cutting","T-C",INDEX('[1]ATTENDANCE DAILY'!$I$4:$AM$663,$CC35,DAY(BB$14)))))),IFERROR(IF(_xlpm._r=0,"",_xlpm._r),""))</f>
        <v/>
      </c>
      <c r="BC35" s="55"/>
      <c r="BD35" s="56" t="str">
        <f>_xlfn.LET(_xlpm._r,_xlfn.SINGLE(IF(OR($CC35="",BD$14="",BD$14&lt;_xlfn.SINGLE(INDEX('[1]ATTENDANCE DAILY'!$AV$4:$AV$663,$CC35)),BD$14&gt;_xlfn.SINGLE(INDEX('[1]ATTENDANCE DAILY'!$AW$4:$AW$663,$CC35))),"",IF(_xlfn.SINGLE(INDEX('[1]ATTENDANCE DAILY'!$I$4:$AM$663,$CC35,DAY(BD$14)))="T-Late","T-L",IF(_xlfn.SINGLE(INDEX('[1]ATTENDANCE DAILY'!$I$4:$AM$663,$CC35,DAY(BD$14)))="T-Cutting","T-C",INDEX('[1]ATTENDANCE DAILY'!$I$4:$AM$663,$CC35,DAY(BD$14)))))),IFERROR(IF(_xlpm._r=0,"",_xlpm._r),""))</f>
        <v/>
      </c>
      <c r="BE35" s="57" t="str">
        <f>_xlfn.LET(_xlpm._r,_xlfn.SINGLE(IF(OR($CC35="",BE$14="",BE$14&lt;_xlfn.SINGLE(INDEX('[1]ATTENDANCE DAILY'!$AV$4:$AV$663,$CC35)),BE$14&gt;_xlfn.SINGLE(INDEX('[1]ATTENDANCE DAILY'!$AW$4:$AW$663,$CC35))),"",IF(_xlfn.SINGLE(INDEX('[1]ATTENDANCE DAILY'!$I$4:$AM$663,$CC35,DAY(BE$14)))="T-Late","T-L",IF(_xlfn.SINGLE(INDEX('[1]ATTENDANCE DAILY'!$I$4:$AM$663,$CC35,DAY(BE$14)))="T-Cutting","T-C",INDEX('[1]ATTENDANCE DAILY'!$I$4:$AM$663,$CC35,DAY(BE$14)))))),IFERROR(IF(_xlpm._r=0,"",_xlpm._r),""))</f>
        <v/>
      </c>
      <c r="BF35" s="58"/>
      <c r="BG35" s="58"/>
      <c r="BH35" s="86"/>
      <c r="BI35" s="88" t="str">
        <f>IF($CC35="","",INDEX('[1]ATTENDANCE DAILY'!$AR$4:$AR$663,$CC35))</f>
        <v/>
      </c>
      <c r="BJ35" s="89"/>
      <c r="BK35" s="90"/>
      <c r="BL35" s="88" t="str">
        <f>IF($CC35="","",INDEX('[1]ATTENDANCE DAILY'!$AS$4:$AS$663,$CC35))</f>
        <v/>
      </c>
      <c r="BM35" s="89"/>
      <c r="BN35" s="89"/>
      <c r="BO35" s="90"/>
      <c r="BP35" s="91" t="str">
        <f>IF($CC35="","",IF(INDEX('[1]ATTENDANCE DAILY'!$AN$4:$AN$663,$CC35)="","",INDEX('[1]ATTENDANCE DAILY'!$AN$4:$AN$663,$CC35)&amp;IF(INDEX('[1]ATTENDANCE DAILY'!$AO$4:$AO$663,$CC35)="",""," ("&amp;TEXT(INDEX('[1]ATTENDANCE DAILY'!$AO$4:$AO$663,$CC35),"mm-dd-yyyy")&amp;")")&amp;IF(INDEX('[1]ATTENDANCE DAILY'!$AP$4:$AP$663,$CC35)="",""," - "&amp;INDEX('[1]ATTENDANCE DAILY'!$AP$4:$AP$663,$CC35))))</f>
        <v/>
      </c>
      <c r="BQ35" s="89"/>
      <c r="BR35" s="89"/>
      <c r="BS35" s="89"/>
      <c r="BT35" s="89"/>
      <c r="BU35" s="89"/>
      <c r="BV35" s="89"/>
      <c r="BW35" s="89"/>
      <c r="BX35" s="89"/>
      <c r="BY35" s="89"/>
      <c r="BZ35" s="89"/>
      <c r="CA35" s="90"/>
      <c r="CC35" t="str">
        <f>IF(COUNTIFS('[1]ATTENDANCE DAILY'!$C$4:$C$663,$BN$11,'[1]ATTENDANCE DAILY'!$F$4:$F$663,"Male",'[1]ATTENDANCE DAILY'!$G$4:$G$663,1,'[1]ATTENDANCE DAILY'!$BA$4:$BA$663,18)=0,"",SUMIFS('[1]ATTENDANCE DAILY'!$A$4:$A$663,'[1]ATTENDANCE DAILY'!$C$4:$C$663,$BN$11,'[1]ATTENDANCE DAILY'!$F$4:$F$663,"Male",'[1]ATTENDANCE DAILY'!$G$4:$G$663,1,'[1]ATTENDANCE DAILY'!$BA$4:$BA$663,18))</f>
        <v/>
      </c>
    </row>
    <row r="36" spans="1:81" ht="19.95" customHeight="1">
      <c r="A36" s="80">
        <v>19</v>
      </c>
      <c r="B36" s="81"/>
      <c r="C36" s="81"/>
      <c r="D36" s="81"/>
      <c r="E36" s="81"/>
      <c r="F36" s="82"/>
      <c r="G36" s="83" t="str">
        <f>IF($CC36="","",INDEX('[1]ATTENDANCE DAILY'!$E$4:$E$663,$CC36))</f>
        <v/>
      </c>
      <c r="H36" s="84"/>
      <c r="I36" s="84"/>
      <c r="J36" s="85"/>
      <c r="K36" s="54" t="str">
        <f>_xlfn.LET(_xlpm._r,_xlfn.SINGLE(IF(OR($CC36="",K$14="",K$14&lt;_xlfn.SINGLE(INDEX('[1]ATTENDANCE DAILY'!$AV$4:$AV$663,$CC36)),K$14&gt;_xlfn.SINGLE(INDEX('[1]ATTENDANCE DAILY'!$AW$4:$AW$663,$CC36))),"",IF(_xlfn.SINGLE(INDEX('[1]ATTENDANCE DAILY'!$I$4:$AM$663,$CC36,DAY(K$14)))="T-Late","T-L",IF(_xlfn.SINGLE(INDEX('[1]ATTENDANCE DAILY'!$I$4:$AM$663,$CC36,DAY(K$14)))="T-Cutting","T-C",INDEX('[1]ATTENDANCE DAILY'!$I$4:$AM$663,$CC36,DAY(K$14)))))),IFERROR(IF(_xlpm._r=0,"",_xlpm._r),""))</f>
        <v/>
      </c>
      <c r="L36" s="55"/>
      <c r="M36" s="56" t="str">
        <f>_xlfn.LET(_xlpm._r,_xlfn.SINGLE(IF(OR($CC36="",M$14="",M$14&lt;_xlfn.SINGLE(INDEX('[1]ATTENDANCE DAILY'!$AV$4:$AV$663,$CC36)),M$14&gt;_xlfn.SINGLE(INDEX('[1]ATTENDANCE DAILY'!$AW$4:$AW$663,$CC36))),"",IF(_xlfn.SINGLE(INDEX('[1]ATTENDANCE DAILY'!$I$4:$AM$663,$CC36,DAY(M$14)))="T-Late","T-L",IF(_xlfn.SINGLE(INDEX('[1]ATTENDANCE DAILY'!$I$4:$AM$663,$CC36,DAY(M$14)))="T-Cutting","T-C",INDEX('[1]ATTENDANCE DAILY'!$I$4:$AM$663,$CC36,DAY(M$14)))))),IFERROR(IF(_xlpm._r=0,"",_xlpm._r),""))</f>
        <v/>
      </c>
      <c r="N36" s="56" t="str">
        <f>_xlfn.LET(_xlpm._r,_xlfn.SINGLE(IF(OR($CC36="",N$14="",N$14&lt;_xlfn.SINGLE(INDEX('[1]ATTENDANCE DAILY'!$AV$4:$AV$663,$CC36)),N$14&gt;_xlfn.SINGLE(INDEX('[1]ATTENDANCE DAILY'!$AW$4:$AW$663,$CC36))),"",IF(_xlfn.SINGLE(INDEX('[1]ATTENDANCE DAILY'!$I$4:$AM$663,$CC36,DAY(N$14)))="T-Late","T-L",IF(_xlfn.SINGLE(INDEX('[1]ATTENDANCE DAILY'!$I$4:$AM$663,$CC36,DAY(N$14)))="T-Cutting","T-C",INDEX('[1]ATTENDANCE DAILY'!$I$4:$AM$663,$CC36,DAY(N$14)))))),IFERROR(IF(_xlpm._r=0,"",_xlpm._r),""))</f>
        <v/>
      </c>
      <c r="O36" s="57" t="str">
        <f>_xlfn.LET(_xlpm._r,_xlfn.SINGLE(IF(OR($CC36="",O$14="",O$14&lt;_xlfn.SINGLE(INDEX('[1]ATTENDANCE DAILY'!$AV$4:$AV$663,$CC36)),O$14&gt;_xlfn.SINGLE(INDEX('[1]ATTENDANCE DAILY'!$AW$4:$AW$663,$CC36))),"",IF(_xlfn.SINGLE(INDEX('[1]ATTENDANCE DAILY'!$I$4:$AM$663,$CC36,DAY(O$14)))="T-Late","T-L",IF(_xlfn.SINGLE(INDEX('[1]ATTENDANCE DAILY'!$I$4:$AM$663,$CC36,DAY(O$14)))="T-Cutting","T-C",INDEX('[1]ATTENDANCE DAILY'!$I$4:$AM$663,$CC36,DAY(O$14)))))),IFERROR(IF(_xlpm._r=0,"",_xlpm._r),""))</f>
        <v/>
      </c>
      <c r="P36" s="58"/>
      <c r="Q36" s="58"/>
      <c r="R36" s="55"/>
      <c r="S36" s="57" t="str">
        <f>_xlfn.LET(_xlpm._r,_xlfn.SINGLE(IF(OR($CC36="",S$14="",S$14&lt;_xlfn.SINGLE(INDEX('[1]ATTENDANCE DAILY'!$AV$4:$AV$663,$CC36)),S$14&gt;_xlfn.SINGLE(INDEX('[1]ATTENDANCE DAILY'!$AW$4:$AW$663,$CC36))),"",IF(_xlfn.SINGLE(INDEX('[1]ATTENDANCE DAILY'!$I$4:$AM$663,$CC36,DAY(S$14)))="T-Late","T-L",IF(_xlfn.SINGLE(INDEX('[1]ATTENDANCE DAILY'!$I$4:$AM$663,$CC36,DAY(S$14)))="T-Cutting","T-C",INDEX('[1]ATTENDANCE DAILY'!$I$4:$AM$663,$CC36,DAY(S$14)))))),IFERROR(IF(_xlpm._r=0,"",_xlpm._r),""))</f>
        <v/>
      </c>
      <c r="T36" s="58"/>
      <c r="U36" s="86"/>
      <c r="V36" s="59" t="str">
        <f>_xlfn.LET(_xlpm._r,_xlfn.SINGLE(IF(OR($CC36="",V$14="",V$14&lt;_xlfn.SINGLE(INDEX('[1]ATTENDANCE DAILY'!$AV$4:$AV$663,$CC36)),V$14&gt;_xlfn.SINGLE(INDEX('[1]ATTENDANCE DAILY'!$AW$4:$AW$663,$CC36))),"",IF(_xlfn.SINGLE(INDEX('[1]ATTENDANCE DAILY'!$I$4:$AM$663,$CC36,DAY(V$14)))="T-Late","T-L",IF(_xlfn.SINGLE(INDEX('[1]ATTENDANCE DAILY'!$I$4:$AM$663,$CC36,DAY(V$14)))="T-Cutting","T-C",INDEX('[1]ATTENDANCE DAILY'!$I$4:$AM$663,$CC36,DAY(V$14)))))),IFERROR(IF(_xlpm._r=0,"",_xlpm._r),""))</f>
        <v/>
      </c>
      <c r="W36" s="57" t="str">
        <f>_xlfn.LET(_xlpm._r,_xlfn.SINGLE(IF(OR($CC36="",W$14="",W$14&lt;_xlfn.SINGLE(INDEX('[1]ATTENDANCE DAILY'!$AV$4:$AV$663,$CC36)),W$14&gt;_xlfn.SINGLE(INDEX('[1]ATTENDANCE DAILY'!$AW$4:$AW$663,$CC36))),"",IF(_xlfn.SINGLE(INDEX('[1]ATTENDANCE DAILY'!$I$4:$AM$663,$CC36,DAY(W$14)))="T-Late","T-L",IF(_xlfn.SINGLE(INDEX('[1]ATTENDANCE DAILY'!$I$4:$AM$663,$CC36,DAY(W$14)))="T-Cutting","T-C",INDEX('[1]ATTENDANCE DAILY'!$I$4:$AM$663,$CC36,DAY(W$14)))))),IFERROR(IF(_xlpm._r=0,"",_xlpm._r),""))</f>
        <v/>
      </c>
      <c r="X36" s="58"/>
      <c r="Y36" s="55"/>
      <c r="Z36" s="56" t="str">
        <f>_xlfn.LET(_xlpm._r,_xlfn.SINGLE(IF(OR($CC36="",Z$14="",Z$14&lt;_xlfn.SINGLE(INDEX('[1]ATTENDANCE DAILY'!$AV$4:$AV$663,$CC36)),Z$14&gt;_xlfn.SINGLE(INDEX('[1]ATTENDANCE DAILY'!$AW$4:$AW$663,$CC36))),"",IF(_xlfn.SINGLE(INDEX('[1]ATTENDANCE DAILY'!$I$4:$AM$663,$CC36,DAY(Z$14)))="T-Late","T-L",IF(_xlfn.SINGLE(INDEX('[1]ATTENDANCE DAILY'!$I$4:$AM$663,$CC36,DAY(Z$14)))="T-Cutting","T-C",INDEX('[1]ATTENDANCE DAILY'!$I$4:$AM$663,$CC36,DAY(Z$14)))))),IFERROR(IF(_xlpm._r=0,"",_xlpm._r),""))</f>
        <v/>
      </c>
      <c r="AA36" s="56" t="str">
        <f>_xlfn.LET(_xlpm._r,_xlfn.SINGLE(IF(OR($CC36="",AA$14="",AA$14&lt;_xlfn.SINGLE(INDEX('[1]ATTENDANCE DAILY'!$AV$4:$AV$663,$CC36)),AA$14&gt;_xlfn.SINGLE(INDEX('[1]ATTENDANCE DAILY'!$AW$4:$AW$663,$CC36))),"",IF(_xlfn.SINGLE(INDEX('[1]ATTENDANCE DAILY'!$I$4:$AM$663,$CC36,DAY(AA$14)))="T-Late","T-L",IF(_xlfn.SINGLE(INDEX('[1]ATTENDANCE DAILY'!$I$4:$AM$663,$CC36,DAY(AA$14)))="T-Cutting","T-C",INDEX('[1]ATTENDANCE DAILY'!$I$4:$AM$663,$CC36,DAY(AA$14)))))),IFERROR(IF(_xlpm._r=0,"",_xlpm._r),""))</f>
        <v/>
      </c>
      <c r="AB36" s="57" t="str">
        <f>_xlfn.LET(_xlpm._r,_xlfn.SINGLE(IF(OR($CC36="",AB$14="",AB$14&lt;_xlfn.SINGLE(INDEX('[1]ATTENDANCE DAILY'!$AV$4:$AV$663,$CC36)),AB$14&gt;_xlfn.SINGLE(INDEX('[1]ATTENDANCE DAILY'!$AW$4:$AW$663,$CC36))),"",IF(_xlfn.SINGLE(INDEX('[1]ATTENDANCE DAILY'!$I$4:$AM$663,$CC36,DAY(AB$14)))="T-Late","T-L",IF(_xlfn.SINGLE(INDEX('[1]ATTENDANCE DAILY'!$I$4:$AM$663,$CC36,DAY(AB$14)))="T-Cutting","T-C",INDEX('[1]ATTENDANCE DAILY'!$I$4:$AM$663,$CC36,DAY(AB$14)))))),IFERROR(IF(_xlpm._r=0,"",_xlpm._r),""))</f>
        <v/>
      </c>
      <c r="AC36" s="58"/>
      <c r="AD36" s="86"/>
      <c r="AE36" s="54" t="str">
        <f>_xlfn.LET(_xlpm._r,_xlfn.SINGLE(IF(OR($CC36="",AE$14="",AE$14&lt;_xlfn.SINGLE(INDEX('[1]ATTENDANCE DAILY'!$AV$4:$AV$663,$CC36)),AE$14&gt;_xlfn.SINGLE(INDEX('[1]ATTENDANCE DAILY'!$AW$4:$AW$663,$CC36))),"",IF(_xlfn.SINGLE(INDEX('[1]ATTENDANCE DAILY'!$I$4:$AM$663,$CC36,DAY(AE$14)))="T-Late","T-L",IF(_xlfn.SINGLE(INDEX('[1]ATTENDANCE DAILY'!$I$4:$AM$663,$CC36,DAY(AE$14)))="T-Cutting","T-C",INDEX('[1]ATTENDANCE DAILY'!$I$4:$AM$663,$CC36,DAY(AE$14)))))),IFERROR(IF(_xlpm._r=0,"",_xlpm._r),""))</f>
        <v/>
      </c>
      <c r="AF36" s="58"/>
      <c r="AG36" s="55"/>
      <c r="AH36" s="56" t="str">
        <f>_xlfn.LET(_xlpm._r,_xlfn.SINGLE(IF(OR($CC36="",AH$14="",AH$14&lt;_xlfn.SINGLE(INDEX('[1]ATTENDANCE DAILY'!$AV$4:$AV$663,$CC36)),AH$14&gt;_xlfn.SINGLE(INDEX('[1]ATTENDANCE DAILY'!$AW$4:$AW$663,$CC36))),"",IF(_xlfn.SINGLE(INDEX('[1]ATTENDANCE DAILY'!$I$4:$AM$663,$CC36,DAY(AH$14)))="T-Late","T-L",IF(_xlfn.SINGLE(INDEX('[1]ATTENDANCE DAILY'!$I$4:$AM$663,$CC36,DAY(AH$14)))="T-Cutting","T-C",INDEX('[1]ATTENDANCE DAILY'!$I$4:$AM$663,$CC36,DAY(AH$14)))))),IFERROR(IF(_xlpm._r=0,"",_xlpm._r),""))</f>
        <v/>
      </c>
      <c r="AI36" s="57" t="str">
        <f>_xlfn.LET(_xlpm._r,_xlfn.SINGLE(IF(OR($CC36="",AI$14="",AI$14&lt;_xlfn.SINGLE(INDEX('[1]ATTENDANCE DAILY'!$AV$4:$AV$663,$CC36)),AI$14&gt;_xlfn.SINGLE(INDEX('[1]ATTENDANCE DAILY'!$AW$4:$AW$663,$CC36))),"",IF(_xlfn.SINGLE(INDEX('[1]ATTENDANCE DAILY'!$I$4:$AM$663,$CC36,DAY(AI$14)))="T-Late","T-L",IF(_xlfn.SINGLE(INDEX('[1]ATTENDANCE DAILY'!$I$4:$AM$663,$CC36,DAY(AI$14)))="T-Cutting","T-C",INDEX('[1]ATTENDANCE DAILY'!$I$4:$AM$663,$CC36,DAY(AI$14)))))),IFERROR(IF(_xlpm._r=0,"",_xlpm._r),""))</f>
        <v/>
      </c>
      <c r="AJ36" s="58"/>
      <c r="AK36" s="55"/>
      <c r="AL36" s="57" t="str">
        <f>_xlfn.LET(_xlpm._r,_xlfn.SINGLE(IF(OR($CC36="",AL$14="",AL$14&lt;_xlfn.SINGLE(INDEX('[1]ATTENDANCE DAILY'!$AV$4:$AV$663,$CC36)),AL$14&gt;_xlfn.SINGLE(INDEX('[1]ATTENDANCE DAILY'!$AW$4:$AW$663,$CC36))),"",IF(_xlfn.SINGLE(INDEX('[1]ATTENDANCE DAILY'!$I$4:$AM$663,$CC36,DAY(AL$14)))="T-Late","T-L",IF(_xlfn.SINGLE(INDEX('[1]ATTENDANCE DAILY'!$I$4:$AM$663,$CC36,DAY(AL$14)))="T-Cutting","T-C",INDEX('[1]ATTENDANCE DAILY'!$I$4:$AM$663,$CC36,DAY(AL$14)))))),IFERROR(IF(_xlpm._r=0,"",_xlpm._r),""))</f>
        <v/>
      </c>
      <c r="AM36" s="55"/>
      <c r="AN36" s="57" t="str">
        <f>_xlfn.LET(_xlpm._r,_xlfn.SINGLE(IF(OR($CC36="",AN$14="",AN$14&lt;_xlfn.SINGLE(INDEX('[1]ATTENDANCE DAILY'!$AV$4:$AV$663,$CC36)),AN$14&gt;_xlfn.SINGLE(INDEX('[1]ATTENDANCE DAILY'!$AW$4:$AW$663,$CC36))),"",IF(_xlfn.SINGLE(INDEX('[1]ATTENDANCE DAILY'!$I$4:$AM$663,$CC36,DAY(AN$14)))="T-Late","T-L",IF(_xlfn.SINGLE(INDEX('[1]ATTENDANCE DAILY'!$I$4:$AM$663,$CC36,DAY(AN$14)))="T-Cutting","T-C",INDEX('[1]ATTENDANCE DAILY'!$I$4:$AM$663,$CC36,DAY(AN$14)))))),IFERROR(IF(_xlpm._r=0,"",_xlpm._r),""))</f>
        <v/>
      </c>
      <c r="AO36" s="86"/>
      <c r="AP36" s="54" t="str">
        <f>_xlfn.LET(_xlpm._r,_xlfn.SINGLE(IF(OR($CC36="",AP$14="",AP$14&lt;_xlfn.SINGLE(INDEX('[1]ATTENDANCE DAILY'!$AV$4:$AV$663,$CC36)),AP$14&gt;_xlfn.SINGLE(INDEX('[1]ATTENDANCE DAILY'!$AW$4:$AW$663,$CC36))),"",IF(_xlfn.SINGLE(INDEX('[1]ATTENDANCE DAILY'!$I$4:$AM$663,$CC36,DAY(AP$14)))="T-Late","T-L",IF(_xlfn.SINGLE(INDEX('[1]ATTENDANCE DAILY'!$I$4:$AM$663,$CC36,DAY(AP$14)))="T-Cutting","T-C",INDEX('[1]ATTENDANCE DAILY'!$I$4:$AM$663,$CC36,DAY(AP$14)))))),IFERROR(IF(_xlpm._r=0,"",_xlpm._r),""))</f>
        <v/>
      </c>
      <c r="AQ36" s="55"/>
      <c r="AR36" s="56" t="str">
        <f>_xlfn.LET(_xlpm._r,_xlfn.SINGLE(IF(OR($CC36="",AR$14="",AR$14&lt;_xlfn.SINGLE(INDEX('[1]ATTENDANCE DAILY'!$AV$4:$AV$663,$CC36)),AR$14&gt;_xlfn.SINGLE(INDEX('[1]ATTENDANCE DAILY'!$AW$4:$AW$663,$CC36))),"",IF(_xlfn.SINGLE(INDEX('[1]ATTENDANCE DAILY'!$I$4:$AM$663,$CC36,DAY(AR$14)))="T-Late","T-L",IF(_xlfn.SINGLE(INDEX('[1]ATTENDANCE DAILY'!$I$4:$AM$663,$CC36,DAY(AR$14)))="T-Cutting","T-C",INDEX('[1]ATTENDANCE DAILY'!$I$4:$AM$663,$CC36,DAY(AR$14)))))),IFERROR(IF(_xlpm._r=0,"",_xlpm._r),""))</f>
        <v/>
      </c>
      <c r="AS36" s="57" t="str">
        <f>_xlfn.LET(_xlpm._r,_xlfn.SINGLE(IF(OR($CC36="",AS$14="",AS$14&lt;_xlfn.SINGLE(INDEX('[1]ATTENDANCE DAILY'!$AV$4:$AV$663,$CC36)),AS$14&gt;_xlfn.SINGLE(INDEX('[1]ATTENDANCE DAILY'!$AW$4:$AW$663,$CC36))),"",IF(_xlfn.SINGLE(INDEX('[1]ATTENDANCE DAILY'!$I$4:$AM$663,$CC36,DAY(AS$14)))="T-Late","T-L",IF(_xlfn.SINGLE(INDEX('[1]ATTENDANCE DAILY'!$I$4:$AM$663,$CC36,DAY(AS$14)))="T-Cutting","T-C",INDEX('[1]ATTENDANCE DAILY'!$I$4:$AM$663,$CC36,DAY(AS$14)))))),IFERROR(IF(_xlpm._r=0,"",_xlpm._r),""))</f>
        <v/>
      </c>
      <c r="AT36" s="55"/>
      <c r="AU36" s="56" t="str">
        <f>_xlfn.LET(_xlpm._r,_xlfn.SINGLE(IF(OR($CC36="",AU$14="",AU$14&lt;_xlfn.SINGLE(INDEX('[1]ATTENDANCE DAILY'!$AV$4:$AV$663,$CC36)),AU$14&gt;_xlfn.SINGLE(INDEX('[1]ATTENDANCE DAILY'!$AW$4:$AW$663,$CC36))),"",IF(_xlfn.SINGLE(INDEX('[1]ATTENDANCE DAILY'!$I$4:$AM$663,$CC36,DAY(AU$14)))="T-Late","T-L",IF(_xlfn.SINGLE(INDEX('[1]ATTENDANCE DAILY'!$I$4:$AM$663,$CC36,DAY(AU$14)))="T-Cutting","T-C",INDEX('[1]ATTENDANCE DAILY'!$I$4:$AM$663,$CC36,DAY(AU$14)))))),IFERROR(IF(_xlpm._r=0,"",_xlpm._r),""))</f>
        <v/>
      </c>
      <c r="AV36" s="87" t="str">
        <f>_xlfn.LET(_xlpm._r,_xlfn.SINGLE(IF(OR($CC36="",AV$14="",AV$14&lt;_xlfn.SINGLE(INDEX('[1]ATTENDANCE DAILY'!$AV$4:$AV$663,$CC36)),AV$14&gt;_xlfn.SINGLE(INDEX('[1]ATTENDANCE DAILY'!$AW$4:$AW$663,$CC36))),"",IF(_xlfn.SINGLE(INDEX('[1]ATTENDANCE DAILY'!$I$4:$AM$663,$CC36,DAY(AV$14)))="T-Late","T-L",IF(_xlfn.SINGLE(INDEX('[1]ATTENDANCE DAILY'!$I$4:$AM$663,$CC36,DAY(AV$14)))="T-Cutting","T-C",INDEX('[1]ATTENDANCE DAILY'!$I$4:$AM$663,$CC36,DAY(AV$14)))))),IFERROR(IF(_xlpm._r=0,"",_xlpm._r),""))</f>
        <v/>
      </c>
      <c r="AW36" s="54" t="str">
        <f>_xlfn.LET(_xlpm._r,_xlfn.SINGLE(IF(OR($CC36="",AW$14="",AW$14&lt;_xlfn.SINGLE(INDEX('[1]ATTENDANCE DAILY'!$AV$4:$AV$663,$CC36)),AW$14&gt;_xlfn.SINGLE(INDEX('[1]ATTENDANCE DAILY'!$AW$4:$AW$663,$CC36))),"",IF(_xlfn.SINGLE(INDEX('[1]ATTENDANCE DAILY'!$I$4:$AM$663,$CC36,DAY(AW$14)))="T-Late","T-L",IF(_xlfn.SINGLE(INDEX('[1]ATTENDANCE DAILY'!$I$4:$AM$663,$CC36,DAY(AW$14)))="T-Cutting","T-C",INDEX('[1]ATTENDANCE DAILY'!$I$4:$AM$663,$CC36,DAY(AW$14)))))),IFERROR(IF(_xlpm._r=0,"",_xlpm._r),""))</f>
        <v/>
      </c>
      <c r="AX36" s="55"/>
      <c r="AY36" s="57" t="str">
        <f>_xlfn.LET(_xlpm._r,_xlfn.SINGLE(IF(OR($CC36="",AY$14="",AY$14&lt;_xlfn.SINGLE(INDEX('[1]ATTENDANCE DAILY'!$AV$4:$AV$663,$CC36)),AY$14&gt;_xlfn.SINGLE(INDEX('[1]ATTENDANCE DAILY'!$AW$4:$AW$663,$CC36))),"",IF(_xlfn.SINGLE(INDEX('[1]ATTENDANCE DAILY'!$I$4:$AM$663,$CC36,DAY(AY$14)))="T-Late","T-L",IF(_xlfn.SINGLE(INDEX('[1]ATTENDANCE DAILY'!$I$4:$AM$663,$CC36,DAY(AY$14)))="T-Cutting","T-C",INDEX('[1]ATTENDANCE DAILY'!$I$4:$AM$663,$CC36,DAY(AY$14)))))),IFERROR(IF(_xlpm._r=0,"",_xlpm._r),""))</f>
        <v/>
      </c>
      <c r="AZ36" s="58"/>
      <c r="BA36" s="55"/>
      <c r="BB36" s="57" t="str">
        <f>_xlfn.LET(_xlpm._r,_xlfn.SINGLE(IF(OR($CC36="",BB$14="",BB$14&lt;_xlfn.SINGLE(INDEX('[1]ATTENDANCE DAILY'!$AV$4:$AV$663,$CC36)),BB$14&gt;_xlfn.SINGLE(INDEX('[1]ATTENDANCE DAILY'!$AW$4:$AW$663,$CC36))),"",IF(_xlfn.SINGLE(INDEX('[1]ATTENDANCE DAILY'!$I$4:$AM$663,$CC36,DAY(BB$14)))="T-Late","T-L",IF(_xlfn.SINGLE(INDEX('[1]ATTENDANCE DAILY'!$I$4:$AM$663,$CC36,DAY(BB$14)))="T-Cutting","T-C",INDEX('[1]ATTENDANCE DAILY'!$I$4:$AM$663,$CC36,DAY(BB$14)))))),IFERROR(IF(_xlpm._r=0,"",_xlpm._r),""))</f>
        <v/>
      </c>
      <c r="BC36" s="55"/>
      <c r="BD36" s="56" t="str">
        <f>_xlfn.LET(_xlpm._r,_xlfn.SINGLE(IF(OR($CC36="",BD$14="",BD$14&lt;_xlfn.SINGLE(INDEX('[1]ATTENDANCE DAILY'!$AV$4:$AV$663,$CC36)),BD$14&gt;_xlfn.SINGLE(INDEX('[1]ATTENDANCE DAILY'!$AW$4:$AW$663,$CC36))),"",IF(_xlfn.SINGLE(INDEX('[1]ATTENDANCE DAILY'!$I$4:$AM$663,$CC36,DAY(BD$14)))="T-Late","T-L",IF(_xlfn.SINGLE(INDEX('[1]ATTENDANCE DAILY'!$I$4:$AM$663,$CC36,DAY(BD$14)))="T-Cutting","T-C",INDEX('[1]ATTENDANCE DAILY'!$I$4:$AM$663,$CC36,DAY(BD$14)))))),IFERROR(IF(_xlpm._r=0,"",_xlpm._r),""))</f>
        <v/>
      </c>
      <c r="BE36" s="57" t="str">
        <f>_xlfn.LET(_xlpm._r,_xlfn.SINGLE(IF(OR($CC36="",BE$14="",BE$14&lt;_xlfn.SINGLE(INDEX('[1]ATTENDANCE DAILY'!$AV$4:$AV$663,$CC36)),BE$14&gt;_xlfn.SINGLE(INDEX('[1]ATTENDANCE DAILY'!$AW$4:$AW$663,$CC36))),"",IF(_xlfn.SINGLE(INDEX('[1]ATTENDANCE DAILY'!$I$4:$AM$663,$CC36,DAY(BE$14)))="T-Late","T-L",IF(_xlfn.SINGLE(INDEX('[1]ATTENDANCE DAILY'!$I$4:$AM$663,$CC36,DAY(BE$14)))="T-Cutting","T-C",INDEX('[1]ATTENDANCE DAILY'!$I$4:$AM$663,$CC36,DAY(BE$14)))))),IFERROR(IF(_xlpm._r=0,"",_xlpm._r),""))</f>
        <v/>
      </c>
      <c r="BF36" s="58"/>
      <c r="BG36" s="58"/>
      <c r="BH36" s="86"/>
      <c r="BI36" s="88" t="str">
        <f>IF($CC36="","",INDEX('[1]ATTENDANCE DAILY'!$AR$4:$AR$663,$CC36))</f>
        <v/>
      </c>
      <c r="BJ36" s="89"/>
      <c r="BK36" s="90"/>
      <c r="BL36" s="88" t="str">
        <f>IF($CC36="","",INDEX('[1]ATTENDANCE DAILY'!$AS$4:$AS$663,$CC36))</f>
        <v/>
      </c>
      <c r="BM36" s="89"/>
      <c r="BN36" s="89"/>
      <c r="BO36" s="90"/>
      <c r="BP36" s="91" t="str">
        <f>IF($CC36="","",IF(INDEX('[1]ATTENDANCE DAILY'!$AN$4:$AN$663,$CC36)="","",INDEX('[1]ATTENDANCE DAILY'!$AN$4:$AN$663,$CC36)&amp;IF(INDEX('[1]ATTENDANCE DAILY'!$AO$4:$AO$663,$CC36)="",""," ("&amp;TEXT(INDEX('[1]ATTENDANCE DAILY'!$AO$4:$AO$663,$CC36),"mm-dd-yyyy")&amp;")")&amp;IF(INDEX('[1]ATTENDANCE DAILY'!$AP$4:$AP$663,$CC36)="",""," - "&amp;INDEX('[1]ATTENDANCE DAILY'!$AP$4:$AP$663,$CC36))))</f>
        <v/>
      </c>
      <c r="BQ36" s="89"/>
      <c r="BR36" s="89"/>
      <c r="BS36" s="89"/>
      <c r="BT36" s="89"/>
      <c r="BU36" s="89"/>
      <c r="BV36" s="89"/>
      <c r="BW36" s="89"/>
      <c r="BX36" s="89"/>
      <c r="BY36" s="89"/>
      <c r="BZ36" s="89"/>
      <c r="CA36" s="90"/>
      <c r="CC36" t="str">
        <f>IF(COUNTIFS('[1]ATTENDANCE DAILY'!$C$4:$C$663,$BN$11,'[1]ATTENDANCE DAILY'!$F$4:$F$663,"Male",'[1]ATTENDANCE DAILY'!$G$4:$G$663,1,'[1]ATTENDANCE DAILY'!$BA$4:$BA$663,19)=0,"",SUMIFS('[1]ATTENDANCE DAILY'!$A$4:$A$663,'[1]ATTENDANCE DAILY'!$C$4:$C$663,$BN$11,'[1]ATTENDANCE DAILY'!$F$4:$F$663,"Male",'[1]ATTENDANCE DAILY'!$G$4:$G$663,1,'[1]ATTENDANCE DAILY'!$BA$4:$BA$663,19))</f>
        <v/>
      </c>
    </row>
    <row r="37" spans="1:81" ht="19.95" customHeight="1">
      <c r="A37" s="80">
        <v>20</v>
      </c>
      <c r="B37" s="81"/>
      <c r="C37" s="81"/>
      <c r="D37" s="81"/>
      <c r="E37" s="81"/>
      <c r="F37" s="82"/>
      <c r="G37" s="83" t="str">
        <f>IF($CC37="","",INDEX('[1]ATTENDANCE DAILY'!$E$4:$E$663,$CC37))</f>
        <v/>
      </c>
      <c r="H37" s="84"/>
      <c r="I37" s="84"/>
      <c r="J37" s="85"/>
      <c r="K37" s="54" t="str">
        <f>_xlfn.LET(_xlpm._r,_xlfn.SINGLE(IF(OR($CC37="",K$14="",K$14&lt;_xlfn.SINGLE(INDEX('[1]ATTENDANCE DAILY'!$AV$4:$AV$663,$CC37)),K$14&gt;_xlfn.SINGLE(INDEX('[1]ATTENDANCE DAILY'!$AW$4:$AW$663,$CC37))),"",IF(_xlfn.SINGLE(INDEX('[1]ATTENDANCE DAILY'!$I$4:$AM$663,$CC37,DAY(K$14)))="T-Late","T-L",IF(_xlfn.SINGLE(INDEX('[1]ATTENDANCE DAILY'!$I$4:$AM$663,$CC37,DAY(K$14)))="T-Cutting","T-C",INDEX('[1]ATTENDANCE DAILY'!$I$4:$AM$663,$CC37,DAY(K$14)))))),IFERROR(IF(_xlpm._r=0,"",_xlpm._r),""))</f>
        <v/>
      </c>
      <c r="L37" s="55"/>
      <c r="M37" s="56" t="str">
        <f>_xlfn.LET(_xlpm._r,_xlfn.SINGLE(IF(OR($CC37="",M$14="",M$14&lt;_xlfn.SINGLE(INDEX('[1]ATTENDANCE DAILY'!$AV$4:$AV$663,$CC37)),M$14&gt;_xlfn.SINGLE(INDEX('[1]ATTENDANCE DAILY'!$AW$4:$AW$663,$CC37))),"",IF(_xlfn.SINGLE(INDEX('[1]ATTENDANCE DAILY'!$I$4:$AM$663,$CC37,DAY(M$14)))="T-Late","T-L",IF(_xlfn.SINGLE(INDEX('[1]ATTENDANCE DAILY'!$I$4:$AM$663,$CC37,DAY(M$14)))="T-Cutting","T-C",INDEX('[1]ATTENDANCE DAILY'!$I$4:$AM$663,$CC37,DAY(M$14)))))),IFERROR(IF(_xlpm._r=0,"",_xlpm._r),""))</f>
        <v/>
      </c>
      <c r="N37" s="56" t="str">
        <f>_xlfn.LET(_xlpm._r,_xlfn.SINGLE(IF(OR($CC37="",N$14="",N$14&lt;_xlfn.SINGLE(INDEX('[1]ATTENDANCE DAILY'!$AV$4:$AV$663,$CC37)),N$14&gt;_xlfn.SINGLE(INDEX('[1]ATTENDANCE DAILY'!$AW$4:$AW$663,$CC37))),"",IF(_xlfn.SINGLE(INDEX('[1]ATTENDANCE DAILY'!$I$4:$AM$663,$CC37,DAY(N$14)))="T-Late","T-L",IF(_xlfn.SINGLE(INDEX('[1]ATTENDANCE DAILY'!$I$4:$AM$663,$CC37,DAY(N$14)))="T-Cutting","T-C",INDEX('[1]ATTENDANCE DAILY'!$I$4:$AM$663,$CC37,DAY(N$14)))))),IFERROR(IF(_xlpm._r=0,"",_xlpm._r),""))</f>
        <v/>
      </c>
      <c r="O37" s="57" t="str">
        <f>_xlfn.LET(_xlpm._r,_xlfn.SINGLE(IF(OR($CC37="",O$14="",O$14&lt;_xlfn.SINGLE(INDEX('[1]ATTENDANCE DAILY'!$AV$4:$AV$663,$CC37)),O$14&gt;_xlfn.SINGLE(INDEX('[1]ATTENDANCE DAILY'!$AW$4:$AW$663,$CC37))),"",IF(_xlfn.SINGLE(INDEX('[1]ATTENDANCE DAILY'!$I$4:$AM$663,$CC37,DAY(O$14)))="T-Late","T-L",IF(_xlfn.SINGLE(INDEX('[1]ATTENDANCE DAILY'!$I$4:$AM$663,$CC37,DAY(O$14)))="T-Cutting","T-C",INDEX('[1]ATTENDANCE DAILY'!$I$4:$AM$663,$CC37,DAY(O$14)))))),IFERROR(IF(_xlpm._r=0,"",_xlpm._r),""))</f>
        <v/>
      </c>
      <c r="P37" s="58"/>
      <c r="Q37" s="58"/>
      <c r="R37" s="55"/>
      <c r="S37" s="57" t="str">
        <f>_xlfn.LET(_xlpm._r,_xlfn.SINGLE(IF(OR($CC37="",S$14="",S$14&lt;_xlfn.SINGLE(INDEX('[1]ATTENDANCE DAILY'!$AV$4:$AV$663,$CC37)),S$14&gt;_xlfn.SINGLE(INDEX('[1]ATTENDANCE DAILY'!$AW$4:$AW$663,$CC37))),"",IF(_xlfn.SINGLE(INDEX('[1]ATTENDANCE DAILY'!$I$4:$AM$663,$CC37,DAY(S$14)))="T-Late","T-L",IF(_xlfn.SINGLE(INDEX('[1]ATTENDANCE DAILY'!$I$4:$AM$663,$CC37,DAY(S$14)))="T-Cutting","T-C",INDEX('[1]ATTENDANCE DAILY'!$I$4:$AM$663,$CC37,DAY(S$14)))))),IFERROR(IF(_xlpm._r=0,"",_xlpm._r),""))</f>
        <v/>
      </c>
      <c r="T37" s="58"/>
      <c r="U37" s="86"/>
      <c r="V37" s="59" t="str">
        <f>_xlfn.LET(_xlpm._r,_xlfn.SINGLE(IF(OR($CC37="",V$14="",V$14&lt;_xlfn.SINGLE(INDEX('[1]ATTENDANCE DAILY'!$AV$4:$AV$663,$CC37)),V$14&gt;_xlfn.SINGLE(INDEX('[1]ATTENDANCE DAILY'!$AW$4:$AW$663,$CC37))),"",IF(_xlfn.SINGLE(INDEX('[1]ATTENDANCE DAILY'!$I$4:$AM$663,$CC37,DAY(V$14)))="T-Late","T-L",IF(_xlfn.SINGLE(INDEX('[1]ATTENDANCE DAILY'!$I$4:$AM$663,$CC37,DAY(V$14)))="T-Cutting","T-C",INDEX('[1]ATTENDANCE DAILY'!$I$4:$AM$663,$CC37,DAY(V$14)))))),IFERROR(IF(_xlpm._r=0,"",_xlpm._r),""))</f>
        <v/>
      </c>
      <c r="W37" s="57" t="str">
        <f>_xlfn.LET(_xlpm._r,_xlfn.SINGLE(IF(OR($CC37="",W$14="",W$14&lt;_xlfn.SINGLE(INDEX('[1]ATTENDANCE DAILY'!$AV$4:$AV$663,$CC37)),W$14&gt;_xlfn.SINGLE(INDEX('[1]ATTENDANCE DAILY'!$AW$4:$AW$663,$CC37))),"",IF(_xlfn.SINGLE(INDEX('[1]ATTENDANCE DAILY'!$I$4:$AM$663,$CC37,DAY(W$14)))="T-Late","T-L",IF(_xlfn.SINGLE(INDEX('[1]ATTENDANCE DAILY'!$I$4:$AM$663,$CC37,DAY(W$14)))="T-Cutting","T-C",INDEX('[1]ATTENDANCE DAILY'!$I$4:$AM$663,$CC37,DAY(W$14)))))),IFERROR(IF(_xlpm._r=0,"",_xlpm._r),""))</f>
        <v/>
      </c>
      <c r="X37" s="58"/>
      <c r="Y37" s="55"/>
      <c r="Z37" s="56" t="str">
        <f>_xlfn.LET(_xlpm._r,_xlfn.SINGLE(IF(OR($CC37="",Z$14="",Z$14&lt;_xlfn.SINGLE(INDEX('[1]ATTENDANCE DAILY'!$AV$4:$AV$663,$CC37)),Z$14&gt;_xlfn.SINGLE(INDEX('[1]ATTENDANCE DAILY'!$AW$4:$AW$663,$CC37))),"",IF(_xlfn.SINGLE(INDEX('[1]ATTENDANCE DAILY'!$I$4:$AM$663,$CC37,DAY(Z$14)))="T-Late","T-L",IF(_xlfn.SINGLE(INDEX('[1]ATTENDANCE DAILY'!$I$4:$AM$663,$CC37,DAY(Z$14)))="T-Cutting","T-C",INDEX('[1]ATTENDANCE DAILY'!$I$4:$AM$663,$CC37,DAY(Z$14)))))),IFERROR(IF(_xlpm._r=0,"",_xlpm._r),""))</f>
        <v/>
      </c>
      <c r="AA37" s="56" t="str">
        <f>_xlfn.LET(_xlpm._r,_xlfn.SINGLE(IF(OR($CC37="",AA$14="",AA$14&lt;_xlfn.SINGLE(INDEX('[1]ATTENDANCE DAILY'!$AV$4:$AV$663,$CC37)),AA$14&gt;_xlfn.SINGLE(INDEX('[1]ATTENDANCE DAILY'!$AW$4:$AW$663,$CC37))),"",IF(_xlfn.SINGLE(INDEX('[1]ATTENDANCE DAILY'!$I$4:$AM$663,$CC37,DAY(AA$14)))="T-Late","T-L",IF(_xlfn.SINGLE(INDEX('[1]ATTENDANCE DAILY'!$I$4:$AM$663,$CC37,DAY(AA$14)))="T-Cutting","T-C",INDEX('[1]ATTENDANCE DAILY'!$I$4:$AM$663,$CC37,DAY(AA$14)))))),IFERROR(IF(_xlpm._r=0,"",_xlpm._r),""))</f>
        <v/>
      </c>
      <c r="AB37" s="57" t="str">
        <f>_xlfn.LET(_xlpm._r,_xlfn.SINGLE(IF(OR($CC37="",AB$14="",AB$14&lt;_xlfn.SINGLE(INDEX('[1]ATTENDANCE DAILY'!$AV$4:$AV$663,$CC37)),AB$14&gt;_xlfn.SINGLE(INDEX('[1]ATTENDANCE DAILY'!$AW$4:$AW$663,$CC37))),"",IF(_xlfn.SINGLE(INDEX('[1]ATTENDANCE DAILY'!$I$4:$AM$663,$CC37,DAY(AB$14)))="T-Late","T-L",IF(_xlfn.SINGLE(INDEX('[1]ATTENDANCE DAILY'!$I$4:$AM$663,$CC37,DAY(AB$14)))="T-Cutting","T-C",INDEX('[1]ATTENDANCE DAILY'!$I$4:$AM$663,$CC37,DAY(AB$14)))))),IFERROR(IF(_xlpm._r=0,"",_xlpm._r),""))</f>
        <v/>
      </c>
      <c r="AC37" s="58"/>
      <c r="AD37" s="86"/>
      <c r="AE37" s="54" t="str">
        <f>_xlfn.LET(_xlpm._r,_xlfn.SINGLE(IF(OR($CC37="",AE$14="",AE$14&lt;_xlfn.SINGLE(INDEX('[1]ATTENDANCE DAILY'!$AV$4:$AV$663,$CC37)),AE$14&gt;_xlfn.SINGLE(INDEX('[1]ATTENDANCE DAILY'!$AW$4:$AW$663,$CC37))),"",IF(_xlfn.SINGLE(INDEX('[1]ATTENDANCE DAILY'!$I$4:$AM$663,$CC37,DAY(AE$14)))="T-Late","T-L",IF(_xlfn.SINGLE(INDEX('[1]ATTENDANCE DAILY'!$I$4:$AM$663,$CC37,DAY(AE$14)))="T-Cutting","T-C",INDEX('[1]ATTENDANCE DAILY'!$I$4:$AM$663,$CC37,DAY(AE$14)))))),IFERROR(IF(_xlpm._r=0,"",_xlpm._r),""))</f>
        <v/>
      </c>
      <c r="AF37" s="58"/>
      <c r="AG37" s="55"/>
      <c r="AH37" s="56" t="str">
        <f>_xlfn.LET(_xlpm._r,_xlfn.SINGLE(IF(OR($CC37="",AH$14="",AH$14&lt;_xlfn.SINGLE(INDEX('[1]ATTENDANCE DAILY'!$AV$4:$AV$663,$CC37)),AH$14&gt;_xlfn.SINGLE(INDEX('[1]ATTENDANCE DAILY'!$AW$4:$AW$663,$CC37))),"",IF(_xlfn.SINGLE(INDEX('[1]ATTENDANCE DAILY'!$I$4:$AM$663,$CC37,DAY(AH$14)))="T-Late","T-L",IF(_xlfn.SINGLE(INDEX('[1]ATTENDANCE DAILY'!$I$4:$AM$663,$CC37,DAY(AH$14)))="T-Cutting","T-C",INDEX('[1]ATTENDANCE DAILY'!$I$4:$AM$663,$CC37,DAY(AH$14)))))),IFERROR(IF(_xlpm._r=0,"",_xlpm._r),""))</f>
        <v/>
      </c>
      <c r="AI37" s="57" t="str">
        <f>_xlfn.LET(_xlpm._r,_xlfn.SINGLE(IF(OR($CC37="",AI$14="",AI$14&lt;_xlfn.SINGLE(INDEX('[1]ATTENDANCE DAILY'!$AV$4:$AV$663,$CC37)),AI$14&gt;_xlfn.SINGLE(INDEX('[1]ATTENDANCE DAILY'!$AW$4:$AW$663,$CC37))),"",IF(_xlfn.SINGLE(INDEX('[1]ATTENDANCE DAILY'!$I$4:$AM$663,$CC37,DAY(AI$14)))="T-Late","T-L",IF(_xlfn.SINGLE(INDEX('[1]ATTENDANCE DAILY'!$I$4:$AM$663,$CC37,DAY(AI$14)))="T-Cutting","T-C",INDEX('[1]ATTENDANCE DAILY'!$I$4:$AM$663,$CC37,DAY(AI$14)))))),IFERROR(IF(_xlpm._r=0,"",_xlpm._r),""))</f>
        <v/>
      </c>
      <c r="AJ37" s="58"/>
      <c r="AK37" s="55"/>
      <c r="AL37" s="57" t="str">
        <f>_xlfn.LET(_xlpm._r,_xlfn.SINGLE(IF(OR($CC37="",AL$14="",AL$14&lt;_xlfn.SINGLE(INDEX('[1]ATTENDANCE DAILY'!$AV$4:$AV$663,$CC37)),AL$14&gt;_xlfn.SINGLE(INDEX('[1]ATTENDANCE DAILY'!$AW$4:$AW$663,$CC37))),"",IF(_xlfn.SINGLE(INDEX('[1]ATTENDANCE DAILY'!$I$4:$AM$663,$CC37,DAY(AL$14)))="T-Late","T-L",IF(_xlfn.SINGLE(INDEX('[1]ATTENDANCE DAILY'!$I$4:$AM$663,$CC37,DAY(AL$14)))="T-Cutting","T-C",INDEX('[1]ATTENDANCE DAILY'!$I$4:$AM$663,$CC37,DAY(AL$14)))))),IFERROR(IF(_xlpm._r=0,"",_xlpm._r),""))</f>
        <v/>
      </c>
      <c r="AM37" s="55"/>
      <c r="AN37" s="57" t="str">
        <f>_xlfn.LET(_xlpm._r,_xlfn.SINGLE(IF(OR($CC37="",AN$14="",AN$14&lt;_xlfn.SINGLE(INDEX('[1]ATTENDANCE DAILY'!$AV$4:$AV$663,$CC37)),AN$14&gt;_xlfn.SINGLE(INDEX('[1]ATTENDANCE DAILY'!$AW$4:$AW$663,$CC37))),"",IF(_xlfn.SINGLE(INDEX('[1]ATTENDANCE DAILY'!$I$4:$AM$663,$CC37,DAY(AN$14)))="T-Late","T-L",IF(_xlfn.SINGLE(INDEX('[1]ATTENDANCE DAILY'!$I$4:$AM$663,$CC37,DAY(AN$14)))="T-Cutting","T-C",INDEX('[1]ATTENDANCE DAILY'!$I$4:$AM$663,$CC37,DAY(AN$14)))))),IFERROR(IF(_xlpm._r=0,"",_xlpm._r),""))</f>
        <v/>
      </c>
      <c r="AO37" s="86"/>
      <c r="AP37" s="54" t="str">
        <f>_xlfn.LET(_xlpm._r,_xlfn.SINGLE(IF(OR($CC37="",AP$14="",AP$14&lt;_xlfn.SINGLE(INDEX('[1]ATTENDANCE DAILY'!$AV$4:$AV$663,$CC37)),AP$14&gt;_xlfn.SINGLE(INDEX('[1]ATTENDANCE DAILY'!$AW$4:$AW$663,$CC37))),"",IF(_xlfn.SINGLE(INDEX('[1]ATTENDANCE DAILY'!$I$4:$AM$663,$CC37,DAY(AP$14)))="T-Late","T-L",IF(_xlfn.SINGLE(INDEX('[1]ATTENDANCE DAILY'!$I$4:$AM$663,$CC37,DAY(AP$14)))="T-Cutting","T-C",INDEX('[1]ATTENDANCE DAILY'!$I$4:$AM$663,$CC37,DAY(AP$14)))))),IFERROR(IF(_xlpm._r=0,"",_xlpm._r),""))</f>
        <v/>
      </c>
      <c r="AQ37" s="55"/>
      <c r="AR37" s="56" t="str">
        <f>_xlfn.LET(_xlpm._r,_xlfn.SINGLE(IF(OR($CC37="",AR$14="",AR$14&lt;_xlfn.SINGLE(INDEX('[1]ATTENDANCE DAILY'!$AV$4:$AV$663,$CC37)),AR$14&gt;_xlfn.SINGLE(INDEX('[1]ATTENDANCE DAILY'!$AW$4:$AW$663,$CC37))),"",IF(_xlfn.SINGLE(INDEX('[1]ATTENDANCE DAILY'!$I$4:$AM$663,$CC37,DAY(AR$14)))="T-Late","T-L",IF(_xlfn.SINGLE(INDEX('[1]ATTENDANCE DAILY'!$I$4:$AM$663,$CC37,DAY(AR$14)))="T-Cutting","T-C",INDEX('[1]ATTENDANCE DAILY'!$I$4:$AM$663,$CC37,DAY(AR$14)))))),IFERROR(IF(_xlpm._r=0,"",_xlpm._r),""))</f>
        <v/>
      </c>
      <c r="AS37" s="57" t="str">
        <f>_xlfn.LET(_xlpm._r,_xlfn.SINGLE(IF(OR($CC37="",AS$14="",AS$14&lt;_xlfn.SINGLE(INDEX('[1]ATTENDANCE DAILY'!$AV$4:$AV$663,$CC37)),AS$14&gt;_xlfn.SINGLE(INDEX('[1]ATTENDANCE DAILY'!$AW$4:$AW$663,$CC37))),"",IF(_xlfn.SINGLE(INDEX('[1]ATTENDANCE DAILY'!$I$4:$AM$663,$CC37,DAY(AS$14)))="T-Late","T-L",IF(_xlfn.SINGLE(INDEX('[1]ATTENDANCE DAILY'!$I$4:$AM$663,$CC37,DAY(AS$14)))="T-Cutting","T-C",INDEX('[1]ATTENDANCE DAILY'!$I$4:$AM$663,$CC37,DAY(AS$14)))))),IFERROR(IF(_xlpm._r=0,"",_xlpm._r),""))</f>
        <v/>
      </c>
      <c r="AT37" s="55"/>
      <c r="AU37" s="56" t="str">
        <f>_xlfn.LET(_xlpm._r,_xlfn.SINGLE(IF(OR($CC37="",AU$14="",AU$14&lt;_xlfn.SINGLE(INDEX('[1]ATTENDANCE DAILY'!$AV$4:$AV$663,$CC37)),AU$14&gt;_xlfn.SINGLE(INDEX('[1]ATTENDANCE DAILY'!$AW$4:$AW$663,$CC37))),"",IF(_xlfn.SINGLE(INDEX('[1]ATTENDANCE DAILY'!$I$4:$AM$663,$CC37,DAY(AU$14)))="T-Late","T-L",IF(_xlfn.SINGLE(INDEX('[1]ATTENDANCE DAILY'!$I$4:$AM$663,$CC37,DAY(AU$14)))="T-Cutting","T-C",INDEX('[1]ATTENDANCE DAILY'!$I$4:$AM$663,$CC37,DAY(AU$14)))))),IFERROR(IF(_xlpm._r=0,"",_xlpm._r),""))</f>
        <v/>
      </c>
      <c r="AV37" s="87" t="str">
        <f>_xlfn.LET(_xlpm._r,_xlfn.SINGLE(IF(OR($CC37="",AV$14="",AV$14&lt;_xlfn.SINGLE(INDEX('[1]ATTENDANCE DAILY'!$AV$4:$AV$663,$CC37)),AV$14&gt;_xlfn.SINGLE(INDEX('[1]ATTENDANCE DAILY'!$AW$4:$AW$663,$CC37))),"",IF(_xlfn.SINGLE(INDEX('[1]ATTENDANCE DAILY'!$I$4:$AM$663,$CC37,DAY(AV$14)))="T-Late","T-L",IF(_xlfn.SINGLE(INDEX('[1]ATTENDANCE DAILY'!$I$4:$AM$663,$CC37,DAY(AV$14)))="T-Cutting","T-C",INDEX('[1]ATTENDANCE DAILY'!$I$4:$AM$663,$CC37,DAY(AV$14)))))),IFERROR(IF(_xlpm._r=0,"",_xlpm._r),""))</f>
        <v/>
      </c>
      <c r="AW37" s="54" t="str">
        <f>_xlfn.LET(_xlpm._r,_xlfn.SINGLE(IF(OR($CC37="",AW$14="",AW$14&lt;_xlfn.SINGLE(INDEX('[1]ATTENDANCE DAILY'!$AV$4:$AV$663,$CC37)),AW$14&gt;_xlfn.SINGLE(INDEX('[1]ATTENDANCE DAILY'!$AW$4:$AW$663,$CC37))),"",IF(_xlfn.SINGLE(INDEX('[1]ATTENDANCE DAILY'!$I$4:$AM$663,$CC37,DAY(AW$14)))="T-Late","T-L",IF(_xlfn.SINGLE(INDEX('[1]ATTENDANCE DAILY'!$I$4:$AM$663,$CC37,DAY(AW$14)))="T-Cutting","T-C",INDEX('[1]ATTENDANCE DAILY'!$I$4:$AM$663,$CC37,DAY(AW$14)))))),IFERROR(IF(_xlpm._r=0,"",_xlpm._r),""))</f>
        <v/>
      </c>
      <c r="AX37" s="55"/>
      <c r="AY37" s="57" t="str">
        <f>_xlfn.LET(_xlpm._r,_xlfn.SINGLE(IF(OR($CC37="",AY$14="",AY$14&lt;_xlfn.SINGLE(INDEX('[1]ATTENDANCE DAILY'!$AV$4:$AV$663,$CC37)),AY$14&gt;_xlfn.SINGLE(INDEX('[1]ATTENDANCE DAILY'!$AW$4:$AW$663,$CC37))),"",IF(_xlfn.SINGLE(INDEX('[1]ATTENDANCE DAILY'!$I$4:$AM$663,$CC37,DAY(AY$14)))="T-Late","T-L",IF(_xlfn.SINGLE(INDEX('[1]ATTENDANCE DAILY'!$I$4:$AM$663,$CC37,DAY(AY$14)))="T-Cutting","T-C",INDEX('[1]ATTENDANCE DAILY'!$I$4:$AM$663,$CC37,DAY(AY$14)))))),IFERROR(IF(_xlpm._r=0,"",_xlpm._r),""))</f>
        <v/>
      </c>
      <c r="AZ37" s="58"/>
      <c r="BA37" s="55"/>
      <c r="BB37" s="57" t="str">
        <f>_xlfn.LET(_xlpm._r,_xlfn.SINGLE(IF(OR($CC37="",BB$14="",BB$14&lt;_xlfn.SINGLE(INDEX('[1]ATTENDANCE DAILY'!$AV$4:$AV$663,$CC37)),BB$14&gt;_xlfn.SINGLE(INDEX('[1]ATTENDANCE DAILY'!$AW$4:$AW$663,$CC37))),"",IF(_xlfn.SINGLE(INDEX('[1]ATTENDANCE DAILY'!$I$4:$AM$663,$CC37,DAY(BB$14)))="T-Late","T-L",IF(_xlfn.SINGLE(INDEX('[1]ATTENDANCE DAILY'!$I$4:$AM$663,$CC37,DAY(BB$14)))="T-Cutting","T-C",INDEX('[1]ATTENDANCE DAILY'!$I$4:$AM$663,$CC37,DAY(BB$14)))))),IFERROR(IF(_xlpm._r=0,"",_xlpm._r),""))</f>
        <v/>
      </c>
      <c r="BC37" s="55"/>
      <c r="BD37" s="56" t="str">
        <f>_xlfn.LET(_xlpm._r,_xlfn.SINGLE(IF(OR($CC37="",BD$14="",BD$14&lt;_xlfn.SINGLE(INDEX('[1]ATTENDANCE DAILY'!$AV$4:$AV$663,$CC37)),BD$14&gt;_xlfn.SINGLE(INDEX('[1]ATTENDANCE DAILY'!$AW$4:$AW$663,$CC37))),"",IF(_xlfn.SINGLE(INDEX('[1]ATTENDANCE DAILY'!$I$4:$AM$663,$CC37,DAY(BD$14)))="T-Late","T-L",IF(_xlfn.SINGLE(INDEX('[1]ATTENDANCE DAILY'!$I$4:$AM$663,$CC37,DAY(BD$14)))="T-Cutting","T-C",INDEX('[1]ATTENDANCE DAILY'!$I$4:$AM$663,$CC37,DAY(BD$14)))))),IFERROR(IF(_xlpm._r=0,"",_xlpm._r),""))</f>
        <v/>
      </c>
      <c r="BE37" s="57" t="str">
        <f>_xlfn.LET(_xlpm._r,_xlfn.SINGLE(IF(OR($CC37="",BE$14="",BE$14&lt;_xlfn.SINGLE(INDEX('[1]ATTENDANCE DAILY'!$AV$4:$AV$663,$CC37)),BE$14&gt;_xlfn.SINGLE(INDEX('[1]ATTENDANCE DAILY'!$AW$4:$AW$663,$CC37))),"",IF(_xlfn.SINGLE(INDEX('[1]ATTENDANCE DAILY'!$I$4:$AM$663,$CC37,DAY(BE$14)))="T-Late","T-L",IF(_xlfn.SINGLE(INDEX('[1]ATTENDANCE DAILY'!$I$4:$AM$663,$CC37,DAY(BE$14)))="T-Cutting","T-C",INDEX('[1]ATTENDANCE DAILY'!$I$4:$AM$663,$CC37,DAY(BE$14)))))),IFERROR(IF(_xlpm._r=0,"",_xlpm._r),""))</f>
        <v/>
      </c>
      <c r="BF37" s="58"/>
      <c r="BG37" s="58"/>
      <c r="BH37" s="86"/>
      <c r="BI37" s="88" t="str">
        <f>IF($CC37="","",INDEX('[1]ATTENDANCE DAILY'!$AR$4:$AR$663,$CC37))</f>
        <v/>
      </c>
      <c r="BJ37" s="89"/>
      <c r="BK37" s="90"/>
      <c r="BL37" s="88" t="str">
        <f>IF($CC37="","",INDEX('[1]ATTENDANCE DAILY'!$AS$4:$AS$663,$CC37))</f>
        <v/>
      </c>
      <c r="BM37" s="89"/>
      <c r="BN37" s="89"/>
      <c r="BO37" s="90"/>
      <c r="BP37" s="91" t="str">
        <f>IF($CC37="","",IF(INDEX('[1]ATTENDANCE DAILY'!$AN$4:$AN$663,$CC37)="","",INDEX('[1]ATTENDANCE DAILY'!$AN$4:$AN$663,$CC37)&amp;IF(INDEX('[1]ATTENDANCE DAILY'!$AO$4:$AO$663,$CC37)="",""," ("&amp;TEXT(INDEX('[1]ATTENDANCE DAILY'!$AO$4:$AO$663,$CC37),"mm-dd-yyyy")&amp;")")&amp;IF(INDEX('[1]ATTENDANCE DAILY'!$AP$4:$AP$663,$CC37)="",""," - "&amp;INDEX('[1]ATTENDANCE DAILY'!$AP$4:$AP$663,$CC37))))</f>
        <v/>
      </c>
      <c r="BQ37" s="89"/>
      <c r="BR37" s="89"/>
      <c r="BS37" s="89"/>
      <c r="BT37" s="89"/>
      <c r="BU37" s="89"/>
      <c r="BV37" s="89"/>
      <c r="BW37" s="89"/>
      <c r="BX37" s="89"/>
      <c r="BY37" s="89"/>
      <c r="BZ37" s="89"/>
      <c r="CA37" s="90"/>
      <c r="CC37" t="str">
        <f>IF(COUNTIFS('[1]ATTENDANCE DAILY'!$C$4:$C$663,$BN$11,'[1]ATTENDANCE DAILY'!$F$4:$F$663,"Male",'[1]ATTENDANCE DAILY'!$G$4:$G$663,1,'[1]ATTENDANCE DAILY'!$BA$4:$BA$663,20)=0,"",SUMIFS('[1]ATTENDANCE DAILY'!$A$4:$A$663,'[1]ATTENDANCE DAILY'!$C$4:$C$663,$BN$11,'[1]ATTENDANCE DAILY'!$F$4:$F$663,"Male",'[1]ATTENDANCE DAILY'!$G$4:$G$663,1,'[1]ATTENDANCE DAILY'!$BA$4:$BA$663,20))</f>
        <v/>
      </c>
    </row>
    <row r="38" spans="1:81" ht="19.95" customHeight="1">
      <c r="A38" s="80">
        <v>21</v>
      </c>
      <c r="B38" s="81"/>
      <c r="C38" s="81"/>
      <c r="D38" s="81"/>
      <c r="E38" s="81"/>
      <c r="F38" s="82"/>
      <c r="G38" s="83" t="str">
        <f>IF($CC38="","",INDEX('[1]ATTENDANCE DAILY'!$E$4:$E$663,$CC38))</f>
        <v/>
      </c>
      <c r="H38" s="84"/>
      <c r="I38" s="84"/>
      <c r="J38" s="85"/>
      <c r="K38" s="54" t="str">
        <f>_xlfn.LET(_xlpm._r,_xlfn.SINGLE(IF(OR($CC38="",K$14="",K$14&lt;_xlfn.SINGLE(INDEX('[1]ATTENDANCE DAILY'!$AV$4:$AV$663,$CC38)),K$14&gt;_xlfn.SINGLE(INDEX('[1]ATTENDANCE DAILY'!$AW$4:$AW$663,$CC38))),"",IF(_xlfn.SINGLE(INDEX('[1]ATTENDANCE DAILY'!$I$4:$AM$663,$CC38,DAY(K$14)))="T-Late","T-L",IF(_xlfn.SINGLE(INDEX('[1]ATTENDANCE DAILY'!$I$4:$AM$663,$CC38,DAY(K$14)))="T-Cutting","T-C",INDEX('[1]ATTENDANCE DAILY'!$I$4:$AM$663,$CC38,DAY(K$14)))))),IFERROR(IF(_xlpm._r=0,"",_xlpm._r),""))</f>
        <v/>
      </c>
      <c r="L38" s="55"/>
      <c r="M38" s="56" t="str">
        <f>_xlfn.LET(_xlpm._r,_xlfn.SINGLE(IF(OR($CC38="",M$14="",M$14&lt;_xlfn.SINGLE(INDEX('[1]ATTENDANCE DAILY'!$AV$4:$AV$663,$CC38)),M$14&gt;_xlfn.SINGLE(INDEX('[1]ATTENDANCE DAILY'!$AW$4:$AW$663,$CC38))),"",IF(_xlfn.SINGLE(INDEX('[1]ATTENDANCE DAILY'!$I$4:$AM$663,$CC38,DAY(M$14)))="T-Late","T-L",IF(_xlfn.SINGLE(INDEX('[1]ATTENDANCE DAILY'!$I$4:$AM$663,$CC38,DAY(M$14)))="T-Cutting","T-C",INDEX('[1]ATTENDANCE DAILY'!$I$4:$AM$663,$CC38,DAY(M$14)))))),IFERROR(IF(_xlpm._r=0,"",_xlpm._r),""))</f>
        <v/>
      </c>
      <c r="N38" s="56" t="str">
        <f>_xlfn.LET(_xlpm._r,_xlfn.SINGLE(IF(OR($CC38="",N$14="",N$14&lt;_xlfn.SINGLE(INDEX('[1]ATTENDANCE DAILY'!$AV$4:$AV$663,$CC38)),N$14&gt;_xlfn.SINGLE(INDEX('[1]ATTENDANCE DAILY'!$AW$4:$AW$663,$CC38))),"",IF(_xlfn.SINGLE(INDEX('[1]ATTENDANCE DAILY'!$I$4:$AM$663,$CC38,DAY(N$14)))="T-Late","T-L",IF(_xlfn.SINGLE(INDEX('[1]ATTENDANCE DAILY'!$I$4:$AM$663,$CC38,DAY(N$14)))="T-Cutting","T-C",INDEX('[1]ATTENDANCE DAILY'!$I$4:$AM$663,$CC38,DAY(N$14)))))),IFERROR(IF(_xlpm._r=0,"",_xlpm._r),""))</f>
        <v/>
      </c>
      <c r="O38" s="57" t="str">
        <f>_xlfn.LET(_xlpm._r,_xlfn.SINGLE(IF(OR($CC38="",O$14="",O$14&lt;_xlfn.SINGLE(INDEX('[1]ATTENDANCE DAILY'!$AV$4:$AV$663,$CC38)),O$14&gt;_xlfn.SINGLE(INDEX('[1]ATTENDANCE DAILY'!$AW$4:$AW$663,$CC38))),"",IF(_xlfn.SINGLE(INDEX('[1]ATTENDANCE DAILY'!$I$4:$AM$663,$CC38,DAY(O$14)))="T-Late","T-L",IF(_xlfn.SINGLE(INDEX('[1]ATTENDANCE DAILY'!$I$4:$AM$663,$CC38,DAY(O$14)))="T-Cutting","T-C",INDEX('[1]ATTENDANCE DAILY'!$I$4:$AM$663,$CC38,DAY(O$14)))))),IFERROR(IF(_xlpm._r=0,"",_xlpm._r),""))</f>
        <v/>
      </c>
      <c r="P38" s="58"/>
      <c r="Q38" s="58"/>
      <c r="R38" s="55"/>
      <c r="S38" s="57" t="str">
        <f>_xlfn.LET(_xlpm._r,_xlfn.SINGLE(IF(OR($CC38="",S$14="",S$14&lt;_xlfn.SINGLE(INDEX('[1]ATTENDANCE DAILY'!$AV$4:$AV$663,$CC38)),S$14&gt;_xlfn.SINGLE(INDEX('[1]ATTENDANCE DAILY'!$AW$4:$AW$663,$CC38))),"",IF(_xlfn.SINGLE(INDEX('[1]ATTENDANCE DAILY'!$I$4:$AM$663,$CC38,DAY(S$14)))="T-Late","T-L",IF(_xlfn.SINGLE(INDEX('[1]ATTENDANCE DAILY'!$I$4:$AM$663,$CC38,DAY(S$14)))="T-Cutting","T-C",INDEX('[1]ATTENDANCE DAILY'!$I$4:$AM$663,$CC38,DAY(S$14)))))),IFERROR(IF(_xlpm._r=0,"",_xlpm._r),""))</f>
        <v/>
      </c>
      <c r="T38" s="58"/>
      <c r="U38" s="86"/>
      <c r="V38" s="59" t="str">
        <f>_xlfn.LET(_xlpm._r,_xlfn.SINGLE(IF(OR($CC38="",V$14="",V$14&lt;_xlfn.SINGLE(INDEX('[1]ATTENDANCE DAILY'!$AV$4:$AV$663,$CC38)),V$14&gt;_xlfn.SINGLE(INDEX('[1]ATTENDANCE DAILY'!$AW$4:$AW$663,$CC38))),"",IF(_xlfn.SINGLE(INDEX('[1]ATTENDANCE DAILY'!$I$4:$AM$663,$CC38,DAY(V$14)))="T-Late","T-L",IF(_xlfn.SINGLE(INDEX('[1]ATTENDANCE DAILY'!$I$4:$AM$663,$CC38,DAY(V$14)))="T-Cutting","T-C",INDEX('[1]ATTENDANCE DAILY'!$I$4:$AM$663,$CC38,DAY(V$14)))))),IFERROR(IF(_xlpm._r=0,"",_xlpm._r),""))</f>
        <v/>
      </c>
      <c r="W38" s="57" t="str">
        <f>_xlfn.LET(_xlpm._r,_xlfn.SINGLE(IF(OR($CC38="",W$14="",W$14&lt;_xlfn.SINGLE(INDEX('[1]ATTENDANCE DAILY'!$AV$4:$AV$663,$CC38)),W$14&gt;_xlfn.SINGLE(INDEX('[1]ATTENDANCE DAILY'!$AW$4:$AW$663,$CC38))),"",IF(_xlfn.SINGLE(INDEX('[1]ATTENDANCE DAILY'!$I$4:$AM$663,$CC38,DAY(W$14)))="T-Late","T-L",IF(_xlfn.SINGLE(INDEX('[1]ATTENDANCE DAILY'!$I$4:$AM$663,$CC38,DAY(W$14)))="T-Cutting","T-C",INDEX('[1]ATTENDANCE DAILY'!$I$4:$AM$663,$CC38,DAY(W$14)))))),IFERROR(IF(_xlpm._r=0,"",_xlpm._r),""))</f>
        <v/>
      </c>
      <c r="X38" s="58"/>
      <c r="Y38" s="55"/>
      <c r="Z38" s="56" t="str">
        <f>_xlfn.LET(_xlpm._r,_xlfn.SINGLE(IF(OR($CC38="",Z$14="",Z$14&lt;_xlfn.SINGLE(INDEX('[1]ATTENDANCE DAILY'!$AV$4:$AV$663,$CC38)),Z$14&gt;_xlfn.SINGLE(INDEX('[1]ATTENDANCE DAILY'!$AW$4:$AW$663,$CC38))),"",IF(_xlfn.SINGLE(INDEX('[1]ATTENDANCE DAILY'!$I$4:$AM$663,$CC38,DAY(Z$14)))="T-Late","T-L",IF(_xlfn.SINGLE(INDEX('[1]ATTENDANCE DAILY'!$I$4:$AM$663,$CC38,DAY(Z$14)))="T-Cutting","T-C",INDEX('[1]ATTENDANCE DAILY'!$I$4:$AM$663,$CC38,DAY(Z$14)))))),IFERROR(IF(_xlpm._r=0,"",_xlpm._r),""))</f>
        <v/>
      </c>
      <c r="AA38" s="56" t="str">
        <f>_xlfn.LET(_xlpm._r,_xlfn.SINGLE(IF(OR($CC38="",AA$14="",AA$14&lt;_xlfn.SINGLE(INDEX('[1]ATTENDANCE DAILY'!$AV$4:$AV$663,$CC38)),AA$14&gt;_xlfn.SINGLE(INDEX('[1]ATTENDANCE DAILY'!$AW$4:$AW$663,$CC38))),"",IF(_xlfn.SINGLE(INDEX('[1]ATTENDANCE DAILY'!$I$4:$AM$663,$CC38,DAY(AA$14)))="T-Late","T-L",IF(_xlfn.SINGLE(INDEX('[1]ATTENDANCE DAILY'!$I$4:$AM$663,$CC38,DAY(AA$14)))="T-Cutting","T-C",INDEX('[1]ATTENDANCE DAILY'!$I$4:$AM$663,$CC38,DAY(AA$14)))))),IFERROR(IF(_xlpm._r=0,"",_xlpm._r),""))</f>
        <v/>
      </c>
      <c r="AB38" s="57" t="str">
        <f>_xlfn.LET(_xlpm._r,_xlfn.SINGLE(IF(OR($CC38="",AB$14="",AB$14&lt;_xlfn.SINGLE(INDEX('[1]ATTENDANCE DAILY'!$AV$4:$AV$663,$CC38)),AB$14&gt;_xlfn.SINGLE(INDEX('[1]ATTENDANCE DAILY'!$AW$4:$AW$663,$CC38))),"",IF(_xlfn.SINGLE(INDEX('[1]ATTENDANCE DAILY'!$I$4:$AM$663,$CC38,DAY(AB$14)))="T-Late","T-L",IF(_xlfn.SINGLE(INDEX('[1]ATTENDANCE DAILY'!$I$4:$AM$663,$CC38,DAY(AB$14)))="T-Cutting","T-C",INDEX('[1]ATTENDANCE DAILY'!$I$4:$AM$663,$CC38,DAY(AB$14)))))),IFERROR(IF(_xlpm._r=0,"",_xlpm._r),""))</f>
        <v/>
      </c>
      <c r="AC38" s="58"/>
      <c r="AD38" s="86"/>
      <c r="AE38" s="54" t="str">
        <f>_xlfn.LET(_xlpm._r,_xlfn.SINGLE(IF(OR($CC38="",AE$14="",AE$14&lt;_xlfn.SINGLE(INDEX('[1]ATTENDANCE DAILY'!$AV$4:$AV$663,$CC38)),AE$14&gt;_xlfn.SINGLE(INDEX('[1]ATTENDANCE DAILY'!$AW$4:$AW$663,$CC38))),"",IF(_xlfn.SINGLE(INDEX('[1]ATTENDANCE DAILY'!$I$4:$AM$663,$CC38,DAY(AE$14)))="T-Late","T-L",IF(_xlfn.SINGLE(INDEX('[1]ATTENDANCE DAILY'!$I$4:$AM$663,$CC38,DAY(AE$14)))="T-Cutting","T-C",INDEX('[1]ATTENDANCE DAILY'!$I$4:$AM$663,$CC38,DAY(AE$14)))))),IFERROR(IF(_xlpm._r=0,"",_xlpm._r),""))</f>
        <v/>
      </c>
      <c r="AF38" s="58"/>
      <c r="AG38" s="55"/>
      <c r="AH38" s="56" t="str">
        <f>_xlfn.LET(_xlpm._r,_xlfn.SINGLE(IF(OR($CC38="",AH$14="",AH$14&lt;_xlfn.SINGLE(INDEX('[1]ATTENDANCE DAILY'!$AV$4:$AV$663,$CC38)),AH$14&gt;_xlfn.SINGLE(INDEX('[1]ATTENDANCE DAILY'!$AW$4:$AW$663,$CC38))),"",IF(_xlfn.SINGLE(INDEX('[1]ATTENDANCE DAILY'!$I$4:$AM$663,$CC38,DAY(AH$14)))="T-Late","T-L",IF(_xlfn.SINGLE(INDEX('[1]ATTENDANCE DAILY'!$I$4:$AM$663,$CC38,DAY(AH$14)))="T-Cutting","T-C",INDEX('[1]ATTENDANCE DAILY'!$I$4:$AM$663,$CC38,DAY(AH$14)))))),IFERROR(IF(_xlpm._r=0,"",_xlpm._r),""))</f>
        <v/>
      </c>
      <c r="AI38" s="57" t="str">
        <f>_xlfn.LET(_xlpm._r,_xlfn.SINGLE(IF(OR($CC38="",AI$14="",AI$14&lt;_xlfn.SINGLE(INDEX('[1]ATTENDANCE DAILY'!$AV$4:$AV$663,$CC38)),AI$14&gt;_xlfn.SINGLE(INDEX('[1]ATTENDANCE DAILY'!$AW$4:$AW$663,$CC38))),"",IF(_xlfn.SINGLE(INDEX('[1]ATTENDANCE DAILY'!$I$4:$AM$663,$CC38,DAY(AI$14)))="T-Late","T-L",IF(_xlfn.SINGLE(INDEX('[1]ATTENDANCE DAILY'!$I$4:$AM$663,$CC38,DAY(AI$14)))="T-Cutting","T-C",INDEX('[1]ATTENDANCE DAILY'!$I$4:$AM$663,$CC38,DAY(AI$14)))))),IFERROR(IF(_xlpm._r=0,"",_xlpm._r),""))</f>
        <v/>
      </c>
      <c r="AJ38" s="58"/>
      <c r="AK38" s="55"/>
      <c r="AL38" s="57" t="str">
        <f>_xlfn.LET(_xlpm._r,_xlfn.SINGLE(IF(OR($CC38="",AL$14="",AL$14&lt;_xlfn.SINGLE(INDEX('[1]ATTENDANCE DAILY'!$AV$4:$AV$663,$CC38)),AL$14&gt;_xlfn.SINGLE(INDEX('[1]ATTENDANCE DAILY'!$AW$4:$AW$663,$CC38))),"",IF(_xlfn.SINGLE(INDEX('[1]ATTENDANCE DAILY'!$I$4:$AM$663,$CC38,DAY(AL$14)))="T-Late","T-L",IF(_xlfn.SINGLE(INDEX('[1]ATTENDANCE DAILY'!$I$4:$AM$663,$CC38,DAY(AL$14)))="T-Cutting","T-C",INDEX('[1]ATTENDANCE DAILY'!$I$4:$AM$663,$CC38,DAY(AL$14)))))),IFERROR(IF(_xlpm._r=0,"",_xlpm._r),""))</f>
        <v/>
      </c>
      <c r="AM38" s="55"/>
      <c r="AN38" s="57" t="str">
        <f>_xlfn.LET(_xlpm._r,_xlfn.SINGLE(IF(OR($CC38="",AN$14="",AN$14&lt;_xlfn.SINGLE(INDEX('[1]ATTENDANCE DAILY'!$AV$4:$AV$663,$CC38)),AN$14&gt;_xlfn.SINGLE(INDEX('[1]ATTENDANCE DAILY'!$AW$4:$AW$663,$CC38))),"",IF(_xlfn.SINGLE(INDEX('[1]ATTENDANCE DAILY'!$I$4:$AM$663,$CC38,DAY(AN$14)))="T-Late","T-L",IF(_xlfn.SINGLE(INDEX('[1]ATTENDANCE DAILY'!$I$4:$AM$663,$CC38,DAY(AN$14)))="T-Cutting","T-C",INDEX('[1]ATTENDANCE DAILY'!$I$4:$AM$663,$CC38,DAY(AN$14)))))),IFERROR(IF(_xlpm._r=0,"",_xlpm._r),""))</f>
        <v/>
      </c>
      <c r="AO38" s="86"/>
      <c r="AP38" s="54" t="str">
        <f>_xlfn.LET(_xlpm._r,_xlfn.SINGLE(IF(OR($CC38="",AP$14="",AP$14&lt;_xlfn.SINGLE(INDEX('[1]ATTENDANCE DAILY'!$AV$4:$AV$663,$CC38)),AP$14&gt;_xlfn.SINGLE(INDEX('[1]ATTENDANCE DAILY'!$AW$4:$AW$663,$CC38))),"",IF(_xlfn.SINGLE(INDEX('[1]ATTENDANCE DAILY'!$I$4:$AM$663,$CC38,DAY(AP$14)))="T-Late","T-L",IF(_xlfn.SINGLE(INDEX('[1]ATTENDANCE DAILY'!$I$4:$AM$663,$CC38,DAY(AP$14)))="T-Cutting","T-C",INDEX('[1]ATTENDANCE DAILY'!$I$4:$AM$663,$CC38,DAY(AP$14)))))),IFERROR(IF(_xlpm._r=0,"",_xlpm._r),""))</f>
        <v/>
      </c>
      <c r="AQ38" s="55"/>
      <c r="AR38" s="56" t="str">
        <f>_xlfn.LET(_xlpm._r,_xlfn.SINGLE(IF(OR($CC38="",AR$14="",AR$14&lt;_xlfn.SINGLE(INDEX('[1]ATTENDANCE DAILY'!$AV$4:$AV$663,$CC38)),AR$14&gt;_xlfn.SINGLE(INDEX('[1]ATTENDANCE DAILY'!$AW$4:$AW$663,$CC38))),"",IF(_xlfn.SINGLE(INDEX('[1]ATTENDANCE DAILY'!$I$4:$AM$663,$CC38,DAY(AR$14)))="T-Late","T-L",IF(_xlfn.SINGLE(INDEX('[1]ATTENDANCE DAILY'!$I$4:$AM$663,$CC38,DAY(AR$14)))="T-Cutting","T-C",INDEX('[1]ATTENDANCE DAILY'!$I$4:$AM$663,$CC38,DAY(AR$14)))))),IFERROR(IF(_xlpm._r=0,"",_xlpm._r),""))</f>
        <v/>
      </c>
      <c r="AS38" s="57" t="str">
        <f>_xlfn.LET(_xlpm._r,_xlfn.SINGLE(IF(OR($CC38="",AS$14="",AS$14&lt;_xlfn.SINGLE(INDEX('[1]ATTENDANCE DAILY'!$AV$4:$AV$663,$CC38)),AS$14&gt;_xlfn.SINGLE(INDEX('[1]ATTENDANCE DAILY'!$AW$4:$AW$663,$CC38))),"",IF(_xlfn.SINGLE(INDEX('[1]ATTENDANCE DAILY'!$I$4:$AM$663,$CC38,DAY(AS$14)))="T-Late","T-L",IF(_xlfn.SINGLE(INDEX('[1]ATTENDANCE DAILY'!$I$4:$AM$663,$CC38,DAY(AS$14)))="T-Cutting","T-C",INDEX('[1]ATTENDANCE DAILY'!$I$4:$AM$663,$CC38,DAY(AS$14)))))),IFERROR(IF(_xlpm._r=0,"",_xlpm._r),""))</f>
        <v/>
      </c>
      <c r="AT38" s="55"/>
      <c r="AU38" s="56" t="str">
        <f>_xlfn.LET(_xlpm._r,_xlfn.SINGLE(IF(OR($CC38="",AU$14="",AU$14&lt;_xlfn.SINGLE(INDEX('[1]ATTENDANCE DAILY'!$AV$4:$AV$663,$CC38)),AU$14&gt;_xlfn.SINGLE(INDEX('[1]ATTENDANCE DAILY'!$AW$4:$AW$663,$CC38))),"",IF(_xlfn.SINGLE(INDEX('[1]ATTENDANCE DAILY'!$I$4:$AM$663,$CC38,DAY(AU$14)))="T-Late","T-L",IF(_xlfn.SINGLE(INDEX('[1]ATTENDANCE DAILY'!$I$4:$AM$663,$CC38,DAY(AU$14)))="T-Cutting","T-C",INDEX('[1]ATTENDANCE DAILY'!$I$4:$AM$663,$CC38,DAY(AU$14)))))),IFERROR(IF(_xlpm._r=0,"",_xlpm._r),""))</f>
        <v/>
      </c>
      <c r="AV38" s="87" t="str">
        <f>_xlfn.LET(_xlpm._r,_xlfn.SINGLE(IF(OR($CC38="",AV$14="",AV$14&lt;_xlfn.SINGLE(INDEX('[1]ATTENDANCE DAILY'!$AV$4:$AV$663,$CC38)),AV$14&gt;_xlfn.SINGLE(INDEX('[1]ATTENDANCE DAILY'!$AW$4:$AW$663,$CC38))),"",IF(_xlfn.SINGLE(INDEX('[1]ATTENDANCE DAILY'!$I$4:$AM$663,$CC38,DAY(AV$14)))="T-Late","T-L",IF(_xlfn.SINGLE(INDEX('[1]ATTENDANCE DAILY'!$I$4:$AM$663,$CC38,DAY(AV$14)))="T-Cutting","T-C",INDEX('[1]ATTENDANCE DAILY'!$I$4:$AM$663,$CC38,DAY(AV$14)))))),IFERROR(IF(_xlpm._r=0,"",_xlpm._r),""))</f>
        <v/>
      </c>
      <c r="AW38" s="54" t="str">
        <f>_xlfn.LET(_xlpm._r,_xlfn.SINGLE(IF(OR($CC38="",AW$14="",AW$14&lt;_xlfn.SINGLE(INDEX('[1]ATTENDANCE DAILY'!$AV$4:$AV$663,$CC38)),AW$14&gt;_xlfn.SINGLE(INDEX('[1]ATTENDANCE DAILY'!$AW$4:$AW$663,$CC38))),"",IF(_xlfn.SINGLE(INDEX('[1]ATTENDANCE DAILY'!$I$4:$AM$663,$CC38,DAY(AW$14)))="T-Late","T-L",IF(_xlfn.SINGLE(INDEX('[1]ATTENDANCE DAILY'!$I$4:$AM$663,$CC38,DAY(AW$14)))="T-Cutting","T-C",INDEX('[1]ATTENDANCE DAILY'!$I$4:$AM$663,$CC38,DAY(AW$14)))))),IFERROR(IF(_xlpm._r=0,"",_xlpm._r),""))</f>
        <v/>
      </c>
      <c r="AX38" s="55"/>
      <c r="AY38" s="57" t="str">
        <f>_xlfn.LET(_xlpm._r,_xlfn.SINGLE(IF(OR($CC38="",AY$14="",AY$14&lt;_xlfn.SINGLE(INDEX('[1]ATTENDANCE DAILY'!$AV$4:$AV$663,$CC38)),AY$14&gt;_xlfn.SINGLE(INDEX('[1]ATTENDANCE DAILY'!$AW$4:$AW$663,$CC38))),"",IF(_xlfn.SINGLE(INDEX('[1]ATTENDANCE DAILY'!$I$4:$AM$663,$CC38,DAY(AY$14)))="T-Late","T-L",IF(_xlfn.SINGLE(INDEX('[1]ATTENDANCE DAILY'!$I$4:$AM$663,$CC38,DAY(AY$14)))="T-Cutting","T-C",INDEX('[1]ATTENDANCE DAILY'!$I$4:$AM$663,$CC38,DAY(AY$14)))))),IFERROR(IF(_xlpm._r=0,"",_xlpm._r),""))</f>
        <v/>
      </c>
      <c r="AZ38" s="58"/>
      <c r="BA38" s="55"/>
      <c r="BB38" s="57" t="str">
        <f>_xlfn.LET(_xlpm._r,_xlfn.SINGLE(IF(OR($CC38="",BB$14="",BB$14&lt;_xlfn.SINGLE(INDEX('[1]ATTENDANCE DAILY'!$AV$4:$AV$663,$CC38)),BB$14&gt;_xlfn.SINGLE(INDEX('[1]ATTENDANCE DAILY'!$AW$4:$AW$663,$CC38))),"",IF(_xlfn.SINGLE(INDEX('[1]ATTENDANCE DAILY'!$I$4:$AM$663,$CC38,DAY(BB$14)))="T-Late","T-L",IF(_xlfn.SINGLE(INDEX('[1]ATTENDANCE DAILY'!$I$4:$AM$663,$CC38,DAY(BB$14)))="T-Cutting","T-C",INDEX('[1]ATTENDANCE DAILY'!$I$4:$AM$663,$CC38,DAY(BB$14)))))),IFERROR(IF(_xlpm._r=0,"",_xlpm._r),""))</f>
        <v/>
      </c>
      <c r="BC38" s="55"/>
      <c r="BD38" s="56" t="str">
        <f>_xlfn.LET(_xlpm._r,_xlfn.SINGLE(IF(OR($CC38="",BD$14="",BD$14&lt;_xlfn.SINGLE(INDEX('[1]ATTENDANCE DAILY'!$AV$4:$AV$663,$CC38)),BD$14&gt;_xlfn.SINGLE(INDEX('[1]ATTENDANCE DAILY'!$AW$4:$AW$663,$CC38))),"",IF(_xlfn.SINGLE(INDEX('[1]ATTENDANCE DAILY'!$I$4:$AM$663,$CC38,DAY(BD$14)))="T-Late","T-L",IF(_xlfn.SINGLE(INDEX('[1]ATTENDANCE DAILY'!$I$4:$AM$663,$CC38,DAY(BD$14)))="T-Cutting","T-C",INDEX('[1]ATTENDANCE DAILY'!$I$4:$AM$663,$CC38,DAY(BD$14)))))),IFERROR(IF(_xlpm._r=0,"",_xlpm._r),""))</f>
        <v/>
      </c>
      <c r="BE38" s="57" t="str">
        <f>_xlfn.LET(_xlpm._r,_xlfn.SINGLE(IF(OR($CC38="",BE$14="",BE$14&lt;_xlfn.SINGLE(INDEX('[1]ATTENDANCE DAILY'!$AV$4:$AV$663,$CC38)),BE$14&gt;_xlfn.SINGLE(INDEX('[1]ATTENDANCE DAILY'!$AW$4:$AW$663,$CC38))),"",IF(_xlfn.SINGLE(INDEX('[1]ATTENDANCE DAILY'!$I$4:$AM$663,$CC38,DAY(BE$14)))="T-Late","T-L",IF(_xlfn.SINGLE(INDEX('[1]ATTENDANCE DAILY'!$I$4:$AM$663,$CC38,DAY(BE$14)))="T-Cutting","T-C",INDEX('[1]ATTENDANCE DAILY'!$I$4:$AM$663,$CC38,DAY(BE$14)))))),IFERROR(IF(_xlpm._r=0,"",_xlpm._r),""))</f>
        <v/>
      </c>
      <c r="BF38" s="58"/>
      <c r="BG38" s="58"/>
      <c r="BH38" s="86"/>
      <c r="BI38" s="88" t="str">
        <f>IF($CC38="","",INDEX('[1]ATTENDANCE DAILY'!$AR$4:$AR$663,$CC38))</f>
        <v/>
      </c>
      <c r="BJ38" s="89"/>
      <c r="BK38" s="90"/>
      <c r="BL38" s="88" t="str">
        <f>IF($CC38="","",INDEX('[1]ATTENDANCE DAILY'!$AS$4:$AS$663,$CC38))</f>
        <v/>
      </c>
      <c r="BM38" s="89"/>
      <c r="BN38" s="89"/>
      <c r="BO38" s="90"/>
      <c r="BP38" s="91" t="str">
        <f>IF($CC38="","",IF(INDEX('[1]ATTENDANCE DAILY'!$AN$4:$AN$663,$CC38)="","",INDEX('[1]ATTENDANCE DAILY'!$AN$4:$AN$663,$CC38)&amp;IF(INDEX('[1]ATTENDANCE DAILY'!$AO$4:$AO$663,$CC38)="",""," ("&amp;TEXT(INDEX('[1]ATTENDANCE DAILY'!$AO$4:$AO$663,$CC38),"mm-dd-yyyy")&amp;")")&amp;IF(INDEX('[1]ATTENDANCE DAILY'!$AP$4:$AP$663,$CC38)="",""," - "&amp;INDEX('[1]ATTENDANCE DAILY'!$AP$4:$AP$663,$CC38))))</f>
        <v/>
      </c>
      <c r="BQ38" s="89"/>
      <c r="BR38" s="89"/>
      <c r="BS38" s="89"/>
      <c r="BT38" s="89"/>
      <c r="BU38" s="89"/>
      <c r="BV38" s="89"/>
      <c r="BW38" s="89"/>
      <c r="BX38" s="89"/>
      <c r="BY38" s="89"/>
      <c r="BZ38" s="89"/>
      <c r="CA38" s="90"/>
      <c r="CC38" t="str">
        <f>IF(COUNTIFS('[1]ATTENDANCE DAILY'!$C$4:$C$663,$BN$11,'[1]ATTENDANCE DAILY'!$F$4:$F$663,"Male",'[1]ATTENDANCE DAILY'!$G$4:$G$663,1,'[1]ATTENDANCE DAILY'!$BA$4:$BA$663,21)=0,"",SUMIFS('[1]ATTENDANCE DAILY'!$A$4:$A$663,'[1]ATTENDANCE DAILY'!$C$4:$C$663,$BN$11,'[1]ATTENDANCE DAILY'!$F$4:$F$663,"Male",'[1]ATTENDANCE DAILY'!$G$4:$G$663,1,'[1]ATTENDANCE DAILY'!$BA$4:$BA$663,21))</f>
        <v/>
      </c>
    </row>
    <row r="39" spans="1:81" ht="19.95" customHeight="1">
      <c r="A39" s="80">
        <v>22</v>
      </c>
      <c r="B39" s="81"/>
      <c r="C39" s="81"/>
      <c r="D39" s="81"/>
      <c r="E39" s="81"/>
      <c r="F39" s="82"/>
      <c r="G39" s="83" t="str">
        <f>IF($CC39="","",INDEX('[1]ATTENDANCE DAILY'!$E$4:$E$663,$CC39))</f>
        <v/>
      </c>
      <c r="H39" s="84"/>
      <c r="I39" s="84"/>
      <c r="J39" s="85"/>
      <c r="K39" s="54" t="str">
        <f>_xlfn.LET(_xlpm._r,_xlfn.SINGLE(IF(OR($CC39="",K$14="",K$14&lt;_xlfn.SINGLE(INDEX('[1]ATTENDANCE DAILY'!$AV$4:$AV$663,$CC39)),K$14&gt;_xlfn.SINGLE(INDEX('[1]ATTENDANCE DAILY'!$AW$4:$AW$663,$CC39))),"",IF(_xlfn.SINGLE(INDEX('[1]ATTENDANCE DAILY'!$I$4:$AM$663,$CC39,DAY(K$14)))="T-Late","T-L",IF(_xlfn.SINGLE(INDEX('[1]ATTENDANCE DAILY'!$I$4:$AM$663,$CC39,DAY(K$14)))="T-Cutting","T-C",INDEX('[1]ATTENDANCE DAILY'!$I$4:$AM$663,$CC39,DAY(K$14)))))),IFERROR(IF(_xlpm._r=0,"",_xlpm._r),""))</f>
        <v/>
      </c>
      <c r="L39" s="55"/>
      <c r="M39" s="56" t="str">
        <f>_xlfn.LET(_xlpm._r,_xlfn.SINGLE(IF(OR($CC39="",M$14="",M$14&lt;_xlfn.SINGLE(INDEX('[1]ATTENDANCE DAILY'!$AV$4:$AV$663,$CC39)),M$14&gt;_xlfn.SINGLE(INDEX('[1]ATTENDANCE DAILY'!$AW$4:$AW$663,$CC39))),"",IF(_xlfn.SINGLE(INDEX('[1]ATTENDANCE DAILY'!$I$4:$AM$663,$CC39,DAY(M$14)))="T-Late","T-L",IF(_xlfn.SINGLE(INDEX('[1]ATTENDANCE DAILY'!$I$4:$AM$663,$CC39,DAY(M$14)))="T-Cutting","T-C",INDEX('[1]ATTENDANCE DAILY'!$I$4:$AM$663,$CC39,DAY(M$14)))))),IFERROR(IF(_xlpm._r=0,"",_xlpm._r),""))</f>
        <v/>
      </c>
      <c r="N39" s="56" t="str">
        <f>_xlfn.LET(_xlpm._r,_xlfn.SINGLE(IF(OR($CC39="",N$14="",N$14&lt;_xlfn.SINGLE(INDEX('[1]ATTENDANCE DAILY'!$AV$4:$AV$663,$CC39)),N$14&gt;_xlfn.SINGLE(INDEX('[1]ATTENDANCE DAILY'!$AW$4:$AW$663,$CC39))),"",IF(_xlfn.SINGLE(INDEX('[1]ATTENDANCE DAILY'!$I$4:$AM$663,$CC39,DAY(N$14)))="T-Late","T-L",IF(_xlfn.SINGLE(INDEX('[1]ATTENDANCE DAILY'!$I$4:$AM$663,$CC39,DAY(N$14)))="T-Cutting","T-C",INDEX('[1]ATTENDANCE DAILY'!$I$4:$AM$663,$CC39,DAY(N$14)))))),IFERROR(IF(_xlpm._r=0,"",_xlpm._r),""))</f>
        <v/>
      </c>
      <c r="O39" s="57" t="str">
        <f>_xlfn.LET(_xlpm._r,_xlfn.SINGLE(IF(OR($CC39="",O$14="",O$14&lt;_xlfn.SINGLE(INDEX('[1]ATTENDANCE DAILY'!$AV$4:$AV$663,$CC39)),O$14&gt;_xlfn.SINGLE(INDEX('[1]ATTENDANCE DAILY'!$AW$4:$AW$663,$CC39))),"",IF(_xlfn.SINGLE(INDEX('[1]ATTENDANCE DAILY'!$I$4:$AM$663,$CC39,DAY(O$14)))="T-Late","T-L",IF(_xlfn.SINGLE(INDEX('[1]ATTENDANCE DAILY'!$I$4:$AM$663,$CC39,DAY(O$14)))="T-Cutting","T-C",INDEX('[1]ATTENDANCE DAILY'!$I$4:$AM$663,$CC39,DAY(O$14)))))),IFERROR(IF(_xlpm._r=0,"",_xlpm._r),""))</f>
        <v/>
      </c>
      <c r="P39" s="58"/>
      <c r="Q39" s="58"/>
      <c r="R39" s="55"/>
      <c r="S39" s="57" t="str">
        <f>_xlfn.LET(_xlpm._r,_xlfn.SINGLE(IF(OR($CC39="",S$14="",S$14&lt;_xlfn.SINGLE(INDEX('[1]ATTENDANCE DAILY'!$AV$4:$AV$663,$CC39)),S$14&gt;_xlfn.SINGLE(INDEX('[1]ATTENDANCE DAILY'!$AW$4:$AW$663,$CC39))),"",IF(_xlfn.SINGLE(INDEX('[1]ATTENDANCE DAILY'!$I$4:$AM$663,$CC39,DAY(S$14)))="T-Late","T-L",IF(_xlfn.SINGLE(INDEX('[1]ATTENDANCE DAILY'!$I$4:$AM$663,$CC39,DAY(S$14)))="T-Cutting","T-C",INDEX('[1]ATTENDANCE DAILY'!$I$4:$AM$663,$CC39,DAY(S$14)))))),IFERROR(IF(_xlpm._r=0,"",_xlpm._r),""))</f>
        <v/>
      </c>
      <c r="T39" s="58"/>
      <c r="U39" s="86"/>
      <c r="V39" s="59" t="str">
        <f>_xlfn.LET(_xlpm._r,_xlfn.SINGLE(IF(OR($CC39="",V$14="",V$14&lt;_xlfn.SINGLE(INDEX('[1]ATTENDANCE DAILY'!$AV$4:$AV$663,$CC39)),V$14&gt;_xlfn.SINGLE(INDEX('[1]ATTENDANCE DAILY'!$AW$4:$AW$663,$CC39))),"",IF(_xlfn.SINGLE(INDEX('[1]ATTENDANCE DAILY'!$I$4:$AM$663,$CC39,DAY(V$14)))="T-Late","T-L",IF(_xlfn.SINGLE(INDEX('[1]ATTENDANCE DAILY'!$I$4:$AM$663,$CC39,DAY(V$14)))="T-Cutting","T-C",INDEX('[1]ATTENDANCE DAILY'!$I$4:$AM$663,$CC39,DAY(V$14)))))),IFERROR(IF(_xlpm._r=0,"",_xlpm._r),""))</f>
        <v/>
      </c>
      <c r="W39" s="57" t="str">
        <f>_xlfn.LET(_xlpm._r,_xlfn.SINGLE(IF(OR($CC39="",W$14="",W$14&lt;_xlfn.SINGLE(INDEX('[1]ATTENDANCE DAILY'!$AV$4:$AV$663,$CC39)),W$14&gt;_xlfn.SINGLE(INDEX('[1]ATTENDANCE DAILY'!$AW$4:$AW$663,$CC39))),"",IF(_xlfn.SINGLE(INDEX('[1]ATTENDANCE DAILY'!$I$4:$AM$663,$CC39,DAY(W$14)))="T-Late","T-L",IF(_xlfn.SINGLE(INDEX('[1]ATTENDANCE DAILY'!$I$4:$AM$663,$CC39,DAY(W$14)))="T-Cutting","T-C",INDEX('[1]ATTENDANCE DAILY'!$I$4:$AM$663,$CC39,DAY(W$14)))))),IFERROR(IF(_xlpm._r=0,"",_xlpm._r),""))</f>
        <v/>
      </c>
      <c r="X39" s="58"/>
      <c r="Y39" s="55"/>
      <c r="Z39" s="56" t="str">
        <f>_xlfn.LET(_xlpm._r,_xlfn.SINGLE(IF(OR($CC39="",Z$14="",Z$14&lt;_xlfn.SINGLE(INDEX('[1]ATTENDANCE DAILY'!$AV$4:$AV$663,$CC39)),Z$14&gt;_xlfn.SINGLE(INDEX('[1]ATTENDANCE DAILY'!$AW$4:$AW$663,$CC39))),"",IF(_xlfn.SINGLE(INDEX('[1]ATTENDANCE DAILY'!$I$4:$AM$663,$CC39,DAY(Z$14)))="T-Late","T-L",IF(_xlfn.SINGLE(INDEX('[1]ATTENDANCE DAILY'!$I$4:$AM$663,$CC39,DAY(Z$14)))="T-Cutting","T-C",INDEX('[1]ATTENDANCE DAILY'!$I$4:$AM$663,$CC39,DAY(Z$14)))))),IFERROR(IF(_xlpm._r=0,"",_xlpm._r),""))</f>
        <v/>
      </c>
      <c r="AA39" s="56" t="str">
        <f>_xlfn.LET(_xlpm._r,_xlfn.SINGLE(IF(OR($CC39="",AA$14="",AA$14&lt;_xlfn.SINGLE(INDEX('[1]ATTENDANCE DAILY'!$AV$4:$AV$663,$CC39)),AA$14&gt;_xlfn.SINGLE(INDEX('[1]ATTENDANCE DAILY'!$AW$4:$AW$663,$CC39))),"",IF(_xlfn.SINGLE(INDEX('[1]ATTENDANCE DAILY'!$I$4:$AM$663,$CC39,DAY(AA$14)))="T-Late","T-L",IF(_xlfn.SINGLE(INDEX('[1]ATTENDANCE DAILY'!$I$4:$AM$663,$CC39,DAY(AA$14)))="T-Cutting","T-C",INDEX('[1]ATTENDANCE DAILY'!$I$4:$AM$663,$CC39,DAY(AA$14)))))),IFERROR(IF(_xlpm._r=0,"",_xlpm._r),""))</f>
        <v/>
      </c>
      <c r="AB39" s="57" t="str">
        <f>_xlfn.LET(_xlpm._r,_xlfn.SINGLE(IF(OR($CC39="",AB$14="",AB$14&lt;_xlfn.SINGLE(INDEX('[1]ATTENDANCE DAILY'!$AV$4:$AV$663,$CC39)),AB$14&gt;_xlfn.SINGLE(INDEX('[1]ATTENDANCE DAILY'!$AW$4:$AW$663,$CC39))),"",IF(_xlfn.SINGLE(INDEX('[1]ATTENDANCE DAILY'!$I$4:$AM$663,$CC39,DAY(AB$14)))="T-Late","T-L",IF(_xlfn.SINGLE(INDEX('[1]ATTENDANCE DAILY'!$I$4:$AM$663,$CC39,DAY(AB$14)))="T-Cutting","T-C",INDEX('[1]ATTENDANCE DAILY'!$I$4:$AM$663,$CC39,DAY(AB$14)))))),IFERROR(IF(_xlpm._r=0,"",_xlpm._r),""))</f>
        <v/>
      </c>
      <c r="AC39" s="58"/>
      <c r="AD39" s="86"/>
      <c r="AE39" s="54" t="str">
        <f>_xlfn.LET(_xlpm._r,_xlfn.SINGLE(IF(OR($CC39="",AE$14="",AE$14&lt;_xlfn.SINGLE(INDEX('[1]ATTENDANCE DAILY'!$AV$4:$AV$663,$CC39)),AE$14&gt;_xlfn.SINGLE(INDEX('[1]ATTENDANCE DAILY'!$AW$4:$AW$663,$CC39))),"",IF(_xlfn.SINGLE(INDEX('[1]ATTENDANCE DAILY'!$I$4:$AM$663,$CC39,DAY(AE$14)))="T-Late","T-L",IF(_xlfn.SINGLE(INDEX('[1]ATTENDANCE DAILY'!$I$4:$AM$663,$CC39,DAY(AE$14)))="T-Cutting","T-C",INDEX('[1]ATTENDANCE DAILY'!$I$4:$AM$663,$CC39,DAY(AE$14)))))),IFERROR(IF(_xlpm._r=0,"",_xlpm._r),""))</f>
        <v/>
      </c>
      <c r="AF39" s="58"/>
      <c r="AG39" s="55"/>
      <c r="AH39" s="56" t="str">
        <f>_xlfn.LET(_xlpm._r,_xlfn.SINGLE(IF(OR($CC39="",AH$14="",AH$14&lt;_xlfn.SINGLE(INDEX('[1]ATTENDANCE DAILY'!$AV$4:$AV$663,$CC39)),AH$14&gt;_xlfn.SINGLE(INDEX('[1]ATTENDANCE DAILY'!$AW$4:$AW$663,$CC39))),"",IF(_xlfn.SINGLE(INDEX('[1]ATTENDANCE DAILY'!$I$4:$AM$663,$CC39,DAY(AH$14)))="T-Late","T-L",IF(_xlfn.SINGLE(INDEX('[1]ATTENDANCE DAILY'!$I$4:$AM$663,$CC39,DAY(AH$14)))="T-Cutting","T-C",INDEX('[1]ATTENDANCE DAILY'!$I$4:$AM$663,$CC39,DAY(AH$14)))))),IFERROR(IF(_xlpm._r=0,"",_xlpm._r),""))</f>
        <v/>
      </c>
      <c r="AI39" s="57" t="str">
        <f>_xlfn.LET(_xlpm._r,_xlfn.SINGLE(IF(OR($CC39="",AI$14="",AI$14&lt;_xlfn.SINGLE(INDEX('[1]ATTENDANCE DAILY'!$AV$4:$AV$663,$CC39)),AI$14&gt;_xlfn.SINGLE(INDEX('[1]ATTENDANCE DAILY'!$AW$4:$AW$663,$CC39))),"",IF(_xlfn.SINGLE(INDEX('[1]ATTENDANCE DAILY'!$I$4:$AM$663,$CC39,DAY(AI$14)))="T-Late","T-L",IF(_xlfn.SINGLE(INDEX('[1]ATTENDANCE DAILY'!$I$4:$AM$663,$CC39,DAY(AI$14)))="T-Cutting","T-C",INDEX('[1]ATTENDANCE DAILY'!$I$4:$AM$663,$CC39,DAY(AI$14)))))),IFERROR(IF(_xlpm._r=0,"",_xlpm._r),""))</f>
        <v/>
      </c>
      <c r="AJ39" s="58"/>
      <c r="AK39" s="55"/>
      <c r="AL39" s="57" t="str">
        <f>_xlfn.LET(_xlpm._r,_xlfn.SINGLE(IF(OR($CC39="",AL$14="",AL$14&lt;_xlfn.SINGLE(INDEX('[1]ATTENDANCE DAILY'!$AV$4:$AV$663,$CC39)),AL$14&gt;_xlfn.SINGLE(INDEX('[1]ATTENDANCE DAILY'!$AW$4:$AW$663,$CC39))),"",IF(_xlfn.SINGLE(INDEX('[1]ATTENDANCE DAILY'!$I$4:$AM$663,$CC39,DAY(AL$14)))="T-Late","T-L",IF(_xlfn.SINGLE(INDEX('[1]ATTENDANCE DAILY'!$I$4:$AM$663,$CC39,DAY(AL$14)))="T-Cutting","T-C",INDEX('[1]ATTENDANCE DAILY'!$I$4:$AM$663,$CC39,DAY(AL$14)))))),IFERROR(IF(_xlpm._r=0,"",_xlpm._r),""))</f>
        <v/>
      </c>
      <c r="AM39" s="55"/>
      <c r="AN39" s="57" t="str">
        <f>_xlfn.LET(_xlpm._r,_xlfn.SINGLE(IF(OR($CC39="",AN$14="",AN$14&lt;_xlfn.SINGLE(INDEX('[1]ATTENDANCE DAILY'!$AV$4:$AV$663,$CC39)),AN$14&gt;_xlfn.SINGLE(INDEX('[1]ATTENDANCE DAILY'!$AW$4:$AW$663,$CC39))),"",IF(_xlfn.SINGLE(INDEX('[1]ATTENDANCE DAILY'!$I$4:$AM$663,$CC39,DAY(AN$14)))="T-Late","T-L",IF(_xlfn.SINGLE(INDEX('[1]ATTENDANCE DAILY'!$I$4:$AM$663,$CC39,DAY(AN$14)))="T-Cutting","T-C",INDEX('[1]ATTENDANCE DAILY'!$I$4:$AM$663,$CC39,DAY(AN$14)))))),IFERROR(IF(_xlpm._r=0,"",_xlpm._r),""))</f>
        <v/>
      </c>
      <c r="AO39" s="86"/>
      <c r="AP39" s="54" t="str">
        <f>_xlfn.LET(_xlpm._r,_xlfn.SINGLE(IF(OR($CC39="",AP$14="",AP$14&lt;_xlfn.SINGLE(INDEX('[1]ATTENDANCE DAILY'!$AV$4:$AV$663,$CC39)),AP$14&gt;_xlfn.SINGLE(INDEX('[1]ATTENDANCE DAILY'!$AW$4:$AW$663,$CC39))),"",IF(_xlfn.SINGLE(INDEX('[1]ATTENDANCE DAILY'!$I$4:$AM$663,$CC39,DAY(AP$14)))="T-Late","T-L",IF(_xlfn.SINGLE(INDEX('[1]ATTENDANCE DAILY'!$I$4:$AM$663,$CC39,DAY(AP$14)))="T-Cutting","T-C",INDEX('[1]ATTENDANCE DAILY'!$I$4:$AM$663,$CC39,DAY(AP$14)))))),IFERROR(IF(_xlpm._r=0,"",_xlpm._r),""))</f>
        <v/>
      </c>
      <c r="AQ39" s="55"/>
      <c r="AR39" s="56" t="str">
        <f>_xlfn.LET(_xlpm._r,_xlfn.SINGLE(IF(OR($CC39="",AR$14="",AR$14&lt;_xlfn.SINGLE(INDEX('[1]ATTENDANCE DAILY'!$AV$4:$AV$663,$CC39)),AR$14&gt;_xlfn.SINGLE(INDEX('[1]ATTENDANCE DAILY'!$AW$4:$AW$663,$CC39))),"",IF(_xlfn.SINGLE(INDEX('[1]ATTENDANCE DAILY'!$I$4:$AM$663,$CC39,DAY(AR$14)))="T-Late","T-L",IF(_xlfn.SINGLE(INDEX('[1]ATTENDANCE DAILY'!$I$4:$AM$663,$CC39,DAY(AR$14)))="T-Cutting","T-C",INDEX('[1]ATTENDANCE DAILY'!$I$4:$AM$663,$CC39,DAY(AR$14)))))),IFERROR(IF(_xlpm._r=0,"",_xlpm._r),""))</f>
        <v/>
      </c>
      <c r="AS39" s="57" t="str">
        <f>_xlfn.LET(_xlpm._r,_xlfn.SINGLE(IF(OR($CC39="",AS$14="",AS$14&lt;_xlfn.SINGLE(INDEX('[1]ATTENDANCE DAILY'!$AV$4:$AV$663,$CC39)),AS$14&gt;_xlfn.SINGLE(INDEX('[1]ATTENDANCE DAILY'!$AW$4:$AW$663,$CC39))),"",IF(_xlfn.SINGLE(INDEX('[1]ATTENDANCE DAILY'!$I$4:$AM$663,$CC39,DAY(AS$14)))="T-Late","T-L",IF(_xlfn.SINGLE(INDEX('[1]ATTENDANCE DAILY'!$I$4:$AM$663,$CC39,DAY(AS$14)))="T-Cutting","T-C",INDEX('[1]ATTENDANCE DAILY'!$I$4:$AM$663,$CC39,DAY(AS$14)))))),IFERROR(IF(_xlpm._r=0,"",_xlpm._r),""))</f>
        <v/>
      </c>
      <c r="AT39" s="55"/>
      <c r="AU39" s="56" t="str">
        <f>_xlfn.LET(_xlpm._r,_xlfn.SINGLE(IF(OR($CC39="",AU$14="",AU$14&lt;_xlfn.SINGLE(INDEX('[1]ATTENDANCE DAILY'!$AV$4:$AV$663,$CC39)),AU$14&gt;_xlfn.SINGLE(INDEX('[1]ATTENDANCE DAILY'!$AW$4:$AW$663,$CC39))),"",IF(_xlfn.SINGLE(INDEX('[1]ATTENDANCE DAILY'!$I$4:$AM$663,$CC39,DAY(AU$14)))="T-Late","T-L",IF(_xlfn.SINGLE(INDEX('[1]ATTENDANCE DAILY'!$I$4:$AM$663,$CC39,DAY(AU$14)))="T-Cutting","T-C",INDEX('[1]ATTENDANCE DAILY'!$I$4:$AM$663,$CC39,DAY(AU$14)))))),IFERROR(IF(_xlpm._r=0,"",_xlpm._r),""))</f>
        <v/>
      </c>
      <c r="AV39" s="87" t="str">
        <f>_xlfn.LET(_xlpm._r,_xlfn.SINGLE(IF(OR($CC39="",AV$14="",AV$14&lt;_xlfn.SINGLE(INDEX('[1]ATTENDANCE DAILY'!$AV$4:$AV$663,$CC39)),AV$14&gt;_xlfn.SINGLE(INDEX('[1]ATTENDANCE DAILY'!$AW$4:$AW$663,$CC39))),"",IF(_xlfn.SINGLE(INDEX('[1]ATTENDANCE DAILY'!$I$4:$AM$663,$CC39,DAY(AV$14)))="T-Late","T-L",IF(_xlfn.SINGLE(INDEX('[1]ATTENDANCE DAILY'!$I$4:$AM$663,$CC39,DAY(AV$14)))="T-Cutting","T-C",INDEX('[1]ATTENDANCE DAILY'!$I$4:$AM$663,$CC39,DAY(AV$14)))))),IFERROR(IF(_xlpm._r=0,"",_xlpm._r),""))</f>
        <v/>
      </c>
      <c r="AW39" s="54" t="str">
        <f>_xlfn.LET(_xlpm._r,_xlfn.SINGLE(IF(OR($CC39="",AW$14="",AW$14&lt;_xlfn.SINGLE(INDEX('[1]ATTENDANCE DAILY'!$AV$4:$AV$663,$CC39)),AW$14&gt;_xlfn.SINGLE(INDEX('[1]ATTENDANCE DAILY'!$AW$4:$AW$663,$CC39))),"",IF(_xlfn.SINGLE(INDEX('[1]ATTENDANCE DAILY'!$I$4:$AM$663,$CC39,DAY(AW$14)))="T-Late","T-L",IF(_xlfn.SINGLE(INDEX('[1]ATTENDANCE DAILY'!$I$4:$AM$663,$CC39,DAY(AW$14)))="T-Cutting","T-C",INDEX('[1]ATTENDANCE DAILY'!$I$4:$AM$663,$CC39,DAY(AW$14)))))),IFERROR(IF(_xlpm._r=0,"",_xlpm._r),""))</f>
        <v/>
      </c>
      <c r="AX39" s="55"/>
      <c r="AY39" s="57" t="str">
        <f>_xlfn.LET(_xlpm._r,_xlfn.SINGLE(IF(OR($CC39="",AY$14="",AY$14&lt;_xlfn.SINGLE(INDEX('[1]ATTENDANCE DAILY'!$AV$4:$AV$663,$CC39)),AY$14&gt;_xlfn.SINGLE(INDEX('[1]ATTENDANCE DAILY'!$AW$4:$AW$663,$CC39))),"",IF(_xlfn.SINGLE(INDEX('[1]ATTENDANCE DAILY'!$I$4:$AM$663,$CC39,DAY(AY$14)))="T-Late","T-L",IF(_xlfn.SINGLE(INDEX('[1]ATTENDANCE DAILY'!$I$4:$AM$663,$CC39,DAY(AY$14)))="T-Cutting","T-C",INDEX('[1]ATTENDANCE DAILY'!$I$4:$AM$663,$CC39,DAY(AY$14)))))),IFERROR(IF(_xlpm._r=0,"",_xlpm._r),""))</f>
        <v/>
      </c>
      <c r="AZ39" s="58"/>
      <c r="BA39" s="55"/>
      <c r="BB39" s="57" t="str">
        <f>_xlfn.LET(_xlpm._r,_xlfn.SINGLE(IF(OR($CC39="",BB$14="",BB$14&lt;_xlfn.SINGLE(INDEX('[1]ATTENDANCE DAILY'!$AV$4:$AV$663,$CC39)),BB$14&gt;_xlfn.SINGLE(INDEX('[1]ATTENDANCE DAILY'!$AW$4:$AW$663,$CC39))),"",IF(_xlfn.SINGLE(INDEX('[1]ATTENDANCE DAILY'!$I$4:$AM$663,$CC39,DAY(BB$14)))="T-Late","T-L",IF(_xlfn.SINGLE(INDEX('[1]ATTENDANCE DAILY'!$I$4:$AM$663,$CC39,DAY(BB$14)))="T-Cutting","T-C",INDEX('[1]ATTENDANCE DAILY'!$I$4:$AM$663,$CC39,DAY(BB$14)))))),IFERROR(IF(_xlpm._r=0,"",_xlpm._r),""))</f>
        <v/>
      </c>
      <c r="BC39" s="55"/>
      <c r="BD39" s="56" t="str">
        <f>_xlfn.LET(_xlpm._r,_xlfn.SINGLE(IF(OR($CC39="",BD$14="",BD$14&lt;_xlfn.SINGLE(INDEX('[1]ATTENDANCE DAILY'!$AV$4:$AV$663,$CC39)),BD$14&gt;_xlfn.SINGLE(INDEX('[1]ATTENDANCE DAILY'!$AW$4:$AW$663,$CC39))),"",IF(_xlfn.SINGLE(INDEX('[1]ATTENDANCE DAILY'!$I$4:$AM$663,$CC39,DAY(BD$14)))="T-Late","T-L",IF(_xlfn.SINGLE(INDEX('[1]ATTENDANCE DAILY'!$I$4:$AM$663,$CC39,DAY(BD$14)))="T-Cutting","T-C",INDEX('[1]ATTENDANCE DAILY'!$I$4:$AM$663,$CC39,DAY(BD$14)))))),IFERROR(IF(_xlpm._r=0,"",_xlpm._r),""))</f>
        <v/>
      </c>
      <c r="BE39" s="57" t="str">
        <f>_xlfn.LET(_xlpm._r,_xlfn.SINGLE(IF(OR($CC39="",BE$14="",BE$14&lt;_xlfn.SINGLE(INDEX('[1]ATTENDANCE DAILY'!$AV$4:$AV$663,$CC39)),BE$14&gt;_xlfn.SINGLE(INDEX('[1]ATTENDANCE DAILY'!$AW$4:$AW$663,$CC39))),"",IF(_xlfn.SINGLE(INDEX('[1]ATTENDANCE DAILY'!$I$4:$AM$663,$CC39,DAY(BE$14)))="T-Late","T-L",IF(_xlfn.SINGLE(INDEX('[1]ATTENDANCE DAILY'!$I$4:$AM$663,$CC39,DAY(BE$14)))="T-Cutting","T-C",INDEX('[1]ATTENDANCE DAILY'!$I$4:$AM$663,$CC39,DAY(BE$14)))))),IFERROR(IF(_xlpm._r=0,"",_xlpm._r),""))</f>
        <v/>
      </c>
      <c r="BF39" s="58"/>
      <c r="BG39" s="58"/>
      <c r="BH39" s="86"/>
      <c r="BI39" s="88" t="str">
        <f>IF($CC39="","",INDEX('[1]ATTENDANCE DAILY'!$AR$4:$AR$663,$CC39))</f>
        <v/>
      </c>
      <c r="BJ39" s="89"/>
      <c r="BK39" s="90"/>
      <c r="BL39" s="88" t="str">
        <f>IF($CC39="","",INDEX('[1]ATTENDANCE DAILY'!$AS$4:$AS$663,$CC39))</f>
        <v/>
      </c>
      <c r="BM39" s="89"/>
      <c r="BN39" s="89"/>
      <c r="BO39" s="90"/>
      <c r="BP39" s="91" t="str">
        <f>IF($CC39="","",IF(INDEX('[1]ATTENDANCE DAILY'!$AN$4:$AN$663,$CC39)="","",INDEX('[1]ATTENDANCE DAILY'!$AN$4:$AN$663,$CC39)&amp;IF(INDEX('[1]ATTENDANCE DAILY'!$AO$4:$AO$663,$CC39)="",""," ("&amp;TEXT(INDEX('[1]ATTENDANCE DAILY'!$AO$4:$AO$663,$CC39),"mm-dd-yyyy")&amp;")")&amp;IF(INDEX('[1]ATTENDANCE DAILY'!$AP$4:$AP$663,$CC39)="",""," - "&amp;INDEX('[1]ATTENDANCE DAILY'!$AP$4:$AP$663,$CC39))))</f>
        <v/>
      </c>
      <c r="BQ39" s="89"/>
      <c r="BR39" s="89"/>
      <c r="BS39" s="89"/>
      <c r="BT39" s="89"/>
      <c r="BU39" s="89"/>
      <c r="BV39" s="89"/>
      <c r="BW39" s="89"/>
      <c r="BX39" s="89"/>
      <c r="BY39" s="89"/>
      <c r="BZ39" s="89"/>
      <c r="CA39" s="90"/>
      <c r="CC39" t="str">
        <f>IF(COUNTIFS('[1]ATTENDANCE DAILY'!$C$4:$C$663,$BN$11,'[1]ATTENDANCE DAILY'!$F$4:$F$663,"Male",'[1]ATTENDANCE DAILY'!$G$4:$G$663,1,'[1]ATTENDANCE DAILY'!$BA$4:$BA$663,22)=0,"",SUMIFS('[1]ATTENDANCE DAILY'!$A$4:$A$663,'[1]ATTENDANCE DAILY'!$C$4:$C$663,$BN$11,'[1]ATTENDANCE DAILY'!$F$4:$F$663,"Male",'[1]ATTENDANCE DAILY'!$G$4:$G$663,1,'[1]ATTENDANCE DAILY'!$BA$4:$BA$663,22))</f>
        <v/>
      </c>
    </row>
    <row r="40" spans="1:81" ht="19.95" customHeight="1">
      <c r="A40" s="80">
        <v>23</v>
      </c>
      <c r="B40" s="81"/>
      <c r="C40" s="81"/>
      <c r="D40" s="81"/>
      <c r="E40" s="81"/>
      <c r="F40" s="82"/>
      <c r="G40" s="83" t="str">
        <f>IF($CC40="","",INDEX('[1]ATTENDANCE DAILY'!$E$4:$E$663,$CC40))</f>
        <v/>
      </c>
      <c r="H40" s="84"/>
      <c r="I40" s="84"/>
      <c r="J40" s="85"/>
      <c r="K40" s="54" t="str">
        <f>_xlfn.LET(_xlpm._r,_xlfn.SINGLE(IF(OR($CC40="",K$14="",K$14&lt;_xlfn.SINGLE(INDEX('[1]ATTENDANCE DAILY'!$AV$4:$AV$663,$CC40)),K$14&gt;_xlfn.SINGLE(INDEX('[1]ATTENDANCE DAILY'!$AW$4:$AW$663,$CC40))),"",IF(_xlfn.SINGLE(INDEX('[1]ATTENDANCE DAILY'!$I$4:$AM$663,$CC40,DAY(K$14)))="T-Late","T-L",IF(_xlfn.SINGLE(INDEX('[1]ATTENDANCE DAILY'!$I$4:$AM$663,$CC40,DAY(K$14)))="T-Cutting","T-C",INDEX('[1]ATTENDANCE DAILY'!$I$4:$AM$663,$CC40,DAY(K$14)))))),IFERROR(IF(_xlpm._r=0,"",_xlpm._r),""))</f>
        <v/>
      </c>
      <c r="L40" s="55"/>
      <c r="M40" s="56" t="str">
        <f>_xlfn.LET(_xlpm._r,_xlfn.SINGLE(IF(OR($CC40="",M$14="",M$14&lt;_xlfn.SINGLE(INDEX('[1]ATTENDANCE DAILY'!$AV$4:$AV$663,$CC40)),M$14&gt;_xlfn.SINGLE(INDEX('[1]ATTENDANCE DAILY'!$AW$4:$AW$663,$CC40))),"",IF(_xlfn.SINGLE(INDEX('[1]ATTENDANCE DAILY'!$I$4:$AM$663,$CC40,DAY(M$14)))="T-Late","T-L",IF(_xlfn.SINGLE(INDEX('[1]ATTENDANCE DAILY'!$I$4:$AM$663,$CC40,DAY(M$14)))="T-Cutting","T-C",INDEX('[1]ATTENDANCE DAILY'!$I$4:$AM$663,$CC40,DAY(M$14)))))),IFERROR(IF(_xlpm._r=0,"",_xlpm._r),""))</f>
        <v/>
      </c>
      <c r="N40" s="56" t="str">
        <f>_xlfn.LET(_xlpm._r,_xlfn.SINGLE(IF(OR($CC40="",N$14="",N$14&lt;_xlfn.SINGLE(INDEX('[1]ATTENDANCE DAILY'!$AV$4:$AV$663,$CC40)),N$14&gt;_xlfn.SINGLE(INDEX('[1]ATTENDANCE DAILY'!$AW$4:$AW$663,$CC40))),"",IF(_xlfn.SINGLE(INDEX('[1]ATTENDANCE DAILY'!$I$4:$AM$663,$CC40,DAY(N$14)))="T-Late","T-L",IF(_xlfn.SINGLE(INDEX('[1]ATTENDANCE DAILY'!$I$4:$AM$663,$CC40,DAY(N$14)))="T-Cutting","T-C",INDEX('[1]ATTENDANCE DAILY'!$I$4:$AM$663,$CC40,DAY(N$14)))))),IFERROR(IF(_xlpm._r=0,"",_xlpm._r),""))</f>
        <v/>
      </c>
      <c r="O40" s="57" t="str">
        <f>_xlfn.LET(_xlpm._r,_xlfn.SINGLE(IF(OR($CC40="",O$14="",O$14&lt;_xlfn.SINGLE(INDEX('[1]ATTENDANCE DAILY'!$AV$4:$AV$663,$CC40)),O$14&gt;_xlfn.SINGLE(INDEX('[1]ATTENDANCE DAILY'!$AW$4:$AW$663,$CC40))),"",IF(_xlfn.SINGLE(INDEX('[1]ATTENDANCE DAILY'!$I$4:$AM$663,$CC40,DAY(O$14)))="T-Late","T-L",IF(_xlfn.SINGLE(INDEX('[1]ATTENDANCE DAILY'!$I$4:$AM$663,$CC40,DAY(O$14)))="T-Cutting","T-C",INDEX('[1]ATTENDANCE DAILY'!$I$4:$AM$663,$CC40,DAY(O$14)))))),IFERROR(IF(_xlpm._r=0,"",_xlpm._r),""))</f>
        <v/>
      </c>
      <c r="P40" s="58"/>
      <c r="Q40" s="58"/>
      <c r="R40" s="55"/>
      <c r="S40" s="57" t="str">
        <f>_xlfn.LET(_xlpm._r,_xlfn.SINGLE(IF(OR($CC40="",S$14="",S$14&lt;_xlfn.SINGLE(INDEX('[1]ATTENDANCE DAILY'!$AV$4:$AV$663,$CC40)),S$14&gt;_xlfn.SINGLE(INDEX('[1]ATTENDANCE DAILY'!$AW$4:$AW$663,$CC40))),"",IF(_xlfn.SINGLE(INDEX('[1]ATTENDANCE DAILY'!$I$4:$AM$663,$CC40,DAY(S$14)))="T-Late","T-L",IF(_xlfn.SINGLE(INDEX('[1]ATTENDANCE DAILY'!$I$4:$AM$663,$CC40,DAY(S$14)))="T-Cutting","T-C",INDEX('[1]ATTENDANCE DAILY'!$I$4:$AM$663,$CC40,DAY(S$14)))))),IFERROR(IF(_xlpm._r=0,"",_xlpm._r),""))</f>
        <v/>
      </c>
      <c r="T40" s="58"/>
      <c r="U40" s="86"/>
      <c r="V40" s="59" t="str">
        <f>_xlfn.LET(_xlpm._r,_xlfn.SINGLE(IF(OR($CC40="",V$14="",V$14&lt;_xlfn.SINGLE(INDEX('[1]ATTENDANCE DAILY'!$AV$4:$AV$663,$CC40)),V$14&gt;_xlfn.SINGLE(INDEX('[1]ATTENDANCE DAILY'!$AW$4:$AW$663,$CC40))),"",IF(_xlfn.SINGLE(INDEX('[1]ATTENDANCE DAILY'!$I$4:$AM$663,$CC40,DAY(V$14)))="T-Late","T-L",IF(_xlfn.SINGLE(INDEX('[1]ATTENDANCE DAILY'!$I$4:$AM$663,$CC40,DAY(V$14)))="T-Cutting","T-C",INDEX('[1]ATTENDANCE DAILY'!$I$4:$AM$663,$CC40,DAY(V$14)))))),IFERROR(IF(_xlpm._r=0,"",_xlpm._r),""))</f>
        <v/>
      </c>
      <c r="W40" s="57" t="str">
        <f>_xlfn.LET(_xlpm._r,_xlfn.SINGLE(IF(OR($CC40="",W$14="",W$14&lt;_xlfn.SINGLE(INDEX('[1]ATTENDANCE DAILY'!$AV$4:$AV$663,$CC40)),W$14&gt;_xlfn.SINGLE(INDEX('[1]ATTENDANCE DAILY'!$AW$4:$AW$663,$CC40))),"",IF(_xlfn.SINGLE(INDEX('[1]ATTENDANCE DAILY'!$I$4:$AM$663,$CC40,DAY(W$14)))="T-Late","T-L",IF(_xlfn.SINGLE(INDEX('[1]ATTENDANCE DAILY'!$I$4:$AM$663,$CC40,DAY(W$14)))="T-Cutting","T-C",INDEX('[1]ATTENDANCE DAILY'!$I$4:$AM$663,$CC40,DAY(W$14)))))),IFERROR(IF(_xlpm._r=0,"",_xlpm._r),""))</f>
        <v/>
      </c>
      <c r="X40" s="58"/>
      <c r="Y40" s="55"/>
      <c r="Z40" s="56" t="str">
        <f>_xlfn.LET(_xlpm._r,_xlfn.SINGLE(IF(OR($CC40="",Z$14="",Z$14&lt;_xlfn.SINGLE(INDEX('[1]ATTENDANCE DAILY'!$AV$4:$AV$663,$CC40)),Z$14&gt;_xlfn.SINGLE(INDEX('[1]ATTENDANCE DAILY'!$AW$4:$AW$663,$CC40))),"",IF(_xlfn.SINGLE(INDEX('[1]ATTENDANCE DAILY'!$I$4:$AM$663,$CC40,DAY(Z$14)))="T-Late","T-L",IF(_xlfn.SINGLE(INDEX('[1]ATTENDANCE DAILY'!$I$4:$AM$663,$CC40,DAY(Z$14)))="T-Cutting","T-C",INDEX('[1]ATTENDANCE DAILY'!$I$4:$AM$663,$CC40,DAY(Z$14)))))),IFERROR(IF(_xlpm._r=0,"",_xlpm._r),""))</f>
        <v/>
      </c>
      <c r="AA40" s="56" t="str">
        <f>_xlfn.LET(_xlpm._r,_xlfn.SINGLE(IF(OR($CC40="",AA$14="",AA$14&lt;_xlfn.SINGLE(INDEX('[1]ATTENDANCE DAILY'!$AV$4:$AV$663,$CC40)),AA$14&gt;_xlfn.SINGLE(INDEX('[1]ATTENDANCE DAILY'!$AW$4:$AW$663,$CC40))),"",IF(_xlfn.SINGLE(INDEX('[1]ATTENDANCE DAILY'!$I$4:$AM$663,$CC40,DAY(AA$14)))="T-Late","T-L",IF(_xlfn.SINGLE(INDEX('[1]ATTENDANCE DAILY'!$I$4:$AM$663,$CC40,DAY(AA$14)))="T-Cutting","T-C",INDEX('[1]ATTENDANCE DAILY'!$I$4:$AM$663,$CC40,DAY(AA$14)))))),IFERROR(IF(_xlpm._r=0,"",_xlpm._r),""))</f>
        <v/>
      </c>
      <c r="AB40" s="57" t="str">
        <f>_xlfn.LET(_xlpm._r,_xlfn.SINGLE(IF(OR($CC40="",AB$14="",AB$14&lt;_xlfn.SINGLE(INDEX('[1]ATTENDANCE DAILY'!$AV$4:$AV$663,$CC40)),AB$14&gt;_xlfn.SINGLE(INDEX('[1]ATTENDANCE DAILY'!$AW$4:$AW$663,$CC40))),"",IF(_xlfn.SINGLE(INDEX('[1]ATTENDANCE DAILY'!$I$4:$AM$663,$CC40,DAY(AB$14)))="T-Late","T-L",IF(_xlfn.SINGLE(INDEX('[1]ATTENDANCE DAILY'!$I$4:$AM$663,$CC40,DAY(AB$14)))="T-Cutting","T-C",INDEX('[1]ATTENDANCE DAILY'!$I$4:$AM$663,$CC40,DAY(AB$14)))))),IFERROR(IF(_xlpm._r=0,"",_xlpm._r),""))</f>
        <v/>
      </c>
      <c r="AC40" s="58"/>
      <c r="AD40" s="86"/>
      <c r="AE40" s="54" t="str">
        <f>_xlfn.LET(_xlpm._r,_xlfn.SINGLE(IF(OR($CC40="",AE$14="",AE$14&lt;_xlfn.SINGLE(INDEX('[1]ATTENDANCE DAILY'!$AV$4:$AV$663,$CC40)),AE$14&gt;_xlfn.SINGLE(INDEX('[1]ATTENDANCE DAILY'!$AW$4:$AW$663,$CC40))),"",IF(_xlfn.SINGLE(INDEX('[1]ATTENDANCE DAILY'!$I$4:$AM$663,$CC40,DAY(AE$14)))="T-Late","T-L",IF(_xlfn.SINGLE(INDEX('[1]ATTENDANCE DAILY'!$I$4:$AM$663,$CC40,DAY(AE$14)))="T-Cutting","T-C",INDEX('[1]ATTENDANCE DAILY'!$I$4:$AM$663,$CC40,DAY(AE$14)))))),IFERROR(IF(_xlpm._r=0,"",_xlpm._r),""))</f>
        <v/>
      </c>
      <c r="AF40" s="58"/>
      <c r="AG40" s="55"/>
      <c r="AH40" s="56" t="str">
        <f>_xlfn.LET(_xlpm._r,_xlfn.SINGLE(IF(OR($CC40="",AH$14="",AH$14&lt;_xlfn.SINGLE(INDEX('[1]ATTENDANCE DAILY'!$AV$4:$AV$663,$CC40)),AH$14&gt;_xlfn.SINGLE(INDEX('[1]ATTENDANCE DAILY'!$AW$4:$AW$663,$CC40))),"",IF(_xlfn.SINGLE(INDEX('[1]ATTENDANCE DAILY'!$I$4:$AM$663,$CC40,DAY(AH$14)))="T-Late","T-L",IF(_xlfn.SINGLE(INDEX('[1]ATTENDANCE DAILY'!$I$4:$AM$663,$CC40,DAY(AH$14)))="T-Cutting","T-C",INDEX('[1]ATTENDANCE DAILY'!$I$4:$AM$663,$CC40,DAY(AH$14)))))),IFERROR(IF(_xlpm._r=0,"",_xlpm._r),""))</f>
        <v/>
      </c>
      <c r="AI40" s="57" t="str">
        <f>_xlfn.LET(_xlpm._r,_xlfn.SINGLE(IF(OR($CC40="",AI$14="",AI$14&lt;_xlfn.SINGLE(INDEX('[1]ATTENDANCE DAILY'!$AV$4:$AV$663,$CC40)),AI$14&gt;_xlfn.SINGLE(INDEX('[1]ATTENDANCE DAILY'!$AW$4:$AW$663,$CC40))),"",IF(_xlfn.SINGLE(INDEX('[1]ATTENDANCE DAILY'!$I$4:$AM$663,$CC40,DAY(AI$14)))="T-Late","T-L",IF(_xlfn.SINGLE(INDEX('[1]ATTENDANCE DAILY'!$I$4:$AM$663,$CC40,DAY(AI$14)))="T-Cutting","T-C",INDEX('[1]ATTENDANCE DAILY'!$I$4:$AM$663,$CC40,DAY(AI$14)))))),IFERROR(IF(_xlpm._r=0,"",_xlpm._r),""))</f>
        <v/>
      </c>
      <c r="AJ40" s="58"/>
      <c r="AK40" s="55"/>
      <c r="AL40" s="57" t="str">
        <f>_xlfn.LET(_xlpm._r,_xlfn.SINGLE(IF(OR($CC40="",AL$14="",AL$14&lt;_xlfn.SINGLE(INDEX('[1]ATTENDANCE DAILY'!$AV$4:$AV$663,$CC40)),AL$14&gt;_xlfn.SINGLE(INDEX('[1]ATTENDANCE DAILY'!$AW$4:$AW$663,$CC40))),"",IF(_xlfn.SINGLE(INDEX('[1]ATTENDANCE DAILY'!$I$4:$AM$663,$CC40,DAY(AL$14)))="T-Late","T-L",IF(_xlfn.SINGLE(INDEX('[1]ATTENDANCE DAILY'!$I$4:$AM$663,$CC40,DAY(AL$14)))="T-Cutting","T-C",INDEX('[1]ATTENDANCE DAILY'!$I$4:$AM$663,$CC40,DAY(AL$14)))))),IFERROR(IF(_xlpm._r=0,"",_xlpm._r),""))</f>
        <v/>
      </c>
      <c r="AM40" s="55"/>
      <c r="AN40" s="57" t="str">
        <f>_xlfn.LET(_xlpm._r,_xlfn.SINGLE(IF(OR($CC40="",AN$14="",AN$14&lt;_xlfn.SINGLE(INDEX('[1]ATTENDANCE DAILY'!$AV$4:$AV$663,$CC40)),AN$14&gt;_xlfn.SINGLE(INDEX('[1]ATTENDANCE DAILY'!$AW$4:$AW$663,$CC40))),"",IF(_xlfn.SINGLE(INDEX('[1]ATTENDANCE DAILY'!$I$4:$AM$663,$CC40,DAY(AN$14)))="T-Late","T-L",IF(_xlfn.SINGLE(INDEX('[1]ATTENDANCE DAILY'!$I$4:$AM$663,$CC40,DAY(AN$14)))="T-Cutting","T-C",INDEX('[1]ATTENDANCE DAILY'!$I$4:$AM$663,$CC40,DAY(AN$14)))))),IFERROR(IF(_xlpm._r=0,"",_xlpm._r),""))</f>
        <v/>
      </c>
      <c r="AO40" s="86"/>
      <c r="AP40" s="54" t="str">
        <f>_xlfn.LET(_xlpm._r,_xlfn.SINGLE(IF(OR($CC40="",AP$14="",AP$14&lt;_xlfn.SINGLE(INDEX('[1]ATTENDANCE DAILY'!$AV$4:$AV$663,$CC40)),AP$14&gt;_xlfn.SINGLE(INDEX('[1]ATTENDANCE DAILY'!$AW$4:$AW$663,$CC40))),"",IF(_xlfn.SINGLE(INDEX('[1]ATTENDANCE DAILY'!$I$4:$AM$663,$CC40,DAY(AP$14)))="T-Late","T-L",IF(_xlfn.SINGLE(INDEX('[1]ATTENDANCE DAILY'!$I$4:$AM$663,$CC40,DAY(AP$14)))="T-Cutting","T-C",INDEX('[1]ATTENDANCE DAILY'!$I$4:$AM$663,$CC40,DAY(AP$14)))))),IFERROR(IF(_xlpm._r=0,"",_xlpm._r),""))</f>
        <v/>
      </c>
      <c r="AQ40" s="55"/>
      <c r="AR40" s="56" t="str">
        <f>_xlfn.LET(_xlpm._r,_xlfn.SINGLE(IF(OR($CC40="",AR$14="",AR$14&lt;_xlfn.SINGLE(INDEX('[1]ATTENDANCE DAILY'!$AV$4:$AV$663,$CC40)),AR$14&gt;_xlfn.SINGLE(INDEX('[1]ATTENDANCE DAILY'!$AW$4:$AW$663,$CC40))),"",IF(_xlfn.SINGLE(INDEX('[1]ATTENDANCE DAILY'!$I$4:$AM$663,$CC40,DAY(AR$14)))="T-Late","T-L",IF(_xlfn.SINGLE(INDEX('[1]ATTENDANCE DAILY'!$I$4:$AM$663,$CC40,DAY(AR$14)))="T-Cutting","T-C",INDEX('[1]ATTENDANCE DAILY'!$I$4:$AM$663,$CC40,DAY(AR$14)))))),IFERROR(IF(_xlpm._r=0,"",_xlpm._r),""))</f>
        <v/>
      </c>
      <c r="AS40" s="57" t="str">
        <f>_xlfn.LET(_xlpm._r,_xlfn.SINGLE(IF(OR($CC40="",AS$14="",AS$14&lt;_xlfn.SINGLE(INDEX('[1]ATTENDANCE DAILY'!$AV$4:$AV$663,$CC40)),AS$14&gt;_xlfn.SINGLE(INDEX('[1]ATTENDANCE DAILY'!$AW$4:$AW$663,$CC40))),"",IF(_xlfn.SINGLE(INDEX('[1]ATTENDANCE DAILY'!$I$4:$AM$663,$CC40,DAY(AS$14)))="T-Late","T-L",IF(_xlfn.SINGLE(INDEX('[1]ATTENDANCE DAILY'!$I$4:$AM$663,$CC40,DAY(AS$14)))="T-Cutting","T-C",INDEX('[1]ATTENDANCE DAILY'!$I$4:$AM$663,$CC40,DAY(AS$14)))))),IFERROR(IF(_xlpm._r=0,"",_xlpm._r),""))</f>
        <v/>
      </c>
      <c r="AT40" s="55"/>
      <c r="AU40" s="56" t="str">
        <f>_xlfn.LET(_xlpm._r,_xlfn.SINGLE(IF(OR($CC40="",AU$14="",AU$14&lt;_xlfn.SINGLE(INDEX('[1]ATTENDANCE DAILY'!$AV$4:$AV$663,$CC40)),AU$14&gt;_xlfn.SINGLE(INDEX('[1]ATTENDANCE DAILY'!$AW$4:$AW$663,$CC40))),"",IF(_xlfn.SINGLE(INDEX('[1]ATTENDANCE DAILY'!$I$4:$AM$663,$CC40,DAY(AU$14)))="T-Late","T-L",IF(_xlfn.SINGLE(INDEX('[1]ATTENDANCE DAILY'!$I$4:$AM$663,$CC40,DAY(AU$14)))="T-Cutting","T-C",INDEX('[1]ATTENDANCE DAILY'!$I$4:$AM$663,$CC40,DAY(AU$14)))))),IFERROR(IF(_xlpm._r=0,"",_xlpm._r),""))</f>
        <v/>
      </c>
      <c r="AV40" s="87" t="str">
        <f>_xlfn.LET(_xlpm._r,_xlfn.SINGLE(IF(OR($CC40="",AV$14="",AV$14&lt;_xlfn.SINGLE(INDEX('[1]ATTENDANCE DAILY'!$AV$4:$AV$663,$CC40)),AV$14&gt;_xlfn.SINGLE(INDEX('[1]ATTENDANCE DAILY'!$AW$4:$AW$663,$CC40))),"",IF(_xlfn.SINGLE(INDEX('[1]ATTENDANCE DAILY'!$I$4:$AM$663,$CC40,DAY(AV$14)))="T-Late","T-L",IF(_xlfn.SINGLE(INDEX('[1]ATTENDANCE DAILY'!$I$4:$AM$663,$CC40,DAY(AV$14)))="T-Cutting","T-C",INDEX('[1]ATTENDANCE DAILY'!$I$4:$AM$663,$CC40,DAY(AV$14)))))),IFERROR(IF(_xlpm._r=0,"",_xlpm._r),""))</f>
        <v/>
      </c>
      <c r="AW40" s="54" t="str">
        <f>_xlfn.LET(_xlpm._r,_xlfn.SINGLE(IF(OR($CC40="",AW$14="",AW$14&lt;_xlfn.SINGLE(INDEX('[1]ATTENDANCE DAILY'!$AV$4:$AV$663,$CC40)),AW$14&gt;_xlfn.SINGLE(INDEX('[1]ATTENDANCE DAILY'!$AW$4:$AW$663,$CC40))),"",IF(_xlfn.SINGLE(INDEX('[1]ATTENDANCE DAILY'!$I$4:$AM$663,$CC40,DAY(AW$14)))="T-Late","T-L",IF(_xlfn.SINGLE(INDEX('[1]ATTENDANCE DAILY'!$I$4:$AM$663,$CC40,DAY(AW$14)))="T-Cutting","T-C",INDEX('[1]ATTENDANCE DAILY'!$I$4:$AM$663,$CC40,DAY(AW$14)))))),IFERROR(IF(_xlpm._r=0,"",_xlpm._r),""))</f>
        <v/>
      </c>
      <c r="AX40" s="55"/>
      <c r="AY40" s="57" t="str">
        <f>_xlfn.LET(_xlpm._r,_xlfn.SINGLE(IF(OR($CC40="",AY$14="",AY$14&lt;_xlfn.SINGLE(INDEX('[1]ATTENDANCE DAILY'!$AV$4:$AV$663,$CC40)),AY$14&gt;_xlfn.SINGLE(INDEX('[1]ATTENDANCE DAILY'!$AW$4:$AW$663,$CC40))),"",IF(_xlfn.SINGLE(INDEX('[1]ATTENDANCE DAILY'!$I$4:$AM$663,$CC40,DAY(AY$14)))="T-Late","T-L",IF(_xlfn.SINGLE(INDEX('[1]ATTENDANCE DAILY'!$I$4:$AM$663,$CC40,DAY(AY$14)))="T-Cutting","T-C",INDEX('[1]ATTENDANCE DAILY'!$I$4:$AM$663,$CC40,DAY(AY$14)))))),IFERROR(IF(_xlpm._r=0,"",_xlpm._r),""))</f>
        <v/>
      </c>
      <c r="AZ40" s="58"/>
      <c r="BA40" s="55"/>
      <c r="BB40" s="57" t="str">
        <f>_xlfn.LET(_xlpm._r,_xlfn.SINGLE(IF(OR($CC40="",BB$14="",BB$14&lt;_xlfn.SINGLE(INDEX('[1]ATTENDANCE DAILY'!$AV$4:$AV$663,$CC40)),BB$14&gt;_xlfn.SINGLE(INDEX('[1]ATTENDANCE DAILY'!$AW$4:$AW$663,$CC40))),"",IF(_xlfn.SINGLE(INDEX('[1]ATTENDANCE DAILY'!$I$4:$AM$663,$CC40,DAY(BB$14)))="T-Late","T-L",IF(_xlfn.SINGLE(INDEX('[1]ATTENDANCE DAILY'!$I$4:$AM$663,$CC40,DAY(BB$14)))="T-Cutting","T-C",INDEX('[1]ATTENDANCE DAILY'!$I$4:$AM$663,$CC40,DAY(BB$14)))))),IFERROR(IF(_xlpm._r=0,"",_xlpm._r),""))</f>
        <v/>
      </c>
      <c r="BC40" s="55"/>
      <c r="BD40" s="56" t="str">
        <f>_xlfn.LET(_xlpm._r,_xlfn.SINGLE(IF(OR($CC40="",BD$14="",BD$14&lt;_xlfn.SINGLE(INDEX('[1]ATTENDANCE DAILY'!$AV$4:$AV$663,$CC40)),BD$14&gt;_xlfn.SINGLE(INDEX('[1]ATTENDANCE DAILY'!$AW$4:$AW$663,$CC40))),"",IF(_xlfn.SINGLE(INDEX('[1]ATTENDANCE DAILY'!$I$4:$AM$663,$CC40,DAY(BD$14)))="T-Late","T-L",IF(_xlfn.SINGLE(INDEX('[1]ATTENDANCE DAILY'!$I$4:$AM$663,$CC40,DAY(BD$14)))="T-Cutting","T-C",INDEX('[1]ATTENDANCE DAILY'!$I$4:$AM$663,$CC40,DAY(BD$14)))))),IFERROR(IF(_xlpm._r=0,"",_xlpm._r),""))</f>
        <v/>
      </c>
      <c r="BE40" s="57" t="str">
        <f>_xlfn.LET(_xlpm._r,_xlfn.SINGLE(IF(OR($CC40="",BE$14="",BE$14&lt;_xlfn.SINGLE(INDEX('[1]ATTENDANCE DAILY'!$AV$4:$AV$663,$CC40)),BE$14&gt;_xlfn.SINGLE(INDEX('[1]ATTENDANCE DAILY'!$AW$4:$AW$663,$CC40))),"",IF(_xlfn.SINGLE(INDEX('[1]ATTENDANCE DAILY'!$I$4:$AM$663,$CC40,DAY(BE$14)))="T-Late","T-L",IF(_xlfn.SINGLE(INDEX('[1]ATTENDANCE DAILY'!$I$4:$AM$663,$CC40,DAY(BE$14)))="T-Cutting","T-C",INDEX('[1]ATTENDANCE DAILY'!$I$4:$AM$663,$CC40,DAY(BE$14)))))),IFERROR(IF(_xlpm._r=0,"",_xlpm._r),""))</f>
        <v/>
      </c>
      <c r="BF40" s="58"/>
      <c r="BG40" s="58"/>
      <c r="BH40" s="86"/>
      <c r="BI40" s="88" t="str">
        <f>IF($CC40="","",INDEX('[1]ATTENDANCE DAILY'!$AR$4:$AR$663,$CC40))</f>
        <v/>
      </c>
      <c r="BJ40" s="89"/>
      <c r="BK40" s="90"/>
      <c r="BL40" s="88" t="str">
        <f>IF($CC40="","",INDEX('[1]ATTENDANCE DAILY'!$AS$4:$AS$663,$CC40))</f>
        <v/>
      </c>
      <c r="BM40" s="89"/>
      <c r="BN40" s="89"/>
      <c r="BO40" s="90"/>
      <c r="BP40" s="91" t="str">
        <f>IF($CC40="","",IF(INDEX('[1]ATTENDANCE DAILY'!$AN$4:$AN$663,$CC40)="","",INDEX('[1]ATTENDANCE DAILY'!$AN$4:$AN$663,$CC40)&amp;IF(INDEX('[1]ATTENDANCE DAILY'!$AO$4:$AO$663,$CC40)="",""," ("&amp;TEXT(INDEX('[1]ATTENDANCE DAILY'!$AO$4:$AO$663,$CC40),"mm-dd-yyyy")&amp;")")&amp;IF(INDEX('[1]ATTENDANCE DAILY'!$AP$4:$AP$663,$CC40)="",""," - "&amp;INDEX('[1]ATTENDANCE DAILY'!$AP$4:$AP$663,$CC40))))</f>
        <v/>
      </c>
      <c r="BQ40" s="89"/>
      <c r="BR40" s="89"/>
      <c r="BS40" s="89"/>
      <c r="BT40" s="89"/>
      <c r="BU40" s="89"/>
      <c r="BV40" s="89"/>
      <c r="BW40" s="89"/>
      <c r="BX40" s="89"/>
      <c r="BY40" s="89"/>
      <c r="BZ40" s="89"/>
      <c r="CA40" s="90"/>
      <c r="CC40" t="str">
        <f>IF(COUNTIFS('[1]ATTENDANCE DAILY'!$C$4:$C$663,$BN$11,'[1]ATTENDANCE DAILY'!$F$4:$F$663,"Male",'[1]ATTENDANCE DAILY'!$G$4:$G$663,1,'[1]ATTENDANCE DAILY'!$BA$4:$BA$663,23)=0,"",SUMIFS('[1]ATTENDANCE DAILY'!$A$4:$A$663,'[1]ATTENDANCE DAILY'!$C$4:$C$663,$BN$11,'[1]ATTENDANCE DAILY'!$F$4:$F$663,"Male",'[1]ATTENDANCE DAILY'!$G$4:$G$663,1,'[1]ATTENDANCE DAILY'!$BA$4:$BA$663,23))</f>
        <v/>
      </c>
    </row>
    <row r="41" spans="1:81" ht="19.95" customHeight="1">
      <c r="A41" s="80">
        <v>24</v>
      </c>
      <c r="B41" s="81"/>
      <c r="C41" s="81"/>
      <c r="D41" s="81"/>
      <c r="E41" s="81"/>
      <c r="F41" s="82"/>
      <c r="G41" s="83" t="str">
        <f>IF($CC41="","",INDEX('[1]ATTENDANCE DAILY'!$E$4:$E$663,$CC41))</f>
        <v/>
      </c>
      <c r="H41" s="84"/>
      <c r="I41" s="84"/>
      <c r="J41" s="85"/>
      <c r="K41" s="54" t="str">
        <f>_xlfn.LET(_xlpm._r,_xlfn.SINGLE(IF(OR($CC41="",K$14="",K$14&lt;_xlfn.SINGLE(INDEX('[1]ATTENDANCE DAILY'!$AV$4:$AV$663,$CC41)),K$14&gt;_xlfn.SINGLE(INDEX('[1]ATTENDANCE DAILY'!$AW$4:$AW$663,$CC41))),"",IF(_xlfn.SINGLE(INDEX('[1]ATTENDANCE DAILY'!$I$4:$AM$663,$CC41,DAY(K$14)))="T-Late","T-L",IF(_xlfn.SINGLE(INDEX('[1]ATTENDANCE DAILY'!$I$4:$AM$663,$CC41,DAY(K$14)))="T-Cutting","T-C",INDEX('[1]ATTENDANCE DAILY'!$I$4:$AM$663,$CC41,DAY(K$14)))))),IFERROR(IF(_xlpm._r=0,"",_xlpm._r),""))</f>
        <v/>
      </c>
      <c r="L41" s="55"/>
      <c r="M41" s="56" t="str">
        <f>_xlfn.LET(_xlpm._r,_xlfn.SINGLE(IF(OR($CC41="",M$14="",M$14&lt;_xlfn.SINGLE(INDEX('[1]ATTENDANCE DAILY'!$AV$4:$AV$663,$CC41)),M$14&gt;_xlfn.SINGLE(INDEX('[1]ATTENDANCE DAILY'!$AW$4:$AW$663,$CC41))),"",IF(_xlfn.SINGLE(INDEX('[1]ATTENDANCE DAILY'!$I$4:$AM$663,$CC41,DAY(M$14)))="T-Late","T-L",IF(_xlfn.SINGLE(INDEX('[1]ATTENDANCE DAILY'!$I$4:$AM$663,$CC41,DAY(M$14)))="T-Cutting","T-C",INDEX('[1]ATTENDANCE DAILY'!$I$4:$AM$663,$CC41,DAY(M$14)))))),IFERROR(IF(_xlpm._r=0,"",_xlpm._r),""))</f>
        <v/>
      </c>
      <c r="N41" s="56" t="str">
        <f>_xlfn.LET(_xlpm._r,_xlfn.SINGLE(IF(OR($CC41="",N$14="",N$14&lt;_xlfn.SINGLE(INDEX('[1]ATTENDANCE DAILY'!$AV$4:$AV$663,$CC41)),N$14&gt;_xlfn.SINGLE(INDEX('[1]ATTENDANCE DAILY'!$AW$4:$AW$663,$CC41))),"",IF(_xlfn.SINGLE(INDEX('[1]ATTENDANCE DAILY'!$I$4:$AM$663,$CC41,DAY(N$14)))="T-Late","T-L",IF(_xlfn.SINGLE(INDEX('[1]ATTENDANCE DAILY'!$I$4:$AM$663,$CC41,DAY(N$14)))="T-Cutting","T-C",INDEX('[1]ATTENDANCE DAILY'!$I$4:$AM$663,$CC41,DAY(N$14)))))),IFERROR(IF(_xlpm._r=0,"",_xlpm._r),""))</f>
        <v/>
      </c>
      <c r="O41" s="57" t="str">
        <f>_xlfn.LET(_xlpm._r,_xlfn.SINGLE(IF(OR($CC41="",O$14="",O$14&lt;_xlfn.SINGLE(INDEX('[1]ATTENDANCE DAILY'!$AV$4:$AV$663,$CC41)),O$14&gt;_xlfn.SINGLE(INDEX('[1]ATTENDANCE DAILY'!$AW$4:$AW$663,$CC41))),"",IF(_xlfn.SINGLE(INDEX('[1]ATTENDANCE DAILY'!$I$4:$AM$663,$CC41,DAY(O$14)))="T-Late","T-L",IF(_xlfn.SINGLE(INDEX('[1]ATTENDANCE DAILY'!$I$4:$AM$663,$CC41,DAY(O$14)))="T-Cutting","T-C",INDEX('[1]ATTENDANCE DAILY'!$I$4:$AM$663,$CC41,DAY(O$14)))))),IFERROR(IF(_xlpm._r=0,"",_xlpm._r),""))</f>
        <v/>
      </c>
      <c r="P41" s="58"/>
      <c r="Q41" s="58"/>
      <c r="R41" s="55"/>
      <c r="S41" s="57" t="str">
        <f>_xlfn.LET(_xlpm._r,_xlfn.SINGLE(IF(OR($CC41="",S$14="",S$14&lt;_xlfn.SINGLE(INDEX('[1]ATTENDANCE DAILY'!$AV$4:$AV$663,$CC41)),S$14&gt;_xlfn.SINGLE(INDEX('[1]ATTENDANCE DAILY'!$AW$4:$AW$663,$CC41))),"",IF(_xlfn.SINGLE(INDEX('[1]ATTENDANCE DAILY'!$I$4:$AM$663,$CC41,DAY(S$14)))="T-Late","T-L",IF(_xlfn.SINGLE(INDEX('[1]ATTENDANCE DAILY'!$I$4:$AM$663,$CC41,DAY(S$14)))="T-Cutting","T-C",INDEX('[1]ATTENDANCE DAILY'!$I$4:$AM$663,$CC41,DAY(S$14)))))),IFERROR(IF(_xlpm._r=0,"",_xlpm._r),""))</f>
        <v/>
      </c>
      <c r="T41" s="58"/>
      <c r="U41" s="86"/>
      <c r="V41" s="59" t="str">
        <f>_xlfn.LET(_xlpm._r,_xlfn.SINGLE(IF(OR($CC41="",V$14="",V$14&lt;_xlfn.SINGLE(INDEX('[1]ATTENDANCE DAILY'!$AV$4:$AV$663,$CC41)),V$14&gt;_xlfn.SINGLE(INDEX('[1]ATTENDANCE DAILY'!$AW$4:$AW$663,$CC41))),"",IF(_xlfn.SINGLE(INDEX('[1]ATTENDANCE DAILY'!$I$4:$AM$663,$CC41,DAY(V$14)))="T-Late","T-L",IF(_xlfn.SINGLE(INDEX('[1]ATTENDANCE DAILY'!$I$4:$AM$663,$CC41,DAY(V$14)))="T-Cutting","T-C",INDEX('[1]ATTENDANCE DAILY'!$I$4:$AM$663,$CC41,DAY(V$14)))))),IFERROR(IF(_xlpm._r=0,"",_xlpm._r),""))</f>
        <v/>
      </c>
      <c r="W41" s="57" t="str">
        <f>_xlfn.LET(_xlpm._r,_xlfn.SINGLE(IF(OR($CC41="",W$14="",W$14&lt;_xlfn.SINGLE(INDEX('[1]ATTENDANCE DAILY'!$AV$4:$AV$663,$CC41)),W$14&gt;_xlfn.SINGLE(INDEX('[1]ATTENDANCE DAILY'!$AW$4:$AW$663,$CC41))),"",IF(_xlfn.SINGLE(INDEX('[1]ATTENDANCE DAILY'!$I$4:$AM$663,$CC41,DAY(W$14)))="T-Late","T-L",IF(_xlfn.SINGLE(INDEX('[1]ATTENDANCE DAILY'!$I$4:$AM$663,$CC41,DAY(W$14)))="T-Cutting","T-C",INDEX('[1]ATTENDANCE DAILY'!$I$4:$AM$663,$CC41,DAY(W$14)))))),IFERROR(IF(_xlpm._r=0,"",_xlpm._r),""))</f>
        <v/>
      </c>
      <c r="X41" s="58"/>
      <c r="Y41" s="55"/>
      <c r="Z41" s="56" t="str">
        <f>_xlfn.LET(_xlpm._r,_xlfn.SINGLE(IF(OR($CC41="",Z$14="",Z$14&lt;_xlfn.SINGLE(INDEX('[1]ATTENDANCE DAILY'!$AV$4:$AV$663,$CC41)),Z$14&gt;_xlfn.SINGLE(INDEX('[1]ATTENDANCE DAILY'!$AW$4:$AW$663,$CC41))),"",IF(_xlfn.SINGLE(INDEX('[1]ATTENDANCE DAILY'!$I$4:$AM$663,$CC41,DAY(Z$14)))="T-Late","T-L",IF(_xlfn.SINGLE(INDEX('[1]ATTENDANCE DAILY'!$I$4:$AM$663,$CC41,DAY(Z$14)))="T-Cutting","T-C",INDEX('[1]ATTENDANCE DAILY'!$I$4:$AM$663,$CC41,DAY(Z$14)))))),IFERROR(IF(_xlpm._r=0,"",_xlpm._r),""))</f>
        <v/>
      </c>
      <c r="AA41" s="56" t="str">
        <f>_xlfn.LET(_xlpm._r,_xlfn.SINGLE(IF(OR($CC41="",AA$14="",AA$14&lt;_xlfn.SINGLE(INDEX('[1]ATTENDANCE DAILY'!$AV$4:$AV$663,$CC41)),AA$14&gt;_xlfn.SINGLE(INDEX('[1]ATTENDANCE DAILY'!$AW$4:$AW$663,$CC41))),"",IF(_xlfn.SINGLE(INDEX('[1]ATTENDANCE DAILY'!$I$4:$AM$663,$CC41,DAY(AA$14)))="T-Late","T-L",IF(_xlfn.SINGLE(INDEX('[1]ATTENDANCE DAILY'!$I$4:$AM$663,$CC41,DAY(AA$14)))="T-Cutting","T-C",INDEX('[1]ATTENDANCE DAILY'!$I$4:$AM$663,$CC41,DAY(AA$14)))))),IFERROR(IF(_xlpm._r=0,"",_xlpm._r),""))</f>
        <v/>
      </c>
      <c r="AB41" s="57" t="str">
        <f>_xlfn.LET(_xlpm._r,_xlfn.SINGLE(IF(OR($CC41="",AB$14="",AB$14&lt;_xlfn.SINGLE(INDEX('[1]ATTENDANCE DAILY'!$AV$4:$AV$663,$CC41)),AB$14&gt;_xlfn.SINGLE(INDEX('[1]ATTENDANCE DAILY'!$AW$4:$AW$663,$CC41))),"",IF(_xlfn.SINGLE(INDEX('[1]ATTENDANCE DAILY'!$I$4:$AM$663,$CC41,DAY(AB$14)))="T-Late","T-L",IF(_xlfn.SINGLE(INDEX('[1]ATTENDANCE DAILY'!$I$4:$AM$663,$CC41,DAY(AB$14)))="T-Cutting","T-C",INDEX('[1]ATTENDANCE DAILY'!$I$4:$AM$663,$CC41,DAY(AB$14)))))),IFERROR(IF(_xlpm._r=0,"",_xlpm._r),""))</f>
        <v/>
      </c>
      <c r="AC41" s="58"/>
      <c r="AD41" s="86"/>
      <c r="AE41" s="54" t="str">
        <f>_xlfn.LET(_xlpm._r,_xlfn.SINGLE(IF(OR($CC41="",AE$14="",AE$14&lt;_xlfn.SINGLE(INDEX('[1]ATTENDANCE DAILY'!$AV$4:$AV$663,$CC41)),AE$14&gt;_xlfn.SINGLE(INDEX('[1]ATTENDANCE DAILY'!$AW$4:$AW$663,$CC41))),"",IF(_xlfn.SINGLE(INDEX('[1]ATTENDANCE DAILY'!$I$4:$AM$663,$CC41,DAY(AE$14)))="T-Late","T-L",IF(_xlfn.SINGLE(INDEX('[1]ATTENDANCE DAILY'!$I$4:$AM$663,$CC41,DAY(AE$14)))="T-Cutting","T-C",INDEX('[1]ATTENDANCE DAILY'!$I$4:$AM$663,$CC41,DAY(AE$14)))))),IFERROR(IF(_xlpm._r=0,"",_xlpm._r),""))</f>
        <v/>
      </c>
      <c r="AF41" s="58"/>
      <c r="AG41" s="55"/>
      <c r="AH41" s="56" t="str">
        <f>_xlfn.LET(_xlpm._r,_xlfn.SINGLE(IF(OR($CC41="",AH$14="",AH$14&lt;_xlfn.SINGLE(INDEX('[1]ATTENDANCE DAILY'!$AV$4:$AV$663,$CC41)),AH$14&gt;_xlfn.SINGLE(INDEX('[1]ATTENDANCE DAILY'!$AW$4:$AW$663,$CC41))),"",IF(_xlfn.SINGLE(INDEX('[1]ATTENDANCE DAILY'!$I$4:$AM$663,$CC41,DAY(AH$14)))="T-Late","T-L",IF(_xlfn.SINGLE(INDEX('[1]ATTENDANCE DAILY'!$I$4:$AM$663,$CC41,DAY(AH$14)))="T-Cutting","T-C",INDEX('[1]ATTENDANCE DAILY'!$I$4:$AM$663,$CC41,DAY(AH$14)))))),IFERROR(IF(_xlpm._r=0,"",_xlpm._r),""))</f>
        <v/>
      </c>
      <c r="AI41" s="57" t="str">
        <f>_xlfn.LET(_xlpm._r,_xlfn.SINGLE(IF(OR($CC41="",AI$14="",AI$14&lt;_xlfn.SINGLE(INDEX('[1]ATTENDANCE DAILY'!$AV$4:$AV$663,$CC41)),AI$14&gt;_xlfn.SINGLE(INDEX('[1]ATTENDANCE DAILY'!$AW$4:$AW$663,$CC41))),"",IF(_xlfn.SINGLE(INDEX('[1]ATTENDANCE DAILY'!$I$4:$AM$663,$CC41,DAY(AI$14)))="T-Late","T-L",IF(_xlfn.SINGLE(INDEX('[1]ATTENDANCE DAILY'!$I$4:$AM$663,$CC41,DAY(AI$14)))="T-Cutting","T-C",INDEX('[1]ATTENDANCE DAILY'!$I$4:$AM$663,$CC41,DAY(AI$14)))))),IFERROR(IF(_xlpm._r=0,"",_xlpm._r),""))</f>
        <v/>
      </c>
      <c r="AJ41" s="58"/>
      <c r="AK41" s="55"/>
      <c r="AL41" s="57" t="str">
        <f>_xlfn.LET(_xlpm._r,_xlfn.SINGLE(IF(OR($CC41="",AL$14="",AL$14&lt;_xlfn.SINGLE(INDEX('[1]ATTENDANCE DAILY'!$AV$4:$AV$663,$CC41)),AL$14&gt;_xlfn.SINGLE(INDEX('[1]ATTENDANCE DAILY'!$AW$4:$AW$663,$CC41))),"",IF(_xlfn.SINGLE(INDEX('[1]ATTENDANCE DAILY'!$I$4:$AM$663,$CC41,DAY(AL$14)))="T-Late","T-L",IF(_xlfn.SINGLE(INDEX('[1]ATTENDANCE DAILY'!$I$4:$AM$663,$CC41,DAY(AL$14)))="T-Cutting","T-C",INDEX('[1]ATTENDANCE DAILY'!$I$4:$AM$663,$CC41,DAY(AL$14)))))),IFERROR(IF(_xlpm._r=0,"",_xlpm._r),""))</f>
        <v/>
      </c>
      <c r="AM41" s="55"/>
      <c r="AN41" s="57" t="str">
        <f>_xlfn.LET(_xlpm._r,_xlfn.SINGLE(IF(OR($CC41="",AN$14="",AN$14&lt;_xlfn.SINGLE(INDEX('[1]ATTENDANCE DAILY'!$AV$4:$AV$663,$CC41)),AN$14&gt;_xlfn.SINGLE(INDEX('[1]ATTENDANCE DAILY'!$AW$4:$AW$663,$CC41))),"",IF(_xlfn.SINGLE(INDEX('[1]ATTENDANCE DAILY'!$I$4:$AM$663,$CC41,DAY(AN$14)))="T-Late","T-L",IF(_xlfn.SINGLE(INDEX('[1]ATTENDANCE DAILY'!$I$4:$AM$663,$CC41,DAY(AN$14)))="T-Cutting","T-C",INDEX('[1]ATTENDANCE DAILY'!$I$4:$AM$663,$CC41,DAY(AN$14)))))),IFERROR(IF(_xlpm._r=0,"",_xlpm._r),""))</f>
        <v/>
      </c>
      <c r="AO41" s="86"/>
      <c r="AP41" s="54" t="str">
        <f>_xlfn.LET(_xlpm._r,_xlfn.SINGLE(IF(OR($CC41="",AP$14="",AP$14&lt;_xlfn.SINGLE(INDEX('[1]ATTENDANCE DAILY'!$AV$4:$AV$663,$CC41)),AP$14&gt;_xlfn.SINGLE(INDEX('[1]ATTENDANCE DAILY'!$AW$4:$AW$663,$CC41))),"",IF(_xlfn.SINGLE(INDEX('[1]ATTENDANCE DAILY'!$I$4:$AM$663,$CC41,DAY(AP$14)))="T-Late","T-L",IF(_xlfn.SINGLE(INDEX('[1]ATTENDANCE DAILY'!$I$4:$AM$663,$CC41,DAY(AP$14)))="T-Cutting","T-C",INDEX('[1]ATTENDANCE DAILY'!$I$4:$AM$663,$CC41,DAY(AP$14)))))),IFERROR(IF(_xlpm._r=0,"",_xlpm._r),""))</f>
        <v/>
      </c>
      <c r="AQ41" s="55"/>
      <c r="AR41" s="56" t="str">
        <f>_xlfn.LET(_xlpm._r,_xlfn.SINGLE(IF(OR($CC41="",AR$14="",AR$14&lt;_xlfn.SINGLE(INDEX('[1]ATTENDANCE DAILY'!$AV$4:$AV$663,$CC41)),AR$14&gt;_xlfn.SINGLE(INDEX('[1]ATTENDANCE DAILY'!$AW$4:$AW$663,$CC41))),"",IF(_xlfn.SINGLE(INDEX('[1]ATTENDANCE DAILY'!$I$4:$AM$663,$CC41,DAY(AR$14)))="T-Late","T-L",IF(_xlfn.SINGLE(INDEX('[1]ATTENDANCE DAILY'!$I$4:$AM$663,$CC41,DAY(AR$14)))="T-Cutting","T-C",INDEX('[1]ATTENDANCE DAILY'!$I$4:$AM$663,$CC41,DAY(AR$14)))))),IFERROR(IF(_xlpm._r=0,"",_xlpm._r),""))</f>
        <v/>
      </c>
      <c r="AS41" s="57" t="str">
        <f>_xlfn.LET(_xlpm._r,_xlfn.SINGLE(IF(OR($CC41="",AS$14="",AS$14&lt;_xlfn.SINGLE(INDEX('[1]ATTENDANCE DAILY'!$AV$4:$AV$663,$CC41)),AS$14&gt;_xlfn.SINGLE(INDEX('[1]ATTENDANCE DAILY'!$AW$4:$AW$663,$CC41))),"",IF(_xlfn.SINGLE(INDEX('[1]ATTENDANCE DAILY'!$I$4:$AM$663,$CC41,DAY(AS$14)))="T-Late","T-L",IF(_xlfn.SINGLE(INDEX('[1]ATTENDANCE DAILY'!$I$4:$AM$663,$CC41,DAY(AS$14)))="T-Cutting","T-C",INDEX('[1]ATTENDANCE DAILY'!$I$4:$AM$663,$CC41,DAY(AS$14)))))),IFERROR(IF(_xlpm._r=0,"",_xlpm._r),""))</f>
        <v/>
      </c>
      <c r="AT41" s="55"/>
      <c r="AU41" s="56" t="str">
        <f>_xlfn.LET(_xlpm._r,_xlfn.SINGLE(IF(OR($CC41="",AU$14="",AU$14&lt;_xlfn.SINGLE(INDEX('[1]ATTENDANCE DAILY'!$AV$4:$AV$663,$CC41)),AU$14&gt;_xlfn.SINGLE(INDEX('[1]ATTENDANCE DAILY'!$AW$4:$AW$663,$CC41))),"",IF(_xlfn.SINGLE(INDEX('[1]ATTENDANCE DAILY'!$I$4:$AM$663,$CC41,DAY(AU$14)))="T-Late","T-L",IF(_xlfn.SINGLE(INDEX('[1]ATTENDANCE DAILY'!$I$4:$AM$663,$CC41,DAY(AU$14)))="T-Cutting","T-C",INDEX('[1]ATTENDANCE DAILY'!$I$4:$AM$663,$CC41,DAY(AU$14)))))),IFERROR(IF(_xlpm._r=0,"",_xlpm._r),""))</f>
        <v/>
      </c>
      <c r="AV41" s="87" t="str">
        <f>_xlfn.LET(_xlpm._r,_xlfn.SINGLE(IF(OR($CC41="",AV$14="",AV$14&lt;_xlfn.SINGLE(INDEX('[1]ATTENDANCE DAILY'!$AV$4:$AV$663,$CC41)),AV$14&gt;_xlfn.SINGLE(INDEX('[1]ATTENDANCE DAILY'!$AW$4:$AW$663,$CC41))),"",IF(_xlfn.SINGLE(INDEX('[1]ATTENDANCE DAILY'!$I$4:$AM$663,$CC41,DAY(AV$14)))="T-Late","T-L",IF(_xlfn.SINGLE(INDEX('[1]ATTENDANCE DAILY'!$I$4:$AM$663,$CC41,DAY(AV$14)))="T-Cutting","T-C",INDEX('[1]ATTENDANCE DAILY'!$I$4:$AM$663,$CC41,DAY(AV$14)))))),IFERROR(IF(_xlpm._r=0,"",_xlpm._r),""))</f>
        <v/>
      </c>
      <c r="AW41" s="54" t="str">
        <f>_xlfn.LET(_xlpm._r,_xlfn.SINGLE(IF(OR($CC41="",AW$14="",AW$14&lt;_xlfn.SINGLE(INDEX('[1]ATTENDANCE DAILY'!$AV$4:$AV$663,$CC41)),AW$14&gt;_xlfn.SINGLE(INDEX('[1]ATTENDANCE DAILY'!$AW$4:$AW$663,$CC41))),"",IF(_xlfn.SINGLE(INDEX('[1]ATTENDANCE DAILY'!$I$4:$AM$663,$CC41,DAY(AW$14)))="T-Late","T-L",IF(_xlfn.SINGLE(INDEX('[1]ATTENDANCE DAILY'!$I$4:$AM$663,$CC41,DAY(AW$14)))="T-Cutting","T-C",INDEX('[1]ATTENDANCE DAILY'!$I$4:$AM$663,$CC41,DAY(AW$14)))))),IFERROR(IF(_xlpm._r=0,"",_xlpm._r),""))</f>
        <v/>
      </c>
      <c r="AX41" s="55"/>
      <c r="AY41" s="57" t="str">
        <f>_xlfn.LET(_xlpm._r,_xlfn.SINGLE(IF(OR($CC41="",AY$14="",AY$14&lt;_xlfn.SINGLE(INDEX('[1]ATTENDANCE DAILY'!$AV$4:$AV$663,$CC41)),AY$14&gt;_xlfn.SINGLE(INDEX('[1]ATTENDANCE DAILY'!$AW$4:$AW$663,$CC41))),"",IF(_xlfn.SINGLE(INDEX('[1]ATTENDANCE DAILY'!$I$4:$AM$663,$CC41,DAY(AY$14)))="T-Late","T-L",IF(_xlfn.SINGLE(INDEX('[1]ATTENDANCE DAILY'!$I$4:$AM$663,$CC41,DAY(AY$14)))="T-Cutting","T-C",INDEX('[1]ATTENDANCE DAILY'!$I$4:$AM$663,$CC41,DAY(AY$14)))))),IFERROR(IF(_xlpm._r=0,"",_xlpm._r),""))</f>
        <v/>
      </c>
      <c r="AZ41" s="58"/>
      <c r="BA41" s="55"/>
      <c r="BB41" s="57" t="str">
        <f>_xlfn.LET(_xlpm._r,_xlfn.SINGLE(IF(OR($CC41="",BB$14="",BB$14&lt;_xlfn.SINGLE(INDEX('[1]ATTENDANCE DAILY'!$AV$4:$AV$663,$CC41)),BB$14&gt;_xlfn.SINGLE(INDEX('[1]ATTENDANCE DAILY'!$AW$4:$AW$663,$CC41))),"",IF(_xlfn.SINGLE(INDEX('[1]ATTENDANCE DAILY'!$I$4:$AM$663,$CC41,DAY(BB$14)))="T-Late","T-L",IF(_xlfn.SINGLE(INDEX('[1]ATTENDANCE DAILY'!$I$4:$AM$663,$CC41,DAY(BB$14)))="T-Cutting","T-C",INDEX('[1]ATTENDANCE DAILY'!$I$4:$AM$663,$CC41,DAY(BB$14)))))),IFERROR(IF(_xlpm._r=0,"",_xlpm._r),""))</f>
        <v/>
      </c>
      <c r="BC41" s="55"/>
      <c r="BD41" s="56" t="str">
        <f>_xlfn.LET(_xlpm._r,_xlfn.SINGLE(IF(OR($CC41="",BD$14="",BD$14&lt;_xlfn.SINGLE(INDEX('[1]ATTENDANCE DAILY'!$AV$4:$AV$663,$CC41)),BD$14&gt;_xlfn.SINGLE(INDEX('[1]ATTENDANCE DAILY'!$AW$4:$AW$663,$CC41))),"",IF(_xlfn.SINGLE(INDEX('[1]ATTENDANCE DAILY'!$I$4:$AM$663,$CC41,DAY(BD$14)))="T-Late","T-L",IF(_xlfn.SINGLE(INDEX('[1]ATTENDANCE DAILY'!$I$4:$AM$663,$CC41,DAY(BD$14)))="T-Cutting","T-C",INDEX('[1]ATTENDANCE DAILY'!$I$4:$AM$663,$CC41,DAY(BD$14)))))),IFERROR(IF(_xlpm._r=0,"",_xlpm._r),""))</f>
        <v/>
      </c>
      <c r="BE41" s="57" t="str">
        <f>_xlfn.LET(_xlpm._r,_xlfn.SINGLE(IF(OR($CC41="",BE$14="",BE$14&lt;_xlfn.SINGLE(INDEX('[1]ATTENDANCE DAILY'!$AV$4:$AV$663,$CC41)),BE$14&gt;_xlfn.SINGLE(INDEX('[1]ATTENDANCE DAILY'!$AW$4:$AW$663,$CC41))),"",IF(_xlfn.SINGLE(INDEX('[1]ATTENDANCE DAILY'!$I$4:$AM$663,$CC41,DAY(BE$14)))="T-Late","T-L",IF(_xlfn.SINGLE(INDEX('[1]ATTENDANCE DAILY'!$I$4:$AM$663,$CC41,DAY(BE$14)))="T-Cutting","T-C",INDEX('[1]ATTENDANCE DAILY'!$I$4:$AM$663,$CC41,DAY(BE$14)))))),IFERROR(IF(_xlpm._r=0,"",_xlpm._r),""))</f>
        <v/>
      </c>
      <c r="BF41" s="58"/>
      <c r="BG41" s="58"/>
      <c r="BH41" s="86"/>
      <c r="BI41" s="88" t="str">
        <f>IF($CC41="","",INDEX('[1]ATTENDANCE DAILY'!$AR$4:$AR$663,$CC41))</f>
        <v/>
      </c>
      <c r="BJ41" s="89"/>
      <c r="BK41" s="90"/>
      <c r="BL41" s="88" t="str">
        <f>IF($CC41="","",INDEX('[1]ATTENDANCE DAILY'!$AS$4:$AS$663,$CC41))</f>
        <v/>
      </c>
      <c r="BM41" s="89"/>
      <c r="BN41" s="89"/>
      <c r="BO41" s="90"/>
      <c r="BP41" s="91" t="str">
        <f>IF($CC41="","",IF(INDEX('[1]ATTENDANCE DAILY'!$AN$4:$AN$663,$CC41)="","",INDEX('[1]ATTENDANCE DAILY'!$AN$4:$AN$663,$CC41)&amp;IF(INDEX('[1]ATTENDANCE DAILY'!$AO$4:$AO$663,$CC41)="",""," ("&amp;TEXT(INDEX('[1]ATTENDANCE DAILY'!$AO$4:$AO$663,$CC41),"mm-dd-yyyy")&amp;")")&amp;IF(INDEX('[1]ATTENDANCE DAILY'!$AP$4:$AP$663,$CC41)="",""," - "&amp;INDEX('[1]ATTENDANCE DAILY'!$AP$4:$AP$663,$CC41))))</f>
        <v/>
      </c>
      <c r="BQ41" s="89"/>
      <c r="BR41" s="89"/>
      <c r="BS41" s="89"/>
      <c r="BT41" s="89"/>
      <c r="BU41" s="89"/>
      <c r="BV41" s="89"/>
      <c r="BW41" s="89"/>
      <c r="BX41" s="89"/>
      <c r="BY41" s="89"/>
      <c r="BZ41" s="89"/>
      <c r="CA41" s="90"/>
      <c r="CC41" t="str">
        <f>IF(COUNTIFS('[1]ATTENDANCE DAILY'!$C$4:$C$663,$BN$11,'[1]ATTENDANCE DAILY'!$F$4:$F$663,"Male",'[1]ATTENDANCE DAILY'!$G$4:$G$663,1,'[1]ATTENDANCE DAILY'!$BA$4:$BA$663,24)=0,"",SUMIFS('[1]ATTENDANCE DAILY'!$A$4:$A$663,'[1]ATTENDANCE DAILY'!$C$4:$C$663,$BN$11,'[1]ATTENDANCE DAILY'!$F$4:$F$663,"Male",'[1]ATTENDANCE DAILY'!$G$4:$G$663,1,'[1]ATTENDANCE DAILY'!$BA$4:$BA$663,24))</f>
        <v/>
      </c>
    </row>
    <row r="42" spans="1:81" ht="19.95" customHeight="1">
      <c r="A42" s="80">
        <v>25</v>
      </c>
      <c r="B42" s="81"/>
      <c r="C42" s="81"/>
      <c r="D42" s="81"/>
      <c r="E42" s="81"/>
      <c r="F42" s="82"/>
      <c r="G42" s="83" t="str">
        <f>IF($CC42="","",INDEX('[1]ATTENDANCE DAILY'!$E$4:$E$663,$CC42))</f>
        <v/>
      </c>
      <c r="H42" s="84"/>
      <c r="I42" s="84"/>
      <c r="J42" s="85"/>
      <c r="K42" s="54" t="str">
        <f>_xlfn.LET(_xlpm._r,_xlfn.SINGLE(IF(OR($CC42="",K$14="",K$14&lt;_xlfn.SINGLE(INDEX('[1]ATTENDANCE DAILY'!$AV$4:$AV$663,$CC42)),K$14&gt;_xlfn.SINGLE(INDEX('[1]ATTENDANCE DAILY'!$AW$4:$AW$663,$CC42))),"",IF(_xlfn.SINGLE(INDEX('[1]ATTENDANCE DAILY'!$I$4:$AM$663,$CC42,DAY(K$14)))="T-Late","T-L",IF(_xlfn.SINGLE(INDEX('[1]ATTENDANCE DAILY'!$I$4:$AM$663,$CC42,DAY(K$14)))="T-Cutting","T-C",INDEX('[1]ATTENDANCE DAILY'!$I$4:$AM$663,$CC42,DAY(K$14)))))),IFERROR(IF(_xlpm._r=0,"",_xlpm._r),""))</f>
        <v/>
      </c>
      <c r="L42" s="55"/>
      <c r="M42" s="56" t="str">
        <f>_xlfn.LET(_xlpm._r,_xlfn.SINGLE(IF(OR($CC42="",M$14="",M$14&lt;_xlfn.SINGLE(INDEX('[1]ATTENDANCE DAILY'!$AV$4:$AV$663,$CC42)),M$14&gt;_xlfn.SINGLE(INDEX('[1]ATTENDANCE DAILY'!$AW$4:$AW$663,$CC42))),"",IF(_xlfn.SINGLE(INDEX('[1]ATTENDANCE DAILY'!$I$4:$AM$663,$CC42,DAY(M$14)))="T-Late","T-L",IF(_xlfn.SINGLE(INDEX('[1]ATTENDANCE DAILY'!$I$4:$AM$663,$CC42,DAY(M$14)))="T-Cutting","T-C",INDEX('[1]ATTENDANCE DAILY'!$I$4:$AM$663,$CC42,DAY(M$14)))))),IFERROR(IF(_xlpm._r=0,"",_xlpm._r),""))</f>
        <v/>
      </c>
      <c r="N42" s="56" t="str">
        <f>_xlfn.LET(_xlpm._r,_xlfn.SINGLE(IF(OR($CC42="",N$14="",N$14&lt;_xlfn.SINGLE(INDEX('[1]ATTENDANCE DAILY'!$AV$4:$AV$663,$CC42)),N$14&gt;_xlfn.SINGLE(INDEX('[1]ATTENDANCE DAILY'!$AW$4:$AW$663,$CC42))),"",IF(_xlfn.SINGLE(INDEX('[1]ATTENDANCE DAILY'!$I$4:$AM$663,$CC42,DAY(N$14)))="T-Late","T-L",IF(_xlfn.SINGLE(INDEX('[1]ATTENDANCE DAILY'!$I$4:$AM$663,$CC42,DAY(N$14)))="T-Cutting","T-C",INDEX('[1]ATTENDANCE DAILY'!$I$4:$AM$663,$CC42,DAY(N$14)))))),IFERROR(IF(_xlpm._r=0,"",_xlpm._r),""))</f>
        <v/>
      </c>
      <c r="O42" s="57" t="str">
        <f>_xlfn.LET(_xlpm._r,_xlfn.SINGLE(IF(OR($CC42="",O$14="",O$14&lt;_xlfn.SINGLE(INDEX('[1]ATTENDANCE DAILY'!$AV$4:$AV$663,$CC42)),O$14&gt;_xlfn.SINGLE(INDEX('[1]ATTENDANCE DAILY'!$AW$4:$AW$663,$CC42))),"",IF(_xlfn.SINGLE(INDEX('[1]ATTENDANCE DAILY'!$I$4:$AM$663,$CC42,DAY(O$14)))="T-Late","T-L",IF(_xlfn.SINGLE(INDEX('[1]ATTENDANCE DAILY'!$I$4:$AM$663,$CC42,DAY(O$14)))="T-Cutting","T-C",INDEX('[1]ATTENDANCE DAILY'!$I$4:$AM$663,$CC42,DAY(O$14)))))),IFERROR(IF(_xlpm._r=0,"",_xlpm._r),""))</f>
        <v/>
      </c>
      <c r="P42" s="58"/>
      <c r="Q42" s="58"/>
      <c r="R42" s="55"/>
      <c r="S42" s="57" t="str">
        <f>_xlfn.LET(_xlpm._r,_xlfn.SINGLE(IF(OR($CC42="",S$14="",S$14&lt;_xlfn.SINGLE(INDEX('[1]ATTENDANCE DAILY'!$AV$4:$AV$663,$CC42)),S$14&gt;_xlfn.SINGLE(INDEX('[1]ATTENDANCE DAILY'!$AW$4:$AW$663,$CC42))),"",IF(_xlfn.SINGLE(INDEX('[1]ATTENDANCE DAILY'!$I$4:$AM$663,$CC42,DAY(S$14)))="T-Late","T-L",IF(_xlfn.SINGLE(INDEX('[1]ATTENDANCE DAILY'!$I$4:$AM$663,$CC42,DAY(S$14)))="T-Cutting","T-C",INDEX('[1]ATTENDANCE DAILY'!$I$4:$AM$663,$CC42,DAY(S$14)))))),IFERROR(IF(_xlpm._r=0,"",_xlpm._r),""))</f>
        <v/>
      </c>
      <c r="T42" s="58"/>
      <c r="U42" s="86"/>
      <c r="V42" s="59" t="str">
        <f>_xlfn.LET(_xlpm._r,_xlfn.SINGLE(IF(OR($CC42="",V$14="",V$14&lt;_xlfn.SINGLE(INDEX('[1]ATTENDANCE DAILY'!$AV$4:$AV$663,$CC42)),V$14&gt;_xlfn.SINGLE(INDEX('[1]ATTENDANCE DAILY'!$AW$4:$AW$663,$CC42))),"",IF(_xlfn.SINGLE(INDEX('[1]ATTENDANCE DAILY'!$I$4:$AM$663,$CC42,DAY(V$14)))="T-Late","T-L",IF(_xlfn.SINGLE(INDEX('[1]ATTENDANCE DAILY'!$I$4:$AM$663,$CC42,DAY(V$14)))="T-Cutting","T-C",INDEX('[1]ATTENDANCE DAILY'!$I$4:$AM$663,$CC42,DAY(V$14)))))),IFERROR(IF(_xlpm._r=0,"",_xlpm._r),""))</f>
        <v/>
      </c>
      <c r="W42" s="57" t="str">
        <f>_xlfn.LET(_xlpm._r,_xlfn.SINGLE(IF(OR($CC42="",W$14="",W$14&lt;_xlfn.SINGLE(INDEX('[1]ATTENDANCE DAILY'!$AV$4:$AV$663,$CC42)),W$14&gt;_xlfn.SINGLE(INDEX('[1]ATTENDANCE DAILY'!$AW$4:$AW$663,$CC42))),"",IF(_xlfn.SINGLE(INDEX('[1]ATTENDANCE DAILY'!$I$4:$AM$663,$CC42,DAY(W$14)))="T-Late","T-L",IF(_xlfn.SINGLE(INDEX('[1]ATTENDANCE DAILY'!$I$4:$AM$663,$CC42,DAY(W$14)))="T-Cutting","T-C",INDEX('[1]ATTENDANCE DAILY'!$I$4:$AM$663,$CC42,DAY(W$14)))))),IFERROR(IF(_xlpm._r=0,"",_xlpm._r),""))</f>
        <v/>
      </c>
      <c r="X42" s="58"/>
      <c r="Y42" s="55"/>
      <c r="Z42" s="56" t="str">
        <f>_xlfn.LET(_xlpm._r,_xlfn.SINGLE(IF(OR($CC42="",Z$14="",Z$14&lt;_xlfn.SINGLE(INDEX('[1]ATTENDANCE DAILY'!$AV$4:$AV$663,$CC42)),Z$14&gt;_xlfn.SINGLE(INDEX('[1]ATTENDANCE DAILY'!$AW$4:$AW$663,$CC42))),"",IF(_xlfn.SINGLE(INDEX('[1]ATTENDANCE DAILY'!$I$4:$AM$663,$CC42,DAY(Z$14)))="T-Late","T-L",IF(_xlfn.SINGLE(INDEX('[1]ATTENDANCE DAILY'!$I$4:$AM$663,$CC42,DAY(Z$14)))="T-Cutting","T-C",INDEX('[1]ATTENDANCE DAILY'!$I$4:$AM$663,$CC42,DAY(Z$14)))))),IFERROR(IF(_xlpm._r=0,"",_xlpm._r),""))</f>
        <v/>
      </c>
      <c r="AA42" s="56" t="str">
        <f>_xlfn.LET(_xlpm._r,_xlfn.SINGLE(IF(OR($CC42="",AA$14="",AA$14&lt;_xlfn.SINGLE(INDEX('[1]ATTENDANCE DAILY'!$AV$4:$AV$663,$CC42)),AA$14&gt;_xlfn.SINGLE(INDEX('[1]ATTENDANCE DAILY'!$AW$4:$AW$663,$CC42))),"",IF(_xlfn.SINGLE(INDEX('[1]ATTENDANCE DAILY'!$I$4:$AM$663,$CC42,DAY(AA$14)))="T-Late","T-L",IF(_xlfn.SINGLE(INDEX('[1]ATTENDANCE DAILY'!$I$4:$AM$663,$CC42,DAY(AA$14)))="T-Cutting","T-C",INDEX('[1]ATTENDANCE DAILY'!$I$4:$AM$663,$CC42,DAY(AA$14)))))),IFERROR(IF(_xlpm._r=0,"",_xlpm._r),""))</f>
        <v/>
      </c>
      <c r="AB42" s="57" t="str">
        <f>_xlfn.LET(_xlpm._r,_xlfn.SINGLE(IF(OR($CC42="",AB$14="",AB$14&lt;_xlfn.SINGLE(INDEX('[1]ATTENDANCE DAILY'!$AV$4:$AV$663,$CC42)),AB$14&gt;_xlfn.SINGLE(INDEX('[1]ATTENDANCE DAILY'!$AW$4:$AW$663,$CC42))),"",IF(_xlfn.SINGLE(INDEX('[1]ATTENDANCE DAILY'!$I$4:$AM$663,$CC42,DAY(AB$14)))="T-Late","T-L",IF(_xlfn.SINGLE(INDEX('[1]ATTENDANCE DAILY'!$I$4:$AM$663,$CC42,DAY(AB$14)))="T-Cutting","T-C",INDEX('[1]ATTENDANCE DAILY'!$I$4:$AM$663,$CC42,DAY(AB$14)))))),IFERROR(IF(_xlpm._r=0,"",_xlpm._r),""))</f>
        <v/>
      </c>
      <c r="AC42" s="58"/>
      <c r="AD42" s="86"/>
      <c r="AE42" s="54" t="str">
        <f>_xlfn.LET(_xlpm._r,_xlfn.SINGLE(IF(OR($CC42="",AE$14="",AE$14&lt;_xlfn.SINGLE(INDEX('[1]ATTENDANCE DAILY'!$AV$4:$AV$663,$CC42)),AE$14&gt;_xlfn.SINGLE(INDEX('[1]ATTENDANCE DAILY'!$AW$4:$AW$663,$CC42))),"",IF(_xlfn.SINGLE(INDEX('[1]ATTENDANCE DAILY'!$I$4:$AM$663,$CC42,DAY(AE$14)))="T-Late","T-L",IF(_xlfn.SINGLE(INDEX('[1]ATTENDANCE DAILY'!$I$4:$AM$663,$CC42,DAY(AE$14)))="T-Cutting","T-C",INDEX('[1]ATTENDANCE DAILY'!$I$4:$AM$663,$CC42,DAY(AE$14)))))),IFERROR(IF(_xlpm._r=0,"",_xlpm._r),""))</f>
        <v/>
      </c>
      <c r="AF42" s="58"/>
      <c r="AG42" s="55"/>
      <c r="AH42" s="56" t="str">
        <f>_xlfn.LET(_xlpm._r,_xlfn.SINGLE(IF(OR($CC42="",AH$14="",AH$14&lt;_xlfn.SINGLE(INDEX('[1]ATTENDANCE DAILY'!$AV$4:$AV$663,$CC42)),AH$14&gt;_xlfn.SINGLE(INDEX('[1]ATTENDANCE DAILY'!$AW$4:$AW$663,$CC42))),"",IF(_xlfn.SINGLE(INDEX('[1]ATTENDANCE DAILY'!$I$4:$AM$663,$CC42,DAY(AH$14)))="T-Late","T-L",IF(_xlfn.SINGLE(INDEX('[1]ATTENDANCE DAILY'!$I$4:$AM$663,$CC42,DAY(AH$14)))="T-Cutting","T-C",INDEX('[1]ATTENDANCE DAILY'!$I$4:$AM$663,$CC42,DAY(AH$14)))))),IFERROR(IF(_xlpm._r=0,"",_xlpm._r),""))</f>
        <v/>
      </c>
      <c r="AI42" s="57" t="str">
        <f>_xlfn.LET(_xlpm._r,_xlfn.SINGLE(IF(OR($CC42="",AI$14="",AI$14&lt;_xlfn.SINGLE(INDEX('[1]ATTENDANCE DAILY'!$AV$4:$AV$663,$CC42)),AI$14&gt;_xlfn.SINGLE(INDEX('[1]ATTENDANCE DAILY'!$AW$4:$AW$663,$CC42))),"",IF(_xlfn.SINGLE(INDEX('[1]ATTENDANCE DAILY'!$I$4:$AM$663,$CC42,DAY(AI$14)))="T-Late","T-L",IF(_xlfn.SINGLE(INDEX('[1]ATTENDANCE DAILY'!$I$4:$AM$663,$CC42,DAY(AI$14)))="T-Cutting","T-C",INDEX('[1]ATTENDANCE DAILY'!$I$4:$AM$663,$CC42,DAY(AI$14)))))),IFERROR(IF(_xlpm._r=0,"",_xlpm._r),""))</f>
        <v/>
      </c>
      <c r="AJ42" s="58"/>
      <c r="AK42" s="55"/>
      <c r="AL42" s="57" t="str">
        <f>_xlfn.LET(_xlpm._r,_xlfn.SINGLE(IF(OR($CC42="",AL$14="",AL$14&lt;_xlfn.SINGLE(INDEX('[1]ATTENDANCE DAILY'!$AV$4:$AV$663,$CC42)),AL$14&gt;_xlfn.SINGLE(INDEX('[1]ATTENDANCE DAILY'!$AW$4:$AW$663,$CC42))),"",IF(_xlfn.SINGLE(INDEX('[1]ATTENDANCE DAILY'!$I$4:$AM$663,$CC42,DAY(AL$14)))="T-Late","T-L",IF(_xlfn.SINGLE(INDEX('[1]ATTENDANCE DAILY'!$I$4:$AM$663,$CC42,DAY(AL$14)))="T-Cutting","T-C",INDEX('[1]ATTENDANCE DAILY'!$I$4:$AM$663,$CC42,DAY(AL$14)))))),IFERROR(IF(_xlpm._r=0,"",_xlpm._r),""))</f>
        <v/>
      </c>
      <c r="AM42" s="55"/>
      <c r="AN42" s="57" t="str">
        <f>_xlfn.LET(_xlpm._r,_xlfn.SINGLE(IF(OR($CC42="",AN$14="",AN$14&lt;_xlfn.SINGLE(INDEX('[1]ATTENDANCE DAILY'!$AV$4:$AV$663,$CC42)),AN$14&gt;_xlfn.SINGLE(INDEX('[1]ATTENDANCE DAILY'!$AW$4:$AW$663,$CC42))),"",IF(_xlfn.SINGLE(INDEX('[1]ATTENDANCE DAILY'!$I$4:$AM$663,$CC42,DAY(AN$14)))="T-Late","T-L",IF(_xlfn.SINGLE(INDEX('[1]ATTENDANCE DAILY'!$I$4:$AM$663,$CC42,DAY(AN$14)))="T-Cutting","T-C",INDEX('[1]ATTENDANCE DAILY'!$I$4:$AM$663,$CC42,DAY(AN$14)))))),IFERROR(IF(_xlpm._r=0,"",_xlpm._r),""))</f>
        <v/>
      </c>
      <c r="AO42" s="86"/>
      <c r="AP42" s="54" t="str">
        <f>_xlfn.LET(_xlpm._r,_xlfn.SINGLE(IF(OR($CC42="",AP$14="",AP$14&lt;_xlfn.SINGLE(INDEX('[1]ATTENDANCE DAILY'!$AV$4:$AV$663,$CC42)),AP$14&gt;_xlfn.SINGLE(INDEX('[1]ATTENDANCE DAILY'!$AW$4:$AW$663,$CC42))),"",IF(_xlfn.SINGLE(INDEX('[1]ATTENDANCE DAILY'!$I$4:$AM$663,$CC42,DAY(AP$14)))="T-Late","T-L",IF(_xlfn.SINGLE(INDEX('[1]ATTENDANCE DAILY'!$I$4:$AM$663,$CC42,DAY(AP$14)))="T-Cutting","T-C",INDEX('[1]ATTENDANCE DAILY'!$I$4:$AM$663,$CC42,DAY(AP$14)))))),IFERROR(IF(_xlpm._r=0,"",_xlpm._r),""))</f>
        <v/>
      </c>
      <c r="AQ42" s="55"/>
      <c r="AR42" s="56" t="str">
        <f>_xlfn.LET(_xlpm._r,_xlfn.SINGLE(IF(OR($CC42="",AR$14="",AR$14&lt;_xlfn.SINGLE(INDEX('[1]ATTENDANCE DAILY'!$AV$4:$AV$663,$CC42)),AR$14&gt;_xlfn.SINGLE(INDEX('[1]ATTENDANCE DAILY'!$AW$4:$AW$663,$CC42))),"",IF(_xlfn.SINGLE(INDEX('[1]ATTENDANCE DAILY'!$I$4:$AM$663,$CC42,DAY(AR$14)))="T-Late","T-L",IF(_xlfn.SINGLE(INDEX('[1]ATTENDANCE DAILY'!$I$4:$AM$663,$CC42,DAY(AR$14)))="T-Cutting","T-C",INDEX('[1]ATTENDANCE DAILY'!$I$4:$AM$663,$CC42,DAY(AR$14)))))),IFERROR(IF(_xlpm._r=0,"",_xlpm._r),""))</f>
        <v/>
      </c>
      <c r="AS42" s="57" t="str">
        <f>_xlfn.LET(_xlpm._r,_xlfn.SINGLE(IF(OR($CC42="",AS$14="",AS$14&lt;_xlfn.SINGLE(INDEX('[1]ATTENDANCE DAILY'!$AV$4:$AV$663,$CC42)),AS$14&gt;_xlfn.SINGLE(INDEX('[1]ATTENDANCE DAILY'!$AW$4:$AW$663,$CC42))),"",IF(_xlfn.SINGLE(INDEX('[1]ATTENDANCE DAILY'!$I$4:$AM$663,$CC42,DAY(AS$14)))="T-Late","T-L",IF(_xlfn.SINGLE(INDEX('[1]ATTENDANCE DAILY'!$I$4:$AM$663,$CC42,DAY(AS$14)))="T-Cutting","T-C",INDEX('[1]ATTENDANCE DAILY'!$I$4:$AM$663,$CC42,DAY(AS$14)))))),IFERROR(IF(_xlpm._r=0,"",_xlpm._r),""))</f>
        <v/>
      </c>
      <c r="AT42" s="55"/>
      <c r="AU42" s="56" t="str">
        <f>_xlfn.LET(_xlpm._r,_xlfn.SINGLE(IF(OR($CC42="",AU$14="",AU$14&lt;_xlfn.SINGLE(INDEX('[1]ATTENDANCE DAILY'!$AV$4:$AV$663,$CC42)),AU$14&gt;_xlfn.SINGLE(INDEX('[1]ATTENDANCE DAILY'!$AW$4:$AW$663,$CC42))),"",IF(_xlfn.SINGLE(INDEX('[1]ATTENDANCE DAILY'!$I$4:$AM$663,$CC42,DAY(AU$14)))="T-Late","T-L",IF(_xlfn.SINGLE(INDEX('[1]ATTENDANCE DAILY'!$I$4:$AM$663,$CC42,DAY(AU$14)))="T-Cutting","T-C",INDEX('[1]ATTENDANCE DAILY'!$I$4:$AM$663,$CC42,DAY(AU$14)))))),IFERROR(IF(_xlpm._r=0,"",_xlpm._r),""))</f>
        <v/>
      </c>
      <c r="AV42" s="87" t="str">
        <f>_xlfn.LET(_xlpm._r,_xlfn.SINGLE(IF(OR($CC42="",AV$14="",AV$14&lt;_xlfn.SINGLE(INDEX('[1]ATTENDANCE DAILY'!$AV$4:$AV$663,$CC42)),AV$14&gt;_xlfn.SINGLE(INDEX('[1]ATTENDANCE DAILY'!$AW$4:$AW$663,$CC42))),"",IF(_xlfn.SINGLE(INDEX('[1]ATTENDANCE DAILY'!$I$4:$AM$663,$CC42,DAY(AV$14)))="T-Late","T-L",IF(_xlfn.SINGLE(INDEX('[1]ATTENDANCE DAILY'!$I$4:$AM$663,$CC42,DAY(AV$14)))="T-Cutting","T-C",INDEX('[1]ATTENDANCE DAILY'!$I$4:$AM$663,$CC42,DAY(AV$14)))))),IFERROR(IF(_xlpm._r=0,"",_xlpm._r),""))</f>
        <v/>
      </c>
      <c r="AW42" s="54" t="str">
        <f>_xlfn.LET(_xlpm._r,_xlfn.SINGLE(IF(OR($CC42="",AW$14="",AW$14&lt;_xlfn.SINGLE(INDEX('[1]ATTENDANCE DAILY'!$AV$4:$AV$663,$CC42)),AW$14&gt;_xlfn.SINGLE(INDEX('[1]ATTENDANCE DAILY'!$AW$4:$AW$663,$CC42))),"",IF(_xlfn.SINGLE(INDEX('[1]ATTENDANCE DAILY'!$I$4:$AM$663,$CC42,DAY(AW$14)))="T-Late","T-L",IF(_xlfn.SINGLE(INDEX('[1]ATTENDANCE DAILY'!$I$4:$AM$663,$CC42,DAY(AW$14)))="T-Cutting","T-C",INDEX('[1]ATTENDANCE DAILY'!$I$4:$AM$663,$CC42,DAY(AW$14)))))),IFERROR(IF(_xlpm._r=0,"",_xlpm._r),""))</f>
        <v/>
      </c>
      <c r="AX42" s="55"/>
      <c r="AY42" s="57" t="str">
        <f>_xlfn.LET(_xlpm._r,_xlfn.SINGLE(IF(OR($CC42="",AY$14="",AY$14&lt;_xlfn.SINGLE(INDEX('[1]ATTENDANCE DAILY'!$AV$4:$AV$663,$CC42)),AY$14&gt;_xlfn.SINGLE(INDEX('[1]ATTENDANCE DAILY'!$AW$4:$AW$663,$CC42))),"",IF(_xlfn.SINGLE(INDEX('[1]ATTENDANCE DAILY'!$I$4:$AM$663,$CC42,DAY(AY$14)))="T-Late","T-L",IF(_xlfn.SINGLE(INDEX('[1]ATTENDANCE DAILY'!$I$4:$AM$663,$CC42,DAY(AY$14)))="T-Cutting","T-C",INDEX('[1]ATTENDANCE DAILY'!$I$4:$AM$663,$CC42,DAY(AY$14)))))),IFERROR(IF(_xlpm._r=0,"",_xlpm._r),""))</f>
        <v/>
      </c>
      <c r="AZ42" s="58"/>
      <c r="BA42" s="55"/>
      <c r="BB42" s="57" t="str">
        <f>_xlfn.LET(_xlpm._r,_xlfn.SINGLE(IF(OR($CC42="",BB$14="",BB$14&lt;_xlfn.SINGLE(INDEX('[1]ATTENDANCE DAILY'!$AV$4:$AV$663,$CC42)),BB$14&gt;_xlfn.SINGLE(INDEX('[1]ATTENDANCE DAILY'!$AW$4:$AW$663,$CC42))),"",IF(_xlfn.SINGLE(INDEX('[1]ATTENDANCE DAILY'!$I$4:$AM$663,$CC42,DAY(BB$14)))="T-Late","T-L",IF(_xlfn.SINGLE(INDEX('[1]ATTENDANCE DAILY'!$I$4:$AM$663,$CC42,DAY(BB$14)))="T-Cutting","T-C",INDEX('[1]ATTENDANCE DAILY'!$I$4:$AM$663,$CC42,DAY(BB$14)))))),IFERROR(IF(_xlpm._r=0,"",_xlpm._r),""))</f>
        <v/>
      </c>
      <c r="BC42" s="55"/>
      <c r="BD42" s="56" t="str">
        <f>_xlfn.LET(_xlpm._r,_xlfn.SINGLE(IF(OR($CC42="",BD$14="",BD$14&lt;_xlfn.SINGLE(INDEX('[1]ATTENDANCE DAILY'!$AV$4:$AV$663,$CC42)),BD$14&gt;_xlfn.SINGLE(INDEX('[1]ATTENDANCE DAILY'!$AW$4:$AW$663,$CC42))),"",IF(_xlfn.SINGLE(INDEX('[1]ATTENDANCE DAILY'!$I$4:$AM$663,$CC42,DAY(BD$14)))="T-Late","T-L",IF(_xlfn.SINGLE(INDEX('[1]ATTENDANCE DAILY'!$I$4:$AM$663,$CC42,DAY(BD$14)))="T-Cutting","T-C",INDEX('[1]ATTENDANCE DAILY'!$I$4:$AM$663,$CC42,DAY(BD$14)))))),IFERROR(IF(_xlpm._r=0,"",_xlpm._r),""))</f>
        <v/>
      </c>
      <c r="BE42" s="57" t="str">
        <f>_xlfn.LET(_xlpm._r,_xlfn.SINGLE(IF(OR($CC42="",BE$14="",BE$14&lt;_xlfn.SINGLE(INDEX('[1]ATTENDANCE DAILY'!$AV$4:$AV$663,$CC42)),BE$14&gt;_xlfn.SINGLE(INDEX('[1]ATTENDANCE DAILY'!$AW$4:$AW$663,$CC42))),"",IF(_xlfn.SINGLE(INDEX('[1]ATTENDANCE DAILY'!$I$4:$AM$663,$CC42,DAY(BE$14)))="T-Late","T-L",IF(_xlfn.SINGLE(INDEX('[1]ATTENDANCE DAILY'!$I$4:$AM$663,$CC42,DAY(BE$14)))="T-Cutting","T-C",INDEX('[1]ATTENDANCE DAILY'!$I$4:$AM$663,$CC42,DAY(BE$14)))))),IFERROR(IF(_xlpm._r=0,"",_xlpm._r),""))</f>
        <v/>
      </c>
      <c r="BF42" s="58"/>
      <c r="BG42" s="58"/>
      <c r="BH42" s="86"/>
      <c r="BI42" s="88" t="str">
        <f>IF($CC42="","",INDEX('[1]ATTENDANCE DAILY'!$AR$4:$AR$663,$CC42))</f>
        <v/>
      </c>
      <c r="BJ42" s="89"/>
      <c r="BK42" s="90"/>
      <c r="BL42" s="88" t="str">
        <f>IF($CC42="","",INDEX('[1]ATTENDANCE DAILY'!$AS$4:$AS$663,$CC42))</f>
        <v/>
      </c>
      <c r="BM42" s="89"/>
      <c r="BN42" s="89"/>
      <c r="BO42" s="90"/>
      <c r="BP42" s="91" t="str">
        <f>IF($CC42="","",IF(INDEX('[1]ATTENDANCE DAILY'!$AN$4:$AN$663,$CC42)="","",INDEX('[1]ATTENDANCE DAILY'!$AN$4:$AN$663,$CC42)&amp;IF(INDEX('[1]ATTENDANCE DAILY'!$AO$4:$AO$663,$CC42)="",""," ("&amp;TEXT(INDEX('[1]ATTENDANCE DAILY'!$AO$4:$AO$663,$CC42),"mm-dd-yyyy")&amp;")")&amp;IF(INDEX('[1]ATTENDANCE DAILY'!$AP$4:$AP$663,$CC42)="",""," - "&amp;INDEX('[1]ATTENDANCE DAILY'!$AP$4:$AP$663,$CC42))))</f>
        <v/>
      </c>
      <c r="BQ42" s="89"/>
      <c r="BR42" s="89"/>
      <c r="BS42" s="89"/>
      <c r="BT42" s="89"/>
      <c r="BU42" s="89"/>
      <c r="BV42" s="89"/>
      <c r="BW42" s="89"/>
      <c r="BX42" s="89"/>
      <c r="BY42" s="89"/>
      <c r="BZ42" s="89"/>
      <c r="CA42" s="90"/>
      <c r="CC42" t="str">
        <f>IF(COUNTIFS('[1]ATTENDANCE DAILY'!$C$4:$C$663,$BN$11,'[1]ATTENDANCE DAILY'!$F$4:$F$663,"Male",'[1]ATTENDANCE DAILY'!$G$4:$G$663,1,'[1]ATTENDANCE DAILY'!$BA$4:$BA$663,25)=0,"",SUMIFS('[1]ATTENDANCE DAILY'!$A$4:$A$663,'[1]ATTENDANCE DAILY'!$C$4:$C$663,$BN$11,'[1]ATTENDANCE DAILY'!$F$4:$F$663,"Male",'[1]ATTENDANCE DAILY'!$G$4:$G$663,1,'[1]ATTENDANCE DAILY'!$BA$4:$BA$663,25))</f>
        <v/>
      </c>
    </row>
    <row r="43" spans="1:81" ht="19.95" customHeight="1" thickBot="1">
      <c r="A43" s="80"/>
      <c r="B43" s="81"/>
      <c r="C43" s="81"/>
      <c r="D43" s="81"/>
      <c r="E43" s="81"/>
      <c r="F43" s="82"/>
      <c r="G43" s="83" t="s">
        <v>21</v>
      </c>
      <c r="H43" s="84"/>
      <c r="I43" s="84"/>
      <c r="J43" s="85"/>
      <c r="K43" s="54" cm="1">
        <f t="array" ref="K43">_xlfn.LET(_xlpm._r,IF(K$14="","",SUMPRODUCT(--('[1]ATTENDANCE DAILY'!$C$4:$C$663=$BN$11),--('[1]ATTENDANCE DAILY'!$F$4:$F$663="Male"),--('[1]ATTENDANCE DAILY'!$G$4:$G$663=1),--('[1]ATTENDANCE DAILY'!$AV$4:$AV$663&lt;=K$14),--('[1]ATTENDANCE DAILY'!$AW$4:$AW$663&gt;=K$14),--(INDEX('[1]ATTENDANCE DAILY'!$I$4:$AM$663,0,DAY(K$14))&lt;&gt;"X"))),IFERROR(IF(_xlpm._r=0,"",_xlpm._r),""))</f>
        <v>14</v>
      </c>
      <c r="L43" s="55"/>
      <c r="M43" s="56" cm="1">
        <f t="array" ref="M43">_xlfn.LET(_xlpm._r,IF(M$14="","",SUMPRODUCT(--('[1]ATTENDANCE DAILY'!$C$4:$C$663=$BN$11),--('[1]ATTENDANCE DAILY'!$F$4:$F$663="Male"),--('[1]ATTENDANCE DAILY'!$G$4:$G$663=1),--('[1]ATTENDANCE DAILY'!$AV$4:$AV$663&lt;=M$14),--('[1]ATTENDANCE DAILY'!$AW$4:$AW$663&gt;=M$14),--(INDEX('[1]ATTENDANCE DAILY'!$I$4:$AM$663,0,DAY(M$14))&lt;&gt;"X"))),IFERROR(IF(_xlpm._r=0,"",_xlpm._r),""))</f>
        <v>14</v>
      </c>
      <c r="N43" s="56" cm="1">
        <f t="array" ref="N43">_xlfn.LET(_xlpm._r,IF(N$14="","",SUMPRODUCT(--('[1]ATTENDANCE DAILY'!$C$4:$C$663=$BN$11),--('[1]ATTENDANCE DAILY'!$F$4:$F$663="Male"),--('[1]ATTENDANCE DAILY'!$G$4:$G$663=1),--('[1]ATTENDANCE DAILY'!$AV$4:$AV$663&lt;=N$14),--('[1]ATTENDANCE DAILY'!$AW$4:$AW$663&gt;=N$14),--(INDEX('[1]ATTENDANCE DAILY'!$I$4:$AM$663,0,DAY(N$14))&lt;&gt;"X"))),IFERROR(IF(_xlpm._r=0,"",_xlpm._r),""))</f>
        <v>14</v>
      </c>
      <c r="O43" s="57" cm="1">
        <f t="array" ref="O43">_xlfn.LET(_xlpm._r,IF(O$14="","",SUMPRODUCT(--('[1]ATTENDANCE DAILY'!$C$4:$C$663=$BN$11),--('[1]ATTENDANCE DAILY'!$F$4:$F$663="Male"),--('[1]ATTENDANCE DAILY'!$G$4:$G$663=1),--('[1]ATTENDANCE DAILY'!$AV$4:$AV$663&lt;=O$14),--('[1]ATTENDANCE DAILY'!$AW$4:$AW$663&gt;=O$14),--(INDEX('[1]ATTENDANCE DAILY'!$I$4:$AM$663,0,DAY(O$14))&lt;&gt;"X"))),IFERROR(IF(_xlpm._r=0,"",_xlpm._r),""))</f>
        <v>14</v>
      </c>
      <c r="P43" s="58"/>
      <c r="Q43" s="58"/>
      <c r="R43" s="55"/>
      <c r="S43" s="57" cm="1">
        <f t="array" ref="S43">_xlfn.LET(_xlpm._r,IF(S$14="","",SUMPRODUCT(--('[1]ATTENDANCE DAILY'!$C$4:$C$663=$BN$11),--('[1]ATTENDANCE DAILY'!$F$4:$F$663="Male"),--('[1]ATTENDANCE DAILY'!$G$4:$G$663=1),--('[1]ATTENDANCE DAILY'!$AV$4:$AV$663&lt;=S$14),--('[1]ATTENDANCE DAILY'!$AW$4:$AW$663&gt;=S$14),--(INDEX('[1]ATTENDANCE DAILY'!$I$4:$AM$663,0,DAY(S$14))&lt;&gt;"X"))),IFERROR(IF(_xlpm._r=0,"",_xlpm._r),""))</f>
        <v>14</v>
      </c>
      <c r="T43" s="58"/>
      <c r="U43" s="86"/>
      <c r="V43" s="59" cm="1">
        <f t="array" ref="V43">_xlfn.LET(_xlpm._r,IF(V$14="","",SUMPRODUCT(--('[1]ATTENDANCE DAILY'!$C$4:$C$663=$BN$11),--('[1]ATTENDANCE DAILY'!$F$4:$F$663="Male"),--('[1]ATTENDANCE DAILY'!$G$4:$G$663=1),--('[1]ATTENDANCE DAILY'!$AV$4:$AV$663&lt;=V$14),--('[1]ATTENDANCE DAILY'!$AW$4:$AW$663&gt;=V$14),--(INDEX('[1]ATTENDANCE DAILY'!$I$4:$AM$663,0,DAY(V$14))&lt;&gt;"X"))),IFERROR(IF(_xlpm._r=0,"",_xlpm._r),""))</f>
        <v>14</v>
      </c>
      <c r="W43" s="57" cm="1">
        <f t="array" ref="W43">_xlfn.LET(_xlpm._r,IF(W$14="","",SUMPRODUCT(--('[1]ATTENDANCE DAILY'!$C$4:$C$663=$BN$11),--('[1]ATTENDANCE DAILY'!$F$4:$F$663="Male"),--('[1]ATTENDANCE DAILY'!$G$4:$G$663=1),--('[1]ATTENDANCE DAILY'!$AV$4:$AV$663&lt;=W$14),--('[1]ATTENDANCE DAILY'!$AW$4:$AW$663&gt;=W$14),--(INDEX('[1]ATTENDANCE DAILY'!$I$4:$AM$663,0,DAY(W$14))&lt;&gt;"X"))),IFERROR(IF(_xlpm._r=0,"",_xlpm._r),""))</f>
        <v>14</v>
      </c>
      <c r="X43" s="58"/>
      <c r="Y43" s="55"/>
      <c r="Z43" s="56" cm="1">
        <f t="array" ref="Z43">_xlfn.LET(_xlpm._r,IF(Z$14="","",SUMPRODUCT(--('[1]ATTENDANCE DAILY'!$C$4:$C$663=$BN$11),--('[1]ATTENDANCE DAILY'!$F$4:$F$663="Male"),--('[1]ATTENDANCE DAILY'!$G$4:$G$663=1),--('[1]ATTENDANCE DAILY'!$AV$4:$AV$663&lt;=Z$14),--('[1]ATTENDANCE DAILY'!$AW$4:$AW$663&gt;=Z$14),--(INDEX('[1]ATTENDANCE DAILY'!$I$4:$AM$663,0,DAY(Z$14))&lt;&gt;"X"))),IFERROR(IF(_xlpm._r=0,"",_xlpm._r),""))</f>
        <v>14</v>
      </c>
      <c r="AA43" s="56" cm="1">
        <f t="array" ref="AA43">_xlfn.LET(_xlpm._r,IF(AA$14="","",SUMPRODUCT(--('[1]ATTENDANCE DAILY'!$C$4:$C$663=$BN$11),--('[1]ATTENDANCE DAILY'!$F$4:$F$663="Male"),--('[1]ATTENDANCE DAILY'!$G$4:$G$663=1),--('[1]ATTENDANCE DAILY'!$AV$4:$AV$663&lt;=AA$14),--('[1]ATTENDANCE DAILY'!$AW$4:$AW$663&gt;=AA$14),--(INDEX('[1]ATTENDANCE DAILY'!$I$4:$AM$663,0,DAY(AA$14))&lt;&gt;"X"))),IFERROR(IF(_xlpm._r=0,"",_xlpm._r),""))</f>
        <v>14</v>
      </c>
      <c r="AB43" s="57" cm="1">
        <f t="array" ref="AB43">_xlfn.LET(_xlpm._r,IF(AB$14="","",SUMPRODUCT(--('[1]ATTENDANCE DAILY'!$C$4:$C$663=$BN$11),--('[1]ATTENDANCE DAILY'!$F$4:$F$663="Male"),--('[1]ATTENDANCE DAILY'!$G$4:$G$663=1),--('[1]ATTENDANCE DAILY'!$AV$4:$AV$663&lt;=AB$14),--('[1]ATTENDANCE DAILY'!$AW$4:$AW$663&gt;=AB$14),--(INDEX('[1]ATTENDANCE DAILY'!$I$4:$AM$663,0,DAY(AB$14))&lt;&gt;"X"))),IFERROR(IF(_xlpm._r=0,"",_xlpm._r),""))</f>
        <v>14</v>
      </c>
      <c r="AC43" s="58"/>
      <c r="AD43" s="86"/>
      <c r="AE43" s="54" cm="1">
        <f t="array" ref="AE43">_xlfn.LET(_xlpm._r,IF(AE$14="","",SUMPRODUCT(--('[1]ATTENDANCE DAILY'!$C$4:$C$663=$BN$11),--('[1]ATTENDANCE DAILY'!$F$4:$F$663="Male"),--('[1]ATTENDANCE DAILY'!$G$4:$G$663=1),--('[1]ATTENDANCE DAILY'!$AV$4:$AV$663&lt;=AE$14),--('[1]ATTENDANCE DAILY'!$AW$4:$AW$663&gt;=AE$14),--(INDEX('[1]ATTENDANCE DAILY'!$I$4:$AM$663,0,DAY(AE$14))&lt;&gt;"X"))),IFERROR(IF(_xlpm._r=0,"",_xlpm._r),""))</f>
        <v>14</v>
      </c>
      <c r="AF43" s="58"/>
      <c r="AG43" s="55"/>
      <c r="AH43" s="56" cm="1">
        <f t="array" ref="AH43">_xlfn.LET(_xlpm._r,IF(AH$14="","",SUMPRODUCT(--('[1]ATTENDANCE DAILY'!$C$4:$C$663=$BN$11),--('[1]ATTENDANCE DAILY'!$F$4:$F$663="Male"),--('[1]ATTENDANCE DAILY'!$G$4:$G$663=1),--('[1]ATTENDANCE DAILY'!$AV$4:$AV$663&lt;=AH$14),--('[1]ATTENDANCE DAILY'!$AW$4:$AW$663&gt;=AH$14),--(INDEX('[1]ATTENDANCE DAILY'!$I$4:$AM$663,0,DAY(AH$14))&lt;&gt;"X"))),IFERROR(IF(_xlpm._r=0,"",_xlpm._r),""))</f>
        <v>14</v>
      </c>
      <c r="AI43" s="57" cm="1">
        <f t="array" ref="AI43">_xlfn.LET(_xlpm._r,IF(AI$14="","",SUMPRODUCT(--('[1]ATTENDANCE DAILY'!$C$4:$C$663=$BN$11),--('[1]ATTENDANCE DAILY'!$F$4:$F$663="Male"),--('[1]ATTENDANCE DAILY'!$G$4:$G$663=1),--('[1]ATTENDANCE DAILY'!$AV$4:$AV$663&lt;=AI$14),--('[1]ATTENDANCE DAILY'!$AW$4:$AW$663&gt;=AI$14),--(INDEX('[1]ATTENDANCE DAILY'!$I$4:$AM$663,0,DAY(AI$14))&lt;&gt;"X"))),IFERROR(IF(_xlpm._r=0,"",_xlpm._r),""))</f>
        <v>14</v>
      </c>
      <c r="AJ43" s="58"/>
      <c r="AK43" s="55"/>
      <c r="AL43" s="57" cm="1">
        <f t="array" ref="AL43">_xlfn.LET(_xlpm._r,IF(AL$14="","",SUMPRODUCT(--('[1]ATTENDANCE DAILY'!$C$4:$C$663=$BN$11),--('[1]ATTENDANCE DAILY'!$F$4:$F$663="Male"),--('[1]ATTENDANCE DAILY'!$G$4:$G$663=1),--('[1]ATTENDANCE DAILY'!$AV$4:$AV$663&lt;=AL$14),--('[1]ATTENDANCE DAILY'!$AW$4:$AW$663&gt;=AL$14),--(INDEX('[1]ATTENDANCE DAILY'!$I$4:$AM$663,0,DAY(AL$14))&lt;&gt;"X"))),IFERROR(IF(_xlpm._r=0,"",_xlpm._r),""))</f>
        <v>14</v>
      </c>
      <c r="AM43" s="55"/>
      <c r="AN43" s="57" cm="1">
        <f t="array" ref="AN43">_xlfn.LET(_xlpm._r,IF(AN$14="","",SUMPRODUCT(--('[1]ATTENDANCE DAILY'!$C$4:$C$663=$BN$11),--('[1]ATTENDANCE DAILY'!$F$4:$F$663="Male"),--('[1]ATTENDANCE DAILY'!$G$4:$G$663=1),--('[1]ATTENDANCE DAILY'!$AV$4:$AV$663&lt;=AN$14),--('[1]ATTENDANCE DAILY'!$AW$4:$AW$663&gt;=AN$14),--(INDEX('[1]ATTENDANCE DAILY'!$I$4:$AM$663,0,DAY(AN$14))&lt;&gt;"X"))),IFERROR(IF(_xlpm._r=0,"",_xlpm._r),""))</f>
        <v>14</v>
      </c>
      <c r="AO43" s="86"/>
      <c r="AP43" s="54" cm="1">
        <f t="array" ref="AP43">_xlfn.LET(_xlpm._r,IF(AP$14="","",SUMPRODUCT(--('[1]ATTENDANCE DAILY'!$C$4:$C$663=$BN$11),--('[1]ATTENDANCE DAILY'!$F$4:$F$663="Male"),--('[1]ATTENDANCE DAILY'!$G$4:$G$663=1),--('[1]ATTENDANCE DAILY'!$AV$4:$AV$663&lt;=AP$14),--('[1]ATTENDANCE DAILY'!$AW$4:$AW$663&gt;=AP$14),--(INDEX('[1]ATTENDANCE DAILY'!$I$4:$AM$663,0,DAY(AP$14))&lt;&gt;"X"))),IFERROR(IF(_xlpm._r=0,"",_xlpm._r),""))</f>
        <v>14</v>
      </c>
      <c r="AQ43" s="55"/>
      <c r="AR43" s="56" cm="1">
        <f t="array" ref="AR43">_xlfn.LET(_xlpm._r,IF(AR$14="","",SUMPRODUCT(--('[1]ATTENDANCE DAILY'!$C$4:$C$663=$BN$11),--('[1]ATTENDANCE DAILY'!$F$4:$F$663="Male"),--('[1]ATTENDANCE DAILY'!$G$4:$G$663=1),--('[1]ATTENDANCE DAILY'!$AV$4:$AV$663&lt;=AR$14),--('[1]ATTENDANCE DAILY'!$AW$4:$AW$663&gt;=AR$14),--(INDEX('[1]ATTENDANCE DAILY'!$I$4:$AM$663,0,DAY(AR$14))&lt;&gt;"X"))),IFERROR(IF(_xlpm._r=0,"",_xlpm._r),""))</f>
        <v>14</v>
      </c>
      <c r="AS43" s="57" cm="1">
        <f t="array" ref="AS43">_xlfn.LET(_xlpm._r,IF(AS$14="","",SUMPRODUCT(--('[1]ATTENDANCE DAILY'!$C$4:$C$663=$BN$11),--('[1]ATTENDANCE DAILY'!$F$4:$F$663="Male"),--('[1]ATTENDANCE DAILY'!$G$4:$G$663=1),--('[1]ATTENDANCE DAILY'!$AV$4:$AV$663&lt;=AS$14),--('[1]ATTENDANCE DAILY'!$AW$4:$AW$663&gt;=AS$14),--(INDEX('[1]ATTENDANCE DAILY'!$I$4:$AM$663,0,DAY(AS$14))&lt;&gt;"X"))),IFERROR(IF(_xlpm._r=0,"",_xlpm._r),""))</f>
        <v>14</v>
      </c>
      <c r="AT43" s="55"/>
      <c r="AU43" s="56" cm="1">
        <f t="array" ref="AU43">_xlfn.LET(_xlpm._r,IF(AU$14="","",SUMPRODUCT(--('[1]ATTENDANCE DAILY'!$C$4:$C$663=$BN$11),--('[1]ATTENDANCE DAILY'!$F$4:$F$663="Male"),--('[1]ATTENDANCE DAILY'!$G$4:$G$663=1),--('[1]ATTENDANCE DAILY'!$AV$4:$AV$663&lt;=AU$14),--('[1]ATTENDANCE DAILY'!$AW$4:$AW$663&gt;=AU$14),--(INDEX('[1]ATTENDANCE DAILY'!$I$4:$AM$663,0,DAY(AU$14))&lt;&gt;"X"))),IFERROR(IF(_xlpm._r=0,"",_xlpm._r),""))</f>
        <v>14</v>
      </c>
      <c r="AV43" s="87" cm="1">
        <f t="array" ref="AV43">_xlfn.LET(_xlpm._r,IF(AV$14="","",SUMPRODUCT(--('[1]ATTENDANCE DAILY'!$C$4:$C$663=$BN$11),--('[1]ATTENDANCE DAILY'!$F$4:$F$663="Male"),--('[1]ATTENDANCE DAILY'!$G$4:$G$663=1),--('[1]ATTENDANCE DAILY'!$AV$4:$AV$663&lt;=AV$14),--('[1]ATTENDANCE DAILY'!$AW$4:$AW$663&gt;=AV$14),--(INDEX('[1]ATTENDANCE DAILY'!$I$4:$AM$663,0,DAY(AV$14))&lt;&gt;"X"))),IFERROR(IF(_xlpm._r=0,"",_xlpm._r),""))</f>
        <v>14</v>
      </c>
      <c r="AW43" s="54" cm="1">
        <f t="array" ref="AW43">_xlfn.LET(_xlpm._r,IF(AW$14="","",SUMPRODUCT(--('[1]ATTENDANCE DAILY'!$C$4:$C$663=$BN$11),--('[1]ATTENDANCE DAILY'!$F$4:$F$663="Male"),--('[1]ATTENDANCE DAILY'!$G$4:$G$663=1),--('[1]ATTENDANCE DAILY'!$AV$4:$AV$663&lt;=AW$14),--('[1]ATTENDANCE DAILY'!$AW$4:$AW$663&gt;=AW$14),--(INDEX('[1]ATTENDANCE DAILY'!$I$4:$AM$663,0,DAY(AW$14))&lt;&gt;"X"))),IFERROR(IF(_xlpm._r=0,"",_xlpm._r),""))</f>
        <v>14</v>
      </c>
      <c r="AX43" s="55"/>
      <c r="AY43" s="57" cm="1">
        <f t="array" ref="AY43">_xlfn.LET(_xlpm._r,IF(AY$14="","",SUMPRODUCT(--('[1]ATTENDANCE DAILY'!$C$4:$C$663=$BN$11),--('[1]ATTENDANCE DAILY'!$F$4:$F$663="Male"),--('[1]ATTENDANCE DAILY'!$G$4:$G$663=1),--('[1]ATTENDANCE DAILY'!$AV$4:$AV$663&lt;=AY$14),--('[1]ATTENDANCE DAILY'!$AW$4:$AW$663&gt;=AY$14),--(INDEX('[1]ATTENDANCE DAILY'!$I$4:$AM$663,0,DAY(AY$14))&lt;&gt;"X"))),IFERROR(IF(_xlpm._r=0,"",_xlpm._r),""))</f>
        <v>14</v>
      </c>
      <c r="AZ43" s="58"/>
      <c r="BA43" s="55"/>
      <c r="BB43" s="57" cm="1">
        <f t="array" ref="BB43">_xlfn.LET(_xlpm._r,IF(BB$14="","",SUMPRODUCT(--('[1]ATTENDANCE DAILY'!$C$4:$C$663=$BN$11),--('[1]ATTENDANCE DAILY'!$F$4:$F$663="Male"),--('[1]ATTENDANCE DAILY'!$G$4:$G$663=1),--('[1]ATTENDANCE DAILY'!$AV$4:$AV$663&lt;=BB$14),--('[1]ATTENDANCE DAILY'!$AW$4:$AW$663&gt;=BB$14),--(INDEX('[1]ATTENDANCE DAILY'!$I$4:$AM$663,0,DAY(BB$14))&lt;&gt;"X"))),IFERROR(IF(_xlpm._r=0,"",_xlpm._r),""))</f>
        <v>14</v>
      </c>
      <c r="BC43" s="55"/>
      <c r="BD43" s="56" t="str" cm="1">
        <f t="array" ref="BD43">_xlfn.LET(_xlpm._r,IF(BD$14="","",SUMPRODUCT(--('[1]ATTENDANCE DAILY'!$C$4:$C$663=$BN$11),--('[1]ATTENDANCE DAILY'!$F$4:$F$663="Male"),--('[1]ATTENDANCE DAILY'!$G$4:$G$663=1),--('[1]ATTENDANCE DAILY'!$AV$4:$AV$663&lt;=BD$14),--('[1]ATTENDANCE DAILY'!$AW$4:$AW$663&gt;=BD$14),--(INDEX('[1]ATTENDANCE DAILY'!$I$4:$AM$663,0,DAY(BD$14))&lt;&gt;"X"))),IFERROR(IF(_xlpm._r=0,"",_xlpm._r),""))</f>
        <v/>
      </c>
      <c r="BE43" s="57" t="str" cm="1">
        <f t="array" ref="BE43">_xlfn.LET(_xlpm._r,IF(BE$14="","",SUMPRODUCT(--('[1]ATTENDANCE DAILY'!$C$4:$C$663=$BN$11),--('[1]ATTENDANCE DAILY'!$F$4:$F$663="Male"),--('[1]ATTENDANCE DAILY'!$G$4:$G$663=1),--('[1]ATTENDANCE DAILY'!$AV$4:$AV$663&lt;=BE$14),--('[1]ATTENDANCE DAILY'!$AW$4:$AW$663&gt;=BE$14),--(INDEX('[1]ATTENDANCE DAILY'!$I$4:$AM$663,0,DAY(BE$14))&lt;&gt;"X"))),IFERROR(IF(_xlpm._r=0,"",_xlpm._r),""))</f>
        <v/>
      </c>
      <c r="BF43" s="58"/>
      <c r="BG43" s="58"/>
      <c r="BH43" s="86"/>
      <c r="BI43" s="88">
        <f>SUMIFS('[1]ATTENDANCE DAILY'!$AR$4:$AR$663,'[1]ATTENDANCE DAILY'!$C$4:$C$663,$BN$11,'[1]ATTENDANCE DAILY'!$F$4:$F$663,"Male",'[1]ATTENDANCE DAILY'!$G$4:$G$663,1)</f>
        <v>0</v>
      </c>
      <c r="BJ43" s="89"/>
      <c r="BK43" s="90"/>
      <c r="BL43" s="88">
        <f>SUMIFS('[1]ATTENDANCE DAILY'!$AS$4:$AS$663,'[1]ATTENDANCE DAILY'!$C$4:$C$663,$BN$11,'[1]ATTENDANCE DAILY'!$F$4:$F$663,"Male",'[1]ATTENDANCE DAILY'!$G$4:$G$663,1)</f>
        <v>322</v>
      </c>
      <c r="BM43" s="89"/>
      <c r="BN43" s="89"/>
      <c r="BO43" s="90"/>
      <c r="BP43" s="91"/>
      <c r="BQ43" s="89"/>
      <c r="BR43" s="89"/>
      <c r="BS43" s="89"/>
      <c r="BT43" s="89"/>
      <c r="BU43" s="89"/>
      <c r="BV43" s="89"/>
      <c r="BW43" s="89"/>
      <c r="BX43" s="89"/>
      <c r="BY43" s="89"/>
      <c r="BZ43" s="89"/>
      <c r="CA43" s="90"/>
    </row>
    <row r="44" spans="1:81" ht="19.95" customHeight="1" thickTop="1" thickBot="1">
      <c r="A44" s="92">
        <v>1</v>
      </c>
      <c r="B44" s="93"/>
      <c r="C44" s="93"/>
      <c r="D44" s="93"/>
      <c r="E44" s="93"/>
      <c r="F44" s="94"/>
      <c r="G44" s="95" t="str">
        <f>IF($CC44="","",INDEX('[1]ATTENDANCE DAILY'!$E$4:$E$663,$CC44))</f>
        <v>ACAYAN, HANNAH NICOLE COSTUNA</v>
      </c>
      <c r="H44" s="96"/>
      <c r="I44" s="96"/>
      <c r="J44" s="97"/>
      <c r="K44" s="98" t="str">
        <f>_xlfn.LET(_xlpm._r,_xlfn.SINGLE(IF(OR($CC44="",K$14="",K$14&lt;_xlfn.SINGLE(INDEX('[1]ATTENDANCE DAILY'!$AV$4:$AV$663,$CC44)),K$14&gt;_xlfn.SINGLE(INDEX('[1]ATTENDANCE DAILY'!$AW$4:$AW$663,$CC44))),"",IF(_xlfn.SINGLE(INDEX('[1]ATTENDANCE DAILY'!$I$4:$AM$663,$CC44,DAY(K$14)))="T-Late","T-L",IF(_xlfn.SINGLE(INDEX('[1]ATTENDANCE DAILY'!$I$4:$AM$663,$CC44,DAY(K$14)))="T-Cutting","T-C",INDEX('[1]ATTENDANCE DAILY'!$I$4:$AM$663,$CC44,DAY(K$14)))))),IFERROR(IF(_xlpm._r=0,"",_xlpm._r),""))</f>
        <v/>
      </c>
      <c r="L44" s="99"/>
      <c r="M44" s="100" t="str">
        <f>_xlfn.LET(_xlpm._r,_xlfn.SINGLE(IF(OR($CC44="",M$14="",M$14&lt;_xlfn.SINGLE(INDEX('[1]ATTENDANCE DAILY'!$AV$4:$AV$663,$CC44)),M$14&gt;_xlfn.SINGLE(INDEX('[1]ATTENDANCE DAILY'!$AW$4:$AW$663,$CC44))),"",IF(_xlfn.SINGLE(INDEX('[1]ATTENDANCE DAILY'!$I$4:$AM$663,$CC44,DAY(M$14)))="T-Late","T-L",IF(_xlfn.SINGLE(INDEX('[1]ATTENDANCE DAILY'!$I$4:$AM$663,$CC44,DAY(M$14)))="T-Cutting","T-C",INDEX('[1]ATTENDANCE DAILY'!$I$4:$AM$663,$CC44,DAY(M$14)))))),IFERROR(IF(_xlpm._r=0,"",_xlpm._r),""))</f>
        <v/>
      </c>
      <c r="N44" s="100" t="str">
        <f>_xlfn.LET(_xlpm._r,_xlfn.SINGLE(IF(OR($CC44="",N$14="",N$14&lt;_xlfn.SINGLE(INDEX('[1]ATTENDANCE DAILY'!$AV$4:$AV$663,$CC44)),N$14&gt;_xlfn.SINGLE(INDEX('[1]ATTENDANCE DAILY'!$AW$4:$AW$663,$CC44))),"",IF(_xlfn.SINGLE(INDEX('[1]ATTENDANCE DAILY'!$I$4:$AM$663,$CC44,DAY(N$14)))="T-Late","T-L",IF(_xlfn.SINGLE(INDEX('[1]ATTENDANCE DAILY'!$I$4:$AM$663,$CC44,DAY(N$14)))="T-Cutting","T-C",INDEX('[1]ATTENDANCE DAILY'!$I$4:$AM$663,$CC44,DAY(N$14)))))),IFERROR(IF(_xlpm._r=0,"",_xlpm._r),""))</f>
        <v/>
      </c>
      <c r="O44" s="101" t="str">
        <f>_xlfn.LET(_xlpm._r,_xlfn.SINGLE(IF(OR($CC44="",O$14="",O$14&lt;_xlfn.SINGLE(INDEX('[1]ATTENDANCE DAILY'!$AV$4:$AV$663,$CC44)),O$14&gt;_xlfn.SINGLE(INDEX('[1]ATTENDANCE DAILY'!$AW$4:$AW$663,$CC44))),"",IF(_xlfn.SINGLE(INDEX('[1]ATTENDANCE DAILY'!$I$4:$AM$663,$CC44,DAY(O$14)))="T-Late","T-L",IF(_xlfn.SINGLE(INDEX('[1]ATTENDANCE DAILY'!$I$4:$AM$663,$CC44,DAY(O$14)))="T-Cutting","T-C",INDEX('[1]ATTENDANCE DAILY'!$I$4:$AM$663,$CC44,DAY(O$14)))))),IFERROR(IF(_xlpm._r=0,"",_xlpm._r),""))</f>
        <v/>
      </c>
      <c r="P44" s="102"/>
      <c r="Q44" s="102"/>
      <c r="R44" s="99"/>
      <c r="S44" s="101" t="str">
        <f>_xlfn.LET(_xlpm._r,_xlfn.SINGLE(IF(OR($CC44="",S$14="",S$14&lt;_xlfn.SINGLE(INDEX('[1]ATTENDANCE DAILY'!$AV$4:$AV$663,$CC44)),S$14&gt;_xlfn.SINGLE(INDEX('[1]ATTENDANCE DAILY'!$AW$4:$AW$663,$CC44))),"",IF(_xlfn.SINGLE(INDEX('[1]ATTENDANCE DAILY'!$I$4:$AM$663,$CC44,DAY(S$14)))="T-Late","T-L",IF(_xlfn.SINGLE(INDEX('[1]ATTENDANCE DAILY'!$I$4:$AM$663,$CC44,DAY(S$14)))="T-Cutting","T-C",INDEX('[1]ATTENDANCE DAILY'!$I$4:$AM$663,$CC44,DAY(S$14)))))),IFERROR(IF(_xlpm._r=0,"",_xlpm._r),""))</f>
        <v/>
      </c>
      <c r="T44" s="102"/>
      <c r="U44" s="103"/>
      <c r="V44" s="100" t="str">
        <f>_xlfn.LET(_xlpm._r,_xlfn.SINGLE(IF(OR($CC44="",V$14="",V$14&lt;_xlfn.SINGLE(INDEX('[1]ATTENDANCE DAILY'!$AV$4:$AV$663,$CC44)),V$14&gt;_xlfn.SINGLE(INDEX('[1]ATTENDANCE DAILY'!$AW$4:$AW$663,$CC44))),"",IF(_xlfn.SINGLE(INDEX('[1]ATTENDANCE DAILY'!$I$4:$AM$663,$CC44,DAY(V$14)))="T-Late","T-L",IF(_xlfn.SINGLE(INDEX('[1]ATTENDANCE DAILY'!$I$4:$AM$663,$CC44,DAY(V$14)))="T-Cutting","T-C",INDEX('[1]ATTENDANCE DAILY'!$I$4:$AM$663,$CC44,DAY(V$14)))))),IFERROR(IF(_xlpm._r=0,"",_xlpm._r),""))</f>
        <v/>
      </c>
      <c r="W44" s="101" t="str">
        <f>_xlfn.LET(_xlpm._r,_xlfn.SINGLE(IF(OR($CC44="",W$14="",W$14&lt;_xlfn.SINGLE(INDEX('[1]ATTENDANCE DAILY'!$AV$4:$AV$663,$CC44)),W$14&gt;_xlfn.SINGLE(INDEX('[1]ATTENDANCE DAILY'!$AW$4:$AW$663,$CC44))),"",IF(_xlfn.SINGLE(INDEX('[1]ATTENDANCE DAILY'!$I$4:$AM$663,$CC44,DAY(W$14)))="T-Late","T-L",IF(_xlfn.SINGLE(INDEX('[1]ATTENDANCE DAILY'!$I$4:$AM$663,$CC44,DAY(W$14)))="T-Cutting","T-C",INDEX('[1]ATTENDANCE DAILY'!$I$4:$AM$663,$CC44,DAY(W$14)))))),IFERROR(IF(_xlpm._r=0,"",_xlpm._r),""))</f>
        <v/>
      </c>
      <c r="X44" s="102"/>
      <c r="Y44" s="99"/>
      <c r="Z44" s="100" t="str">
        <f>_xlfn.LET(_xlpm._r,_xlfn.SINGLE(IF(OR($CC44="",Z$14="",Z$14&lt;_xlfn.SINGLE(INDEX('[1]ATTENDANCE DAILY'!$AV$4:$AV$663,$CC44)),Z$14&gt;_xlfn.SINGLE(INDEX('[1]ATTENDANCE DAILY'!$AW$4:$AW$663,$CC44))),"",IF(_xlfn.SINGLE(INDEX('[1]ATTENDANCE DAILY'!$I$4:$AM$663,$CC44,DAY(Z$14)))="T-Late","T-L",IF(_xlfn.SINGLE(INDEX('[1]ATTENDANCE DAILY'!$I$4:$AM$663,$CC44,DAY(Z$14)))="T-Cutting","T-C",INDEX('[1]ATTENDANCE DAILY'!$I$4:$AM$663,$CC44,DAY(Z$14)))))),IFERROR(IF(_xlpm._r=0,"",_xlpm._r),""))</f>
        <v/>
      </c>
      <c r="AA44" s="100" t="str">
        <f>_xlfn.LET(_xlpm._r,_xlfn.SINGLE(IF(OR($CC44="",AA$14="",AA$14&lt;_xlfn.SINGLE(INDEX('[1]ATTENDANCE DAILY'!$AV$4:$AV$663,$CC44)),AA$14&gt;_xlfn.SINGLE(INDEX('[1]ATTENDANCE DAILY'!$AW$4:$AW$663,$CC44))),"",IF(_xlfn.SINGLE(INDEX('[1]ATTENDANCE DAILY'!$I$4:$AM$663,$CC44,DAY(AA$14)))="T-Late","T-L",IF(_xlfn.SINGLE(INDEX('[1]ATTENDANCE DAILY'!$I$4:$AM$663,$CC44,DAY(AA$14)))="T-Cutting","T-C",INDEX('[1]ATTENDANCE DAILY'!$I$4:$AM$663,$CC44,DAY(AA$14)))))),IFERROR(IF(_xlpm._r=0,"",_xlpm._r),""))</f>
        <v/>
      </c>
      <c r="AB44" s="101" t="str">
        <f>_xlfn.LET(_xlpm._r,_xlfn.SINGLE(IF(OR($CC44="",AB$14="",AB$14&lt;_xlfn.SINGLE(INDEX('[1]ATTENDANCE DAILY'!$AV$4:$AV$663,$CC44)),AB$14&gt;_xlfn.SINGLE(INDEX('[1]ATTENDANCE DAILY'!$AW$4:$AW$663,$CC44))),"",IF(_xlfn.SINGLE(INDEX('[1]ATTENDANCE DAILY'!$I$4:$AM$663,$CC44,DAY(AB$14)))="T-Late","T-L",IF(_xlfn.SINGLE(INDEX('[1]ATTENDANCE DAILY'!$I$4:$AM$663,$CC44,DAY(AB$14)))="T-Cutting","T-C",INDEX('[1]ATTENDANCE DAILY'!$I$4:$AM$663,$CC44,DAY(AB$14)))))),IFERROR(IF(_xlpm._r=0,"",_xlpm._r),""))</f>
        <v/>
      </c>
      <c r="AC44" s="102"/>
      <c r="AD44" s="103"/>
      <c r="AE44" s="101" t="str">
        <f>_xlfn.LET(_xlpm._r,_xlfn.SINGLE(IF(OR($CC44="",AE$14="",AE$14&lt;_xlfn.SINGLE(INDEX('[1]ATTENDANCE DAILY'!$AV$4:$AV$663,$CC44)),AE$14&gt;_xlfn.SINGLE(INDEX('[1]ATTENDANCE DAILY'!$AW$4:$AW$663,$CC44))),"",IF(_xlfn.SINGLE(INDEX('[1]ATTENDANCE DAILY'!$I$4:$AM$663,$CC44,DAY(AE$14)))="T-Late","T-L",IF(_xlfn.SINGLE(INDEX('[1]ATTENDANCE DAILY'!$I$4:$AM$663,$CC44,DAY(AE$14)))="T-Cutting","T-C",INDEX('[1]ATTENDANCE DAILY'!$I$4:$AM$663,$CC44,DAY(AE$14)))))),IFERROR(IF(_xlpm._r=0,"",_xlpm._r),""))</f>
        <v/>
      </c>
      <c r="AF44" s="102"/>
      <c r="AG44" s="99"/>
      <c r="AH44" s="100" t="str">
        <f>_xlfn.LET(_xlpm._r,_xlfn.SINGLE(IF(OR($CC44="",AH$14="",AH$14&lt;_xlfn.SINGLE(INDEX('[1]ATTENDANCE DAILY'!$AV$4:$AV$663,$CC44)),AH$14&gt;_xlfn.SINGLE(INDEX('[1]ATTENDANCE DAILY'!$AW$4:$AW$663,$CC44))),"",IF(_xlfn.SINGLE(INDEX('[1]ATTENDANCE DAILY'!$I$4:$AM$663,$CC44,DAY(AH$14)))="T-Late","T-L",IF(_xlfn.SINGLE(INDEX('[1]ATTENDANCE DAILY'!$I$4:$AM$663,$CC44,DAY(AH$14)))="T-Cutting","T-C",INDEX('[1]ATTENDANCE DAILY'!$I$4:$AM$663,$CC44,DAY(AH$14)))))),IFERROR(IF(_xlpm._r=0,"",_xlpm._r),""))</f>
        <v/>
      </c>
      <c r="AI44" s="101" t="str">
        <f>_xlfn.LET(_xlpm._r,_xlfn.SINGLE(IF(OR($CC44="",AI$14="",AI$14&lt;_xlfn.SINGLE(INDEX('[1]ATTENDANCE DAILY'!$AV$4:$AV$663,$CC44)),AI$14&gt;_xlfn.SINGLE(INDEX('[1]ATTENDANCE DAILY'!$AW$4:$AW$663,$CC44))),"",IF(_xlfn.SINGLE(INDEX('[1]ATTENDANCE DAILY'!$I$4:$AM$663,$CC44,DAY(AI$14)))="T-Late","T-L",IF(_xlfn.SINGLE(INDEX('[1]ATTENDANCE DAILY'!$I$4:$AM$663,$CC44,DAY(AI$14)))="T-Cutting","T-C",INDEX('[1]ATTENDANCE DAILY'!$I$4:$AM$663,$CC44,DAY(AI$14)))))),IFERROR(IF(_xlpm._r=0,"",_xlpm._r),""))</f>
        <v/>
      </c>
      <c r="AJ44" s="102"/>
      <c r="AK44" s="99"/>
      <c r="AL44" s="101" t="str">
        <f>_xlfn.LET(_xlpm._r,_xlfn.SINGLE(IF(OR($CC44="",AL$14="",AL$14&lt;_xlfn.SINGLE(INDEX('[1]ATTENDANCE DAILY'!$AV$4:$AV$663,$CC44)),AL$14&gt;_xlfn.SINGLE(INDEX('[1]ATTENDANCE DAILY'!$AW$4:$AW$663,$CC44))),"",IF(_xlfn.SINGLE(INDEX('[1]ATTENDANCE DAILY'!$I$4:$AM$663,$CC44,DAY(AL$14)))="T-Late","T-L",IF(_xlfn.SINGLE(INDEX('[1]ATTENDANCE DAILY'!$I$4:$AM$663,$CC44,DAY(AL$14)))="T-Cutting","T-C",INDEX('[1]ATTENDANCE DAILY'!$I$4:$AM$663,$CC44,DAY(AL$14)))))),IFERROR(IF(_xlpm._r=0,"",_xlpm._r),""))</f>
        <v/>
      </c>
      <c r="AM44" s="99"/>
      <c r="AN44" s="101" t="str">
        <f>_xlfn.LET(_xlpm._r,_xlfn.SINGLE(IF(OR($CC44="",AN$14="",AN$14&lt;_xlfn.SINGLE(INDEX('[1]ATTENDANCE DAILY'!$AV$4:$AV$663,$CC44)),AN$14&gt;_xlfn.SINGLE(INDEX('[1]ATTENDANCE DAILY'!$AW$4:$AW$663,$CC44))),"",IF(_xlfn.SINGLE(INDEX('[1]ATTENDANCE DAILY'!$I$4:$AM$663,$CC44,DAY(AN$14)))="T-Late","T-L",IF(_xlfn.SINGLE(INDEX('[1]ATTENDANCE DAILY'!$I$4:$AM$663,$CC44,DAY(AN$14)))="T-Cutting","T-C",INDEX('[1]ATTENDANCE DAILY'!$I$4:$AM$663,$CC44,DAY(AN$14)))))),IFERROR(IF(_xlpm._r=0,"",_xlpm._r),""))</f>
        <v/>
      </c>
      <c r="AO44" s="103"/>
      <c r="AP44" s="101" t="str">
        <f>_xlfn.LET(_xlpm._r,_xlfn.SINGLE(IF(OR($CC44="",AP$14="",AP$14&lt;_xlfn.SINGLE(INDEX('[1]ATTENDANCE DAILY'!$AV$4:$AV$663,$CC44)),AP$14&gt;_xlfn.SINGLE(INDEX('[1]ATTENDANCE DAILY'!$AW$4:$AW$663,$CC44))),"",IF(_xlfn.SINGLE(INDEX('[1]ATTENDANCE DAILY'!$I$4:$AM$663,$CC44,DAY(AP$14)))="T-Late","T-L",IF(_xlfn.SINGLE(INDEX('[1]ATTENDANCE DAILY'!$I$4:$AM$663,$CC44,DAY(AP$14)))="T-Cutting","T-C",INDEX('[1]ATTENDANCE DAILY'!$I$4:$AM$663,$CC44,DAY(AP$14)))))),IFERROR(IF(_xlpm._r=0,"",_xlpm._r),""))</f>
        <v/>
      </c>
      <c r="AQ44" s="99"/>
      <c r="AR44" s="100" t="str">
        <f>_xlfn.LET(_xlpm._r,_xlfn.SINGLE(IF(OR($CC44="",AR$14="",AR$14&lt;_xlfn.SINGLE(INDEX('[1]ATTENDANCE DAILY'!$AV$4:$AV$663,$CC44)),AR$14&gt;_xlfn.SINGLE(INDEX('[1]ATTENDANCE DAILY'!$AW$4:$AW$663,$CC44))),"",IF(_xlfn.SINGLE(INDEX('[1]ATTENDANCE DAILY'!$I$4:$AM$663,$CC44,DAY(AR$14)))="T-Late","T-L",IF(_xlfn.SINGLE(INDEX('[1]ATTENDANCE DAILY'!$I$4:$AM$663,$CC44,DAY(AR$14)))="T-Cutting","T-C",INDEX('[1]ATTENDANCE DAILY'!$I$4:$AM$663,$CC44,DAY(AR$14)))))),IFERROR(IF(_xlpm._r=0,"",_xlpm._r),""))</f>
        <v/>
      </c>
      <c r="AS44" s="101" t="str">
        <f>_xlfn.LET(_xlpm._r,_xlfn.SINGLE(IF(OR($CC44="",AS$14="",AS$14&lt;_xlfn.SINGLE(INDEX('[1]ATTENDANCE DAILY'!$AV$4:$AV$663,$CC44)),AS$14&gt;_xlfn.SINGLE(INDEX('[1]ATTENDANCE DAILY'!$AW$4:$AW$663,$CC44))),"",IF(_xlfn.SINGLE(INDEX('[1]ATTENDANCE DAILY'!$I$4:$AM$663,$CC44,DAY(AS$14)))="T-Late","T-L",IF(_xlfn.SINGLE(INDEX('[1]ATTENDANCE DAILY'!$I$4:$AM$663,$CC44,DAY(AS$14)))="T-Cutting","T-C",INDEX('[1]ATTENDANCE DAILY'!$I$4:$AM$663,$CC44,DAY(AS$14)))))),IFERROR(IF(_xlpm._r=0,"",_xlpm._r),""))</f>
        <v/>
      </c>
      <c r="AT44" s="99"/>
      <c r="AU44" s="100" t="str">
        <f>_xlfn.LET(_xlpm._r,_xlfn.SINGLE(IF(OR($CC44="",AU$14="",AU$14&lt;_xlfn.SINGLE(INDEX('[1]ATTENDANCE DAILY'!$AV$4:$AV$663,$CC44)),AU$14&gt;_xlfn.SINGLE(INDEX('[1]ATTENDANCE DAILY'!$AW$4:$AW$663,$CC44))),"",IF(_xlfn.SINGLE(INDEX('[1]ATTENDANCE DAILY'!$I$4:$AM$663,$CC44,DAY(AU$14)))="T-Late","T-L",IF(_xlfn.SINGLE(INDEX('[1]ATTENDANCE DAILY'!$I$4:$AM$663,$CC44,DAY(AU$14)))="T-Cutting","T-C",INDEX('[1]ATTENDANCE DAILY'!$I$4:$AM$663,$CC44,DAY(AU$14)))))),IFERROR(IF(_xlpm._r=0,"",_xlpm._r),""))</f>
        <v/>
      </c>
      <c r="AV44" s="104" t="str">
        <f>_xlfn.LET(_xlpm._r,_xlfn.SINGLE(IF(OR($CC44="",AV$14="",AV$14&lt;_xlfn.SINGLE(INDEX('[1]ATTENDANCE DAILY'!$AV$4:$AV$663,$CC44)),AV$14&gt;_xlfn.SINGLE(INDEX('[1]ATTENDANCE DAILY'!$AW$4:$AW$663,$CC44))),"",IF(_xlfn.SINGLE(INDEX('[1]ATTENDANCE DAILY'!$I$4:$AM$663,$CC44,DAY(AV$14)))="T-Late","T-L",IF(_xlfn.SINGLE(INDEX('[1]ATTENDANCE DAILY'!$I$4:$AM$663,$CC44,DAY(AV$14)))="T-Cutting","T-C",INDEX('[1]ATTENDANCE DAILY'!$I$4:$AM$663,$CC44,DAY(AV$14)))))),IFERROR(IF(_xlpm._r=0,"",_xlpm._r),""))</f>
        <v/>
      </c>
      <c r="AW44" s="101" t="str">
        <f>_xlfn.LET(_xlpm._r,_xlfn.SINGLE(IF(OR($CC44="",AW$14="",AW$14&lt;_xlfn.SINGLE(INDEX('[1]ATTENDANCE DAILY'!$AV$4:$AV$663,$CC44)),AW$14&gt;_xlfn.SINGLE(INDEX('[1]ATTENDANCE DAILY'!$AW$4:$AW$663,$CC44))),"",IF(_xlfn.SINGLE(INDEX('[1]ATTENDANCE DAILY'!$I$4:$AM$663,$CC44,DAY(AW$14)))="T-Late","T-L",IF(_xlfn.SINGLE(INDEX('[1]ATTENDANCE DAILY'!$I$4:$AM$663,$CC44,DAY(AW$14)))="T-Cutting","T-C",INDEX('[1]ATTENDANCE DAILY'!$I$4:$AM$663,$CC44,DAY(AW$14)))))),IFERROR(IF(_xlpm._r=0,"",_xlpm._r),""))</f>
        <v/>
      </c>
      <c r="AX44" s="99"/>
      <c r="AY44" s="101" t="str">
        <f>_xlfn.LET(_xlpm._r,_xlfn.SINGLE(IF(OR($CC44="",AY$14="",AY$14&lt;_xlfn.SINGLE(INDEX('[1]ATTENDANCE DAILY'!$AV$4:$AV$663,$CC44)),AY$14&gt;_xlfn.SINGLE(INDEX('[1]ATTENDANCE DAILY'!$AW$4:$AW$663,$CC44))),"",IF(_xlfn.SINGLE(INDEX('[1]ATTENDANCE DAILY'!$I$4:$AM$663,$CC44,DAY(AY$14)))="T-Late","T-L",IF(_xlfn.SINGLE(INDEX('[1]ATTENDANCE DAILY'!$I$4:$AM$663,$CC44,DAY(AY$14)))="T-Cutting","T-C",INDEX('[1]ATTENDANCE DAILY'!$I$4:$AM$663,$CC44,DAY(AY$14)))))),IFERROR(IF(_xlpm._r=0,"",_xlpm._r),""))</f>
        <v/>
      </c>
      <c r="AZ44" s="102"/>
      <c r="BA44" s="99"/>
      <c r="BB44" s="101" t="str">
        <f>_xlfn.LET(_xlpm._r,_xlfn.SINGLE(IF(OR($CC44="",BB$14="",BB$14&lt;_xlfn.SINGLE(INDEX('[1]ATTENDANCE DAILY'!$AV$4:$AV$663,$CC44)),BB$14&gt;_xlfn.SINGLE(INDEX('[1]ATTENDANCE DAILY'!$AW$4:$AW$663,$CC44))),"",IF(_xlfn.SINGLE(INDEX('[1]ATTENDANCE DAILY'!$I$4:$AM$663,$CC44,DAY(BB$14)))="T-Late","T-L",IF(_xlfn.SINGLE(INDEX('[1]ATTENDANCE DAILY'!$I$4:$AM$663,$CC44,DAY(BB$14)))="T-Cutting","T-C",INDEX('[1]ATTENDANCE DAILY'!$I$4:$AM$663,$CC44,DAY(BB$14)))))),IFERROR(IF(_xlpm._r=0,"",_xlpm._r),""))</f>
        <v/>
      </c>
      <c r="BC44" s="99"/>
      <c r="BD44" s="100" t="str">
        <f>_xlfn.LET(_xlpm._r,_xlfn.SINGLE(IF(OR($CC44="",BD$14="",BD$14&lt;_xlfn.SINGLE(INDEX('[1]ATTENDANCE DAILY'!$AV$4:$AV$663,$CC44)),BD$14&gt;_xlfn.SINGLE(INDEX('[1]ATTENDANCE DAILY'!$AW$4:$AW$663,$CC44))),"",IF(_xlfn.SINGLE(INDEX('[1]ATTENDANCE DAILY'!$I$4:$AM$663,$CC44,DAY(BD$14)))="T-Late","T-L",IF(_xlfn.SINGLE(INDEX('[1]ATTENDANCE DAILY'!$I$4:$AM$663,$CC44,DAY(BD$14)))="T-Cutting","T-C",INDEX('[1]ATTENDANCE DAILY'!$I$4:$AM$663,$CC44,DAY(BD$14)))))),IFERROR(IF(_xlpm._r=0,"",_xlpm._r),""))</f>
        <v/>
      </c>
      <c r="BE44" s="101" t="str">
        <f>_xlfn.LET(_xlpm._r,_xlfn.SINGLE(IF(OR($CC44="",BE$14="",BE$14&lt;_xlfn.SINGLE(INDEX('[1]ATTENDANCE DAILY'!$AV$4:$AV$663,$CC44)),BE$14&gt;_xlfn.SINGLE(INDEX('[1]ATTENDANCE DAILY'!$AW$4:$AW$663,$CC44))),"",IF(_xlfn.SINGLE(INDEX('[1]ATTENDANCE DAILY'!$I$4:$AM$663,$CC44,DAY(BE$14)))="T-Late","T-L",IF(_xlfn.SINGLE(INDEX('[1]ATTENDANCE DAILY'!$I$4:$AM$663,$CC44,DAY(BE$14)))="T-Cutting","T-C",INDEX('[1]ATTENDANCE DAILY'!$I$4:$AM$663,$CC44,DAY(BE$14)))))),IFERROR(IF(_xlpm._r=0,"",_xlpm._r),""))</f>
        <v/>
      </c>
      <c r="BF44" s="102"/>
      <c r="BG44" s="102"/>
      <c r="BH44" s="103"/>
      <c r="BI44" s="105">
        <f>IF($CC44="","",INDEX('[1]ATTENDANCE DAILY'!$AR$4:$AR$663,$CC44))</f>
        <v>0</v>
      </c>
      <c r="BJ44" s="106"/>
      <c r="BK44" s="107"/>
      <c r="BL44" s="105">
        <f>IF($CC44="","",INDEX('[1]ATTENDANCE DAILY'!$AS$4:$AS$663,$CC44))</f>
        <v>23</v>
      </c>
      <c r="BM44" s="106"/>
      <c r="BN44" s="106"/>
      <c r="BO44" s="107"/>
      <c r="BP44" s="105" t="str">
        <f>IF($CC44="","",IF(INDEX('[1]ATTENDANCE DAILY'!$AN$4:$AN$663,$CC44)="","",INDEX('[1]ATTENDANCE DAILY'!$AN$4:$AN$663,$CC44)&amp;IF(INDEX('[1]ATTENDANCE DAILY'!$AO$4:$AO$663,$CC44)="",""," ("&amp;TEXT(INDEX('[1]ATTENDANCE DAILY'!$AO$4:$AO$663,$CC44),"mm-dd-yyyy")&amp;")")&amp;IF(INDEX('[1]ATTENDANCE DAILY'!$AP$4:$AP$663,$CC44)="",""," - "&amp;INDEX('[1]ATTENDANCE DAILY'!$AP$4:$AP$663,$CC44))))</f>
        <v/>
      </c>
      <c r="BQ44" s="106"/>
      <c r="BR44" s="106"/>
      <c r="BS44" s="106"/>
      <c r="BT44" s="106"/>
      <c r="BU44" s="106"/>
      <c r="BV44" s="106"/>
      <c r="BW44" s="106"/>
      <c r="BX44" s="106"/>
      <c r="BY44" s="106"/>
      <c r="BZ44" s="106"/>
      <c r="CA44" s="107"/>
      <c r="CC44">
        <f>IF(COUNTIFS('[1]ATTENDANCE DAILY'!$C$4:$C$663,$BN$11,'[1]ATTENDANCE DAILY'!$F$4:$F$663,"Female",'[1]ATTENDANCE DAILY'!$G$4:$G$663,1,'[1]ATTENDANCE DAILY'!$BA$4:$BA$663,1)=0,"",SUMIFS('[1]ATTENDANCE DAILY'!$A$4:$A$663,'[1]ATTENDANCE DAILY'!$C$4:$C$663,$BN$11,'[1]ATTENDANCE DAILY'!$F$4:$F$663,"Female",'[1]ATTENDANCE DAILY'!$G$4:$G$663,1,'[1]ATTENDANCE DAILY'!$BA$4:$BA$663,1))</f>
        <v>75</v>
      </c>
    </row>
    <row r="45" spans="1:81" ht="19.95" customHeight="1" thickTop="1" thickBot="1">
      <c r="A45" s="92">
        <v>2</v>
      </c>
      <c r="B45" s="93"/>
      <c r="C45" s="93"/>
      <c r="D45" s="93"/>
      <c r="E45" s="93"/>
      <c r="F45" s="94"/>
      <c r="G45" s="95" t="str">
        <f>IF($CC45="","",INDEX('[1]ATTENDANCE DAILY'!$E$4:$E$663,$CC45))</f>
        <v>AREÑEZ, FRANCHESKA OCAMPO</v>
      </c>
      <c r="H45" s="96"/>
      <c r="I45" s="96"/>
      <c r="J45" s="97"/>
      <c r="K45" s="98" t="str">
        <f>_xlfn.LET(_xlpm._r,_xlfn.SINGLE(IF(OR($CC45="",K$14="",K$14&lt;_xlfn.SINGLE(INDEX('[1]ATTENDANCE DAILY'!$AV$4:$AV$663,$CC45)),K$14&gt;_xlfn.SINGLE(INDEX('[1]ATTENDANCE DAILY'!$AW$4:$AW$663,$CC45))),"",IF(_xlfn.SINGLE(INDEX('[1]ATTENDANCE DAILY'!$I$4:$AM$663,$CC45,DAY(K$14)))="T-Late","T-L",IF(_xlfn.SINGLE(INDEX('[1]ATTENDANCE DAILY'!$I$4:$AM$663,$CC45,DAY(K$14)))="T-Cutting","T-C",INDEX('[1]ATTENDANCE DAILY'!$I$4:$AM$663,$CC45,DAY(K$14)))))),IFERROR(IF(_xlpm._r=0,"",_xlpm._r),""))</f>
        <v/>
      </c>
      <c r="L45" s="99"/>
      <c r="M45" s="100" t="str">
        <f>_xlfn.LET(_xlpm._r,_xlfn.SINGLE(IF(OR($CC45="",M$14="",M$14&lt;_xlfn.SINGLE(INDEX('[1]ATTENDANCE DAILY'!$AV$4:$AV$663,$CC45)),M$14&gt;_xlfn.SINGLE(INDEX('[1]ATTENDANCE DAILY'!$AW$4:$AW$663,$CC45))),"",IF(_xlfn.SINGLE(INDEX('[1]ATTENDANCE DAILY'!$I$4:$AM$663,$CC45,DAY(M$14)))="T-Late","T-L",IF(_xlfn.SINGLE(INDEX('[1]ATTENDANCE DAILY'!$I$4:$AM$663,$CC45,DAY(M$14)))="T-Cutting","T-C",INDEX('[1]ATTENDANCE DAILY'!$I$4:$AM$663,$CC45,DAY(M$14)))))),IFERROR(IF(_xlpm._r=0,"",_xlpm._r),""))</f>
        <v/>
      </c>
      <c r="N45" s="100" t="str">
        <f>_xlfn.LET(_xlpm._r,_xlfn.SINGLE(IF(OR($CC45="",N$14="",N$14&lt;_xlfn.SINGLE(INDEX('[1]ATTENDANCE DAILY'!$AV$4:$AV$663,$CC45)),N$14&gt;_xlfn.SINGLE(INDEX('[1]ATTENDANCE DAILY'!$AW$4:$AW$663,$CC45))),"",IF(_xlfn.SINGLE(INDEX('[1]ATTENDANCE DAILY'!$I$4:$AM$663,$CC45,DAY(N$14)))="T-Late","T-L",IF(_xlfn.SINGLE(INDEX('[1]ATTENDANCE DAILY'!$I$4:$AM$663,$CC45,DAY(N$14)))="T-Cutting","T-C",INDEX('[1]ATTENDANCE DAILY'!$I$4:$AM$663,$CC45,DAY(N$14)))))),IFERROR(IF(_xlpm._r=0,"",_xlpm._r),""))</f>
        <v/>
      </c>
      <c r="O45" s="101" t="str">
        <f>_xlfn.LET(_xlpm._r,_xlfn.SINGLE(IF(OR($CC45="",O$14="",O$14&lt;_xlfn.SINGLE(INDEX('[1]ATTENDANCE DAILY'!$AV$4:$AV$663,$CC45)),O$14&gt;_xlfn.SINGLE(INDEX('[1]ATTENDANCE DAILY'!$AW$4:$AW$663,$CC45))),"",IF(_xlfn.SINGLE(INDEX('[1]ATTENDANCE DAILY'!$I$4:$AM$663,$CC45,DAY(O$14)))="T-Late","T-L",IF(_xlfn.SINGLE(INDEX('[1]ATTENDANCE DAILY'!$I$4:$AM$663,$CC45,DAY(O$14)))="T-Cutting","T-C",INDEX('[1]ATTENDANCE DAILY'!$I$4:$AM$663,$CC45,DAY(O$14)))))),IFERROR(IF(_xlpm._r=0,"",_xlpm._r),""))</f>
        <v/>
      </c>
      <c r="P45" s="102"/>
      <c r="Q45" s="102"/>
      <c r="R45" s="99"/>
      <c r="S45" s="101" t="str">
        <f>_xlfn.LET(_xlpm._r,_xlfn.SINGLE(IF(OR($CC45="",S$14="",S$14&lt;_xlfn.SINGLE(INDEX('[1]ATTENDANCE DAILY'!$AV$4:$AV$663,$CC45)),S$14&gt;_xlfn.SINGLE(INDEX('[1]ATTENDANCE DAILY'!$AW$4:$AW$663,$CC45))),"",IF(_xlfn.SINGLE(INDEX('[1]ATTENDANCE DAILY'!$I$4:$AM$663,$CC45,DAY(S$14)))="T-Late","T-L",IF(_xlfn.SINGLE(INDEX('[1]ATTENDANCE DAILY'!$I$4:$AM$663,$CC45,DAY(S$14)))="T-Cutting","T-C",INDEX('[1]ATTENDANCE DAILY'!$I$4:$AM$663,$CC45,DAY(S$14)))))),IFERROR(IF(_xlpm._r=0,"",_xlpm._r),""))</f>
        <v/>
      </c>
      <c r="T45" s="102"/>
      <c r="U45" s="103"/>
      <c r="V45" s="100" t="str">
        <f>_xlfn.LET(_xlpm._r,_xlfn.SINGLE(IF(OR($CC45="",V$14="",V$14&lt;_xlfn.SINGLE(INDEX('[1]ATTENDANCE DAILY'!$AV$4:$AV$663,$CC45)),V$14&gt;_xlfn.SINGLE(INDEX('[1]ATTENDANCE DAILY'!$AW$4:$AW$663,$CC45))),"",IF(_xlfn.SINGLE(INDEX('[1]ATTENDANCE DAILY'!$I$4:$AM$663,$CC45,DAY(V$14)))="T-Late","T-L",IF(_xlfn.SINGLE(INDEX('[1]ATTENDANCE DAILY'!$I$4:$AM$663,$CC45,DAY(V$14)))="T-Cutting","T-C",INDEX('[1]ATTENDANCE DAILY'!$I$4:$AM$663,$CC45,DAY(V$14)))))),IFERROR(IF(_xlpm._r=0,"",_xlpm._r),""))</f>
        <v/>
      </c>
      <c r="W45" s="101" t="str">
        <f>_xlfn.LET(_xlpm._r,_xlfn.SINGLE(IF(OR($CC45="",W$14="",W$14&lt;_xlfn.SINGLE(INDEX('[1]ATTENDANCE DAILY'!$AV$4:$AV$663,$CC45)),W$14&gt;_xlfn.SINGLE(INDEX('[1]ATTENDANCE DAILY'!$AW$4:$AW$663,$CC45))),"",IF(_xlfn.SINGLE(INDEX('[1]ATTENDANCE DAILY'!$I$4:$AM$663,$CC45,DAY(W$14)))="T-Late","T-L",IF(_xlfn.SINGLE(INDEX('[1]ATTENDANCE DAILY'!$I$4:$AM$663,$CC45,DAY(W$14)))="T-Cutting","T-C",INDEX('[1]ATTENDANCE DAILY'!$I$4:$AM$663,$CC45,DAY(W$14)))))),IFERROR(IF(_xlpm._r=0,"",_xlpm._r),""))</f>
        <v/>
      </c>
      <c r="X45" s="102"/>
      <c r="Y45" s="99"/>
      <c r="Z45" s="100" t="str">
        <f>_xlfn.LET(_xlpm._r,_xlfn.SINGLE(IF(OR($CC45="",Z$14="",Z$14&lt;_xlfn.SINGLE(INDEX('[1]ATTENDANCE DAILY'!$AV$4:$AV$663,$CC45)),Z$14&gt;_xlfn.SINGLE(INDEX('[1]ATTENDANCE DAILY'!$AW$4:$AW$663,$CC45))),"",IF(_xlfn.SINGLE(INDEX('[1]ATTENDANCE DAILY'!$I$4:$AM$663,$CC45,DAY(Z$14)))="T-Late","T-L",IF(_xlfn.SINGLE(INDEX('[1]ATTENDANCE DAILY'!$I$4:$AM$663,$CC45,DAY(Z$14)))="T-Cutting","T-C",INDEX('[1]ATTENDANCE DAILY'!$I$4:$AM$663,$CC45,DAY(Z$14)))))),IFERROR(IF(_xlpm._r=0,"",_xlpm._r),""))</f>
        <v/>
      </c>
      <c r="AA45" s="100" t="str">
        <f>_xlfn.LET(_xlpm._r,_xlfn.SINGLE(IF(OR($CC45="",AA$14="",AA$14&lt;_xlfn.SINGLE(INDEX('[1]ATTENDANCE DAILY'!$AV$4:$AV$663,$CC45)),AA$14&gt;_xlfn.SINGLE(INDEX('[1]ATTENDANCE DAILY'!$AW$4:$AW$663,$CC45))),"",IF(_xlfn.SINGLE(INDEX('[1]ATTENDANCE DAILY'!$I$4:$AM$663,$CC45,DAY(AA$14)))="T-Late","T-L",IF(_xlfn.SINGLE(INDEX('[1]ATTENDANCE DAILY'!$I$4:$AM$663,$CC45,DAY(AA$14)))="T-Cutting","T-C",INDEX('[1]ATTENDANCE DAILY'!$I$4:$AM$663,$CC45,DAY(AA$14)))))),IFERROR(IF(_xlpm._r=0,"",_xlpm._r),""))</f>
        <v/>
      </c>
      <c r="AB45" s="101" t="str">
        <f>_xlfn.LET(_xlpm._r,_xlfn.SINGLE(IF(OR($CC45="",AB$14="",AB$14&lt;_xlfn.SINGLE(INDEX('[1]ATTENDANCE DAILY'!$AV$4:$AV$663,$CC45)),AB$14&gt;_xlfn.SINGLE(INDEX('[1]ATTENDANCE DAILY'!$AW$4:$AW$663,$CC45))),"",IF(_xlfn.SINGLE(INDEX('[1]ATTENDANCE DAILY'!$I$4:$AM$663,$CC45,DAY(AB$14)))="T-Late","T-L",IF(_xlfn.SINGLE(INDEX('[1]ATTENDANCE DAILY'!$I$4:$AM$663,$CC45,DAY(AB$14)))="T-Cutting","T-C",INDEX('[1]ATTENDANCE DAILY'!$I$4:$AM$663,$CC45,DAY(AB$14)))))),IFERROR(IF(_xlpm._r=0,"",_xlpm._r),""))</f>
        <v/>
      </c>
      <c r="AC45" s="102"/>
      <c r="AD45" s="103"/>
      <c r="AE45" s="101" t="str">
        <f>_xlfn.LET(_xlpm._r,_xlfn.SINGLE(IF(OR($CC45="",AE$14="",AE$14&lt;_xlfn.SINGLE(INDEX('[1]ATTENDANCE DAILY'!$AV$4:$AV$663,$CC45)),AE$14&gt;_xlfn.SINGLE(INDEX('[1]ATTENDANCE DAILY'!$AW$4:$AW$663,$CC45))),"",IF(_xlfn.SINGLE(INDEX('[1]ATTENDANCE DAILY'!$I$4:$AM$663,$CC45,DAY(AE$14)))="T-Late","T-L",IF(_xlfn.SINGLE(INDEX('[1]ATTENDANCE DAILY'!$I$4:$AM$663,$CC45,DAY(AE$14)))="T-Cutting","T-C",INDEX('[1]ATTENDANCE DAILY'!$I$4:$AM$663,$CC45,DAY(AE$14)))))),IFERROR(IF(_xlpm._r=0,"",_xlpm._r),""))</f>
        <v/>
      </c>
      <c r="AF45" s="102"/>
      <c r="AG45" s="99"/>
      <c r="AH45" s="100" t="str">
        <f>_xlfn.LET(_xlpm._r,_xlfn.SINGLE(IF(OR($CC45="",AH$14="",AH$14&lt;_xlfn.SINGLE(INDEX('[1]ATTENDANCE DAILY'!$AV$4:$AV$663,$CC45)),AH$14&gt;_xlfn.SINGLE(INDEX('[1]ATTENDANCE DAILY'!$AW$4:$AW$663,$CC45))),"",IF(_xlfn.SINGLE(INDEX('[1]ATTENDANCE DAILY'!$I$4:$AM$663,$CC45,DAY(AH$14)))="T-Late","T-L",IF(_xlfn.SINGLE(INDEX('[1]ATTENDANCE DAILY'!$I$4:$AM$663,$CC45,DAY(AH$14)))="T-Cutting","T-C",INDEX('[1]ATTENDANCE DAILY'!$I$4:$AM$663,$CC45,DAY(AH$14)))))),IFERROR(IF(_xlpm._r=0,"",_xlpm._r),""))</f>
        <v/>
      </c>
      <c r="AI45" s="101" t="str">
        <f>_xlfn.LET(_xlpm._r,_xlfn.SINGLE(IF(OR($CC45="",AI$14="",AI$14&lt;_xlfn.SINGLE(INDEX('[1]ATTENDANCE DAILY'!$AV$4:$AV$663,$CC45)),AI$14&gt;_xlfn.SINGLE(INDEX('[1]ATTENDANCE DAILY'!$AW$4:$AW$663,$CC45))),"",IF(_xlfn.SINGLE(INDEX('[1]ATTENDANCE DAILY'!$I$4:$AM$663,$CC45,DAY(AI$14)))="T-Late","T-L",IF(_xlfn.SINGLE(INDEX('[1]ATTENDANCE DAILY'!$I$4:$AM$663,$CC45,DAY(AI$14)))="T-Cutting","T-C",INDEX('[1]ATTENDANCE DAILY'!$I$4:$AM$663,$CC45,DAY(AI$14)))))),IFERROR(IF(_xlpm._r=0,"",_xlpm._r),""))</f>
        <v/>
      </c>
      <c r="AJ45" s="102"/>
      <c r="AK45" s="99"/>
      <c r="AL45" s="101" t="str">
        <f>_xlfn.LET(_xlpm._r,_xlfn.SINGLE(IF(OR($CC45="",AL$14="",AL$14&lt;_xlfn.SINGLE(INDEX('[1]ATTENDANCE DAILY'!$AV$4:$AV$663,$CC45)),AL$14&gt;_xlfn.SINGLE(INDEX('[1]ATTENDANCE DAILY'!$AW$4:$AW$663,$CC45))),"",IF(_xlfn.SINGLE(INDEX('[1]ATTENDANCE DAILY'!$I$4:$AM$663,$CC45,DAY(AL$14)))="T-Late","T-L",IF(_xlfn.SINGLE(INDEX('[1]ATTENDANCE DAILY'!$I$4:$AM$663,$CC45,DAY(AL$14)))="T-Cutting","T-C",INDEX('[1]ATTENDANCE DAILY'!$I$4:$AM$663,$CC45,DAY(AL$14)))))),IFERROR(IF(_xlpm._r=0,"",_xlpm._r),""))</f>
        <v/>
      </c>
      <c r="AM45" s="99"/>
      <c r="AN45" s="101" t="str">
        <f>_xlfn.LET(_xlpm._r,_xlfn.SINGLE(IF(OR($CC45="",AN$14="",AN$14&lt;_xlfn.SINGLE(INDEX('[1]ATTENDANCE DAILY'!$AV$4:$AV$663,$CC45)),AN$14&gt;_xlfn.SINGLE(INDEX('[1]ATTENDANCE DAILY'!$AW$4:$AW$663,$CC45))),"",IF(_xlfn.SINGLE(INDEX('[1]ATTENDANCE DAILY'!$I$4:$AM$663,$CC45,DAY(AN$14)))="T-Late","T-L",IF(_xlfn.SINGLE(INDEX('[1]ATTENDANCE DAILY'!$I$4:$AM$663,$CC45,DAY(AN$14)))="T-Cutting","T-C",INDEX('[1]ATTENDANCE DAILY'!$I$4:$AM$663,$CC45,DAY(AN$14)))))),IFERROR(IF(_xlpm._r=0,"",_xlpm._r),""))</f>
        <v/>
      </c>
      <c r="AO45" s="103"/>
      <c r="AP45" s="101" t="str">
        <f>_xlfn.LET(_xlpm._r,_xlfn.SINGLE(IF(OR($CC45="",AP$14="",AP$14&lt;_xlfn.SINGLE(INDEX('[1]ATTENDANCE DAILY'!$AV$4:$AV$663,$CC45)),AP$14&gt;_xlfn.SINGLE(INDEX('[1]ATTENDANCE DAILY'!$AW$4:$AW$663,$CC45))),"",IF(_xlfn.SINGLE(INDEX('[1]ATTENDANCE DAILY'!$I$4:$AM$663,$CC45,DAY(AP$14)))="T-Late","T-L",IF(_xlfn.SINGLE(INDEX('[1]ATTENDANCE DAILY'!$I$4:$AM$663,$CC45,DAY(AP$14)))="T-Cutting","T-C",INDEX('[1]ATTENDANCE DAILY'!$I$4:$AM$663,$CC45,DAY(AP$14)))))),IFERROR(IF(_xlpm._r=0,"",_xlpm._r),""))</f>
        <v/>
      </c>
      <c r="AQ45" s="99"/>
      <c r="AR45" s="100" t="str">
        <f>_xlfn.LET(_xlpm._r,_xlfn.SINGLE(IF(OR($CC45="",AR$14="",AR$14&lt;_xlfn.SINGLE(INDEX('[1]ATTENDANCE DAILY'!$AV$4:$AV$663,$CC45)),AR$14&gt;_xlfn.SINGLE(INDEX('[1]ATTENDANCE DAILY'!$AW$4:$AW$663,$CC45))),"",IF(_xlfn.SINGLE(INDEX('[1]ATTENDANCE DAILY'!$I$4:$AM$663,$CC45,DAY(AR$14)))="T-Late","T-L",IF(_xlfn.SINGLE(INDEX('[1]ATTENDANCE DAILY'!$I$4:$AM$663,$CC45,DAY(AR$14)))="T-Cutting","T-C",INDEX('[1]ATTENDANCE DAILY'!$I$4:$AM$663,$CC45,DAY(AR$14)))))),IFERROR(IF(_xlpm._r=0,"",_xlpm._r),""))</f>
        <v/>
      </c>
      <c r="AS45" s="101" t="str">
        <f>_xlfn.LET(_xlpm._r,_xlfn.SINGLE(IF(OR($CC45="",AS$14="",AS$14&lt;_xlfn.SINGLE(INDEX('[1]ATTENDANCE DAILY'!$AV$4:$AV$663,$CC45)),AS$14&gt;_xlfn.SINGLE(INDEX('[1]ATTENDANCE DAILY'!$AW$4:$AW$663,$CC45))),"",IF(_xlfn.SINGLE(INDEX('[1]ATTENDANCE DAILY'!$I$4:$AM$663,$CC45,DAY(AS$14)))="T-Late","T-L",IF(_xlfn.SINGLE(INDEX('[1]ATTENDANCE DAILY'!$I$4:$AM$663,$CC45,DAY(AS$14)))="T-Cutting","T-C",INDEX('[1]ATTENDANCE DAILY'!$I$4:$AM$663,$CC45,DAY(AS$14)))))),IFERROR(IF(_xlpm._r=0,"",_xlpm._r),""))</f>
        <v/>
      </c>
      <c r="AT45" s="99"/>
      <c r="AU45" s="100" t="str">
        <f>_xlfn.LET(_xlpm._r,_xlfn.SINGLE(IF(OR($CC45="",AU$14="",AU$14&lt;_xlfn.SINGLE(INDEX('[1]ATTENDANCE DAILY'!$AV$4:$AV$663,$CC45)),AU$14&gt;_xlfn.SINGLE(INDEX('[1]ATTENDANCE DAILY'!$AW$4:$AW$663,$CC45))),"",IF(_xlfn.SINGLE(INDEX('[1]ATTENDANCE DAILY'!$I$4:$AM$663,$CC45,DAY(AU$14)))="T-Late","T-L",IF(_xlfn.SINGLE(INDEX('[1]ATTENDANCE DAILY'!$I$4:$AM$663,$CC45,DAY(AU$14)))="T-Cutting","T-C",INDEX('[1]ATTENDANCE DAILY'!$I$4:$AM$663,$CC45,DAY(AU$14)))))),IFERROR(IF(_xlpm._r=0,"",_xlpm._r),""))</f>
        <v/>
      </c>
      <c r="AV45" s="104" t="str">
        <f>_xlfn.LET(_xlpm._r,_xlfn.SINGLE(IF(OR($CC45="",AV$14="",AV$14&lt;_xlfn.SINGLE(INDEX('[1]ATTENDANCE DAILY'!$AV$4:$AV$663,$CC45)),AV$14&gt;_xlfn.SINGLE(INDEX('[1]ATTENDANCE DAILY'!$AW$4:$AW$663,$CC45))),"",IF(_xlfn.SINGLE(INDEX('[1]ATTENDANCE DAILY'!$I$4:$AM$663,$CC45,DAY(AV$14)))="T-Late","T-L",IF(_xlfn.SINGLE(INDEX('[1]ATTENDANCE DAILY'!$I$4:$AM$663,$CC45,DAY(AV$14)))="T-Cutting","T-C",INDEX('[1]ATTENDANCE DAILY'!$I$4:$AM$663,$CC45,DAY(AV$14)))))),IFERROR(IF(_xlpm._r=0,"",_xlpm._r),""))</f>
        <v/>
      </c>
      <c r="AW45" s="101" t="str">
        <f>_xlfn.LET(_xlpm._r,_xlfn.SINGLE(IF(OR($CC45="",AW$14="",AW$14&lt;_xlfn.SINGLE(INDEX('[1]ATTENDANCE DAILY'!$AV$4:$AV$663,$CC45)),AW$14&gt;_xlfn.SINGLE(INDEX('[1]ATTENDANCE DAILY'!$AW$4:$AW$663,$CC45))),"",IF(_xlfn.SINGLE(INDEX('[1]ATTENDANCE DAILY'!$I$4:$AM$663,$CC45,DAY(AW$14)))="T-Late","T-L",IF(_xlfn.SINGLE(INDEX('[1]ATTENDANCE DAILY'!$I$4:$AM$663,$CC45,DAY(AW$14)))="T-Cutting","T-C",INDEX('[1]ATTENDANCE DAILY'!$I$4:$AM$663,$CC45,DAY(AW$14)))))),IFERROR(IF(_xlpm._r=0,"",_xlpm._r),""))</f>
        <v/>
      </c>
      <c r="AX45" s="99"/>
      <c r="AY45" s="101" t="str">
        <f>_xlfn.LET(_xlpm._r,_xlfn.SINGLE(IF(OR($CC45="",AY$14="",AY$14&lt;_xlfn.SINGLE(INDEX('[1]ATTENDANCE DAILY'!$AV$4:$AV$663,$CC45)),AY$14&gt;_xlfn.SINGLE(INDEX('[1]ATTENDANCE DAILY'!$AW$4:$AW$663,$CC45))),"",IF(_xlfn.SINGLE(INDEX('[1]ATTENDANCE DAILY'!$I$4:$AM$663,$CC45,DAY(AY$14)))="T-Late","T-L",IF(_xlfn.SINGLE(INDEX('[1]ATTENDANCE DAILY'!$I$4:$AM$663,$CC45,DAY(AY$14)))="T-Cutting","T-C",INDEX('[1]ATTENDANCE DAILY'!$I$4:$AM$663,$CC45,DAY(AY$14)))))),IFERROR(IF(_xlpm._r=0,"",_xlpm._r),""))</f>
        <v/>
      </c>
      <c r="AZ45" s="102"/>
      <c r="BA45" s="99"/>
      <c r="BB45" s="101" t="str">
        <f>_xlfn.LET(_xlpm._r,_xlfn.SINGLE(IF(OR($CC45="",BB$14="",BB$14&lt;_xlfn.SINGLE(INDEX('[1]ATTENDANCE DAILY'!$AV$4:$AV$663,$CC45)),BB$14&gt;_xlfn.SINGLE(INDEX('[1]ATTENDANCE DAILY'!$AW$4:$AW$663,$CC45))),"",IF(_xlfn.SINGLE(INDEX('[1]ATTENDANCE DAILY'!$I$4:$AM$663,$CC45,DAY(BB$14)))="T-Late","T-L",IF(_xlfn.SINGLE(INDEX('[1]ATTENDANCE DAILY'!$I$4:$AM$663,$CC45,DAY(BB$14)))="T-Cutting","T-C",INDEX('[1]ATTENDANCE DAILY'!$I$4:$AM$663,$CC45,DAY(BB$14)))))),IFERROR(IF(_xlpm._r=0,"",_xlpm._r),""))</f>
        <v/>
      </c>
      <c r="BC45" s="99"/>
      <c r="BD45" s="100" t="str">
        <f>_xlfn.LET(_xlpm._r,_xlfn.SINGLE(IF(OR($CC45="",BD$14="",BD$14&lt;_xlfn.SINGLE(INDEX('[1]ATTENDANCE DAILY'!$AV$4:$AV$663,$CC45)),BD$14&gt;_xlfn.SINGLE(INDEX('[1]ATTENDANCE DAILY'!$AW$4:$AW$663,$CC45))),"",IF(_xlfn.SINGLE(INDEX('[1]ATTENDANCE DAILY'!$I$4:$AM$663,$CC45,DAY(BD$14)))="T-Late","T-L",IF(_xlfn.SINGLE(INDEX('[1]ATTENDANCE DAILY'!$I$4:$AM$663,$CC45,DAY(BD$14)))="T-Cutting","T-C",INDEX('[1]ATTENDANCE DAILY'!$I$4:$AM$663,$CC45,DAY(BD$14)))))),IFERROR(IF(_xlpm._r=0,"",_xlpm._r),""))</f>
        <v/>
      </c>
      <c r="BE45" s="101" t="str">
        <f>_xlfn.LET(_xlpm._r,_xlfn.SINGLE(IF(OR($CC45="",BE$14="",BE$14&lt;_xlfn.SINGLE(INDEX('[1]ATTENDANCE DAILY'!$AV$4:$AV$663,$CC45)),BE$14&gt;_xlfn.SINGLE(INDEX('[1]ATTENDANCE DAILY'!$AW$4:$AW$663,$CC45))),"",IF(_xlfn.SINGLE(INDEX('[1]ATTENDANCE DAILY'!$I$4:$AM$663,$CC45,DAY(BE$14)))="T-Late","T-L",IF(_xlfn.SINGLE(INDEX('[1]ATTENDANCE DAILY'!$I$4:$AM$663,$CC45,DAY(BE$14)))="T-Cutting","T-C",INDEX('[1]ATTENDANCE DAILY'!$I$4:$AM$663,$CC45,DAY(BE$14)))))),IFERROR(IF(_xlpm._r=0,"",_xlpm._r),""))</f>
        <v/>
      </c>
      <c r="BF45" s="102"/>
      <c r="BG45" s="102"/>
      <c r="BH45" s="103"/>
      <c r="BI45" s="105">
        <f>IF($CC45="","",INDEX('[1]ATTENDANCE DAILY'!$AR$4:$AR$663,$CC45))</f>
        <v>0</v>
      </c>
      <c r="BJ45" s="106"/>
      <c r="BK45" s="107"/>
      <c r="BL45" s="105">
        <f>IF($CC45="","",INDEX('[1]ATTENDANCE DAILY'!$AS$4:$AS$663,$CC45))</f>
        <v>23</v>
      </c>
      <c r="BM45" s="106"/>
      <c r="BN45" s="106"/>
      <c r="BO45" s="107"/>
      <c r="BP45" s="105" t="str">
        <f>IF($CC45="","",IF(INDEX('[1]ATTENDANCE DAILY'!$AN$4:$AN$663,$CC45)="","",INDEX('[1]ATTENDANCE DAILY'!$AN$4:$AN$663,$CC45)&amp;IF(INDEX('[1]ATTENDANCE DAILY'!$AO$4:$AO$663,$CC45)="",""," ("&amp;TEXT(INDEX('[1]ATTENDANCE DAILY'!$AO$4:$AO$663,$CC45),"mm-dd-yyyy")&amp;")")&amp;IF(INDEX('[1]ATTENDANCE DAILY'!$AP$4:$AP$663,$CC45)="",""," - "&amp;INDEX('[1]ATTENDANCE DAILY'!$AP$4:$AP$663,$CC45))))</f>
        <v/>
      </c>
      <c r="BQ45" s="106"/>
      <c r="BR45" s="106"/>
      <c r="BS45" s="106"/>
      <c r="BT45" s="106"/>
      <c r="BU45" s="106"/>
      <c r="BV45" s="106"/>
      <c r="BW45" s="106"/>
      <c r="BX45" s="106"/>
      <c r="BY45" s="106"/>
      <c r="BZ45" s="106"/>
      <c r="CA45" s="107"/>
      <c r="CC45">
        <f>IF(COUNTIFS('[1]ATTENDANCE DAILY'!$C$4:$C$663,$BN$11,'[1]ATTENDANCE DAILY'!$F$4:$F$663,"Female",'[1]ATTENDANCE DAILY'!$G$4:$G$663,1,'[1]ATTENDANCE DAILY'!$BA$4:$BA$663,2)=0,"",SUMIFS('[1]ATTENDANCE DAILY'!$A$4:$A$663,'[1]ATTENDANCE DAILY'!$C$4:$C$663,$BN$11,'[1]ATTENDANCE DAILY'!$F$4:$F$663,"Female",'[1]ATTENDANCE DAILY'!$G$4:$G$663,1,'[1]ATTENDANCE DAILY'!$BA$4:$BA$663,2))</f>
        <v>76</v>
      </c>
    </row>
    <row r="46" spans="1:81" ht="19.95" customHeight="1" thickTop="1" thickBot="1">
      <c r="A46" s="92">
        <v>3</v>
      </c>
      <c r="B46" s="93"/>
      <c r="C46" s="93"/>
      <c r="D46" s="93"/>
      <c r="E46" s="93"/>
      <c r="F46" s="94"/>
      <c r="G46" s="95" t="str">
        <f>IF($CC46="","",INDEX('[1]ATTENDANCE DAILY'!$E$4:$E$663,$CC46))</f>
        <v>BALUCANAG, CHLOE LIAN GALINO</v>
      </c>
      <c r="H46" s="96"/>
      <c r="I46" s="96"/>
      <c r="J46" s="97"/>
      <c r="K46" s="98" t="str">
        <f>_xlfn.LET(_xlpm._r,_xlfn.SINGLE(IF(OR($CC46="",K$14="",K$14&lt;_xlfn.SINGLE(INDEX('[1]ATTENDANCE DAILY'!$AV$4:$AV$663,$CC46)),K$14&gt;_xlfn.SINGLE(INDEX('[1]ATTENDANCE DAILY'!$AW$4:$AW$663,$CC46))),"",IF(_xlfn.SINGLE(INDEX('[1]ATTENDANCE DAILY'!$I$4:$AM$663,$CC46,DAY(K$14)))="T-Late","T-L",IF(_xlfn.SINGLE(INDEX('[1]ATTENDANCE DAILY'!$I$4:$AM$663,$CC46,DAY(K$14)))="T-Cutting","T-C",INDEX('[1]ATTENDANCE DAILY'!$I$4:$AM$663,$CC46,DAY(K$14)))))),IFERROR(IF(_xlpm._r=0,"",_xlpm._r),""))</f>
        <v/>
      </c>
      <c r="L46" s="99"/>
      <c r="M46" s="100" t="str">
        <f>_xlfn.LET(_xlpm._r,_xlfn.SINGLE(IF(OR($CC46="",M$14="",M$14&lt;_xlfn.SINGLE(INDEX('[1]ATTENDANCE DAILY'!$AV$4:$AV$663,$CC46)),M$14&gt;_xlfn.SINGLE(INDEX('[1]ATTENDANCE DAILY'!$AW$4:$AW$663,$CC46))),"",IF(_xlfn.SINGLE(INDEX('[1]ATTENDANCE DAILY'!$I$4:$AM$663,$CC46,DAY(M$14)))="T-Late","T-L",IF(_xlfn.SINGLE(INDEX('[1]ATTENDANCE DAILY'!$I$4:$AM$663,$CC46,DAY(M$14)))="T-Cutting","T-C",INDEX('[1]ATTENDANCE DAILY'!$I$4:$AM$663,$CC46,DAY(M$14)))))),IFERROR(IF(_xlpm._r=0,"",_xlpm._r),""))</f>
        <v/>
      </c>
      <c r="N46" s="100" t="str">
        <f>_xlfn.LET(_xlpm._r,_xlfn.SINGLE(IF(OR($CC46="",N$14="",N$14&lt;_xlfn.SINGLE(INDEX('[1]ATTENDANCE DAILY'!$AV$4:$AV$663,$CC46)),N$14&gt;_xlfn.SINGLE(INDEX('[1]ATTENDANCE DAILY'!$AW$4:$AW$663,$CC46))),"",IF(_xlfn.SINGLE(INDEX('[1]ATTENDANCE DAILY'!$I$4:$AM$663,$CC46,DAY(N$14)))="T-Late","T-L",IF(_xlfn.SINGLE(INDEX('[1]ATTENDANCE DAILY'!$I$4:$AM$663,$CC46,DAY(N$14)))="T-Cutting","T-C",INDEX('[1]ATTENDANCE DAILY'!$I$4:$AM$663,$CC46,DAY(N$14)))))),IFERROR(IF(_xlpm._r=0,"",_xlpm._r),""))</f>
        <v/>
      </c>
      <c r="O46" s="101" t="str">
        <f>_xlfn.LET(_xlpm._r,_xlfn.SINGLE(IF(OR($CC46="",O$14="",O$14&lt;_xlfn.SINGLE(INDEX('[1]ATTENDANCE DAILY'!$AV$4:$AV$663,$CC46)),O$14&gt;_xlfn.SINGLE(INDEX('[1]ATTENDANCE DAILY'!$AW$4:$AW$663,$CC46))),"",IF(_xlfn.SINGLE(INDEX('[1]ATTENDANCE DAILY'!$I$4:$AM$663,$CC46,DAY(O$14)))="T-Late","T-L",IF(_xlfn.SINGLE(INDEX('[1]ATTENDANCE DAILY'!$I$4:$AM$663,$CC46,DAY(O$14)))="T-Cutting","T-C",INDEX('[1]ATTENDANCE DAILY'!$I$4:$AM$663,$CC46,DAY(O$14)))))),IFERROR(IF(_xlpm._r=0,"",_xlpm._r),""))</f>
        <v/>
      </c>
      <c r="P46" s="102"/>
      <c r="Q46" s="102"/>
      <c r="R46" s="99"/>
      <c r="S46" s="101" t="str">
        <f>_xlfn.LET(_xlpm._r,_xlfn.SINGLE(IF(OR($CC46="",S$14="",S$14&lt;_xlfn.SINGLE(INDEX('[1]ATTENDANCE DAILY'!$AV$4:$AV$663,$CC46)),S$14&gt;_xlfn.SINGLE(INDEX('[1]ATTENDANCE DAILY'!$AW$4:$AW$663,$CC46))),"",IF(_xlfn.SINGLE(INDEX('[1]ATTENDANCE DAILY'!$I$4:$AM$663,$CC46,DAY(S$14)))="T-Late","T-L",IF(_xlfn.SINGLE(INDEX('[1]ATTENDANCE DAILY'!$I$4:$AM$663,$CC46,DAY(S$14)))="T-Cutting","T-C",INDEX('[1]ATTENDANCE DAILY'!$I$4:$AM$663,$CC46,DAY(S$14)))))),IFERROR(IF(_xlpm._r=0,"",_xlpm._r),""))</f>
        <v/>
      </c>
      <c r="T46" s="102"/>
      <c r="U46" s="103"/>
      <c r="V46" s="100" t="str">
        <f>_xlfn.LET(_xlpm._r,_xlfn.SINGLE(IF(OR($CC46="",V$14="",V$14&lt;_xlfn.SINGLE(INDEX('[1]ATTENDANCE DAILY'!$AV$4:$AV$663,$CC46)),V$14&gt;_xlfn.SINGLE(INDEX('[1]ATTENDANCE DAILY'!$AW$4:$AW$663,$CC46))),"",IF(_xlfn.SINGLE(INDEX('[1]ATTENDANCE DAILY'!$I$4:$AM$663,$CC46,DAY(V$14)))="T-Late","T-L",IF(_xlfn.SINGLE(INDEX('[1]ATTENDANCE DAILY'!$I$4:$AM$663,$CC46,DAY(V$14)))="T-Cutting","T-C",INDEX('[1]ATTENDANCE DAILY'!$I$4:$AM$663,$CC46,DAY(V$14)))))),IFERROR(IF(_xlpm._r=0,"",_xlpm._r),""))</f>
        <v/>
      </c>
      <c r="W46" s="101" t="str">
        <f>_xlfn.LET(_xlpm._r,_xlfn.SINGLE(IF(OR($CC46="",W$14="",W$14&lt;_xlfn.SINGLE(INDEX('[1]ATTENDANCE DAILY'!$AV$4:$AV$663,$CC46)),W$14&gt;_xlfn.SINGLE(INDEX('[1]ATTENDANCE DAILY'!$AW$4:$AW$663,$CC46))),"",IF(_xlfn.SINGLE(INDEX('[1]ATTENDANCE DAILY'!$I$4:$AM$663,$CC46,DAY(W$14)))="T-Late","T-L",IF(_xlfn.SINGLE(INDEX('[1]ATTENDANCE DAILY'!$I$4:$AM$663,$CC46,DAY(W$14)))="T-Cutting","T-C",INDEX('[1]ATTENDANCE DAILY'!$I$4:$AM$663,$CC46,DAY(W$14)))))),IFERROR(IF(_xlpm._r=0,"",_xlpm._r),""))</f>
        <v/>
      </c>
      <c r="X46" s="102"/>
      <c r="Y46" s="99"/>
      <c r="Z46" s="100" t="str">
        <f>_xlfn.LET(_xlpm._r,_xlfn.SINGLE(IF(OR($CC46="",Z$14="",Z$14&lt;_xlfn.SINGLE(INDEX('[1]ATTENDANCE DAILY'!$AV$4:$AV$663,$CC46)),Z$14&gt;_xlfn.SINGLE(INDEX('[1]ATTENDANCE DAILY'!$AW$4:$AW$663,$CC46))),"",IF(_xlfn.SINGLE(INDEX('[1]ATTENDANCE DAILY'!$I$4:$AM$663,$CC46,DAY(Z$14)))="T-Late","T-L",IF(_xlfn.SINGLE(INDEX('[1]ATTENDANCE DAILY'!$I$4:$AM$663,$CC46,DAY(Z$14)))="T-Cutting","T-C",INDEX('[1]ATTENDANCE DAILY'!$I$4:$AM$663,$CC46,DAY(Z$14)))))),IFERROR(IF(_xlpm._r=0,"",_xlpm._r),""))</f>
        <v/>
      </c>
      <c r="AA46" s="100" t="str">
        <f>_xlfn.LET(_xlpm._r,_xlfn.SINGLE(IF(OR($CC46="",AA$14="",AA$14&lt;_xlfn.SINGLE(INDEX('[1]ATTENDANCE DAILY'!$AV$4:$AV$663,$CC46)),AA$14&gt;_xlfn.SINGLE(INDEX('[1]ATTENDANCE DAILY'!$AW$4:$AW$663,$CC46))),"",IF(_xlfn.SINGLE(INDEX('[1]ATTENDANCE DAILY'!$I$4:$AM$663,$CC46,DAY(AA$14)))="T-Late","T-L",IF(_xlfn.SINGLE(INDEX('[1]ATTENDANCE DAILY'!$I$4:$AM$663,$CC46,DAY(AA$14)))="T-Cutting","T-C",INDEX('[1]ATTENDANCE DAILY'!$I$4:$AM$663,$CC46,DAY(AA$14)))))),IFERROR(IF(_xlpm._r=0,"",_xlpm._r),""))</f>
        <v/>
      </c>
      <c r="AB46" s="101" t="str">
        <f>_xlfn.LET(_xlpm._r,_xlfn.SINGLE(IF(OR($CC46="",AB$14="",AB$14&lt;_xlfn.SINGLE(INDEX('[1]ATTENDANCE DAILY'!$AV$4:$AV$663,$CC46)),AB$14&gt;_xlfn.SINGLE(INDEX('[1]ATTENDANCE DAILY'!$AW$4:$AW$663,$CC46))),"",IF(_xlfn.SINGLE(INDEX('[1]ATTENDANCE DAILY'!$I$4:$AM$663,$CC46,DAY(AB$14)))="T-Late","T-L",IF(_xlfn.SINGLE(INDEX('[1]ATTENDANCE DAILY'!$I$4:$AM$663,$CC46,DAY(AB$14)))="T-Cutting","T-C",INDEX('[1]ATTENDANCE DAILY'!$I$4:$AM$663,$CC46,DAY(AB$14)))))),IFERROR(IF(_xlpm._r=0,"",_xlpm._r),""))</f>
        <v/>
      </c>
      <c r="AC46" s="102"/>
      <c r="AD46" s="103"/>
      <c r="AE46" s="101" t="str">
        <f>_xlfn.LET(_xlpm._r,_xlfn.SINGLE(IF(OR($CC46="",AE$14="",AE$14&lt;_xlfn.SINGLE(INDEX('[1]ATTENDANCE DAILY'!$AV$4:$AV$663,$CC46)),AE$14&gt;_xlfn.SINGLE(INDEX('[1]ATTENDANCE DAILY'!$AW$4:$AW$663,$CC46))),"",IF(_xlfn.SINGLE(INDEX('[1]ATTENDANCE DAILY'!$I$4:$AM$663,$CC46,DAY(AE$14)))="T-Late","T-L",IF(_xlfn.SINGLE(INDEX('[1]ATTENDANCE DAILY'!$I$4:$AM$663,$CC46,DAY(AE$14)))="T-Cutting","T-C",INDEX('[1]ATTENDANCE DAILY'!$I$4:$AM$663,$CC46,DAY(AE$14)))))),IFERROR(IF(_xlpm._r=0,"",_xlpm._r),""))</f>
        <v/>
      </c>
      <c r="AF46" s="102"/>
      <c r="AG46" s="99"/>
      <c r="AH46" s="100" t="str">
        <f>_xlfn.LET(_xlpm._r,_xlfn.SINGLE(IF(OR($CC46="",AH$14="",AH$14&lt;_xlfn.SINGLE(INDEX('[1]ATTENDANCE DAILY'!$AV$4:$AV$663,$CC46)),AH$14&gt;_xlfn.SINGLE(INDEX('[1]ATTENDANCE DAILY'!$AW$4:$AW$663,$CC46))),"",IF(_xlfn.SINGLE(INDEX('[1]ATTENDANCE DAILY'!$I$4:$AM$663,$CC46,DAY(AH$14)))="T-Late","T-L",IF(_xlfn.SINGLE(INDEX('[1]ATTENDANCE DAILY'!$I$4:$AM$663,$CC46,DAY(AH$14)))="T-Cutting","T-C",INDEX('[1]ATTENDANCE DAILY'!$I$4:$AM$663,$CC46,DAY(AH$14)))))),IFERROR(IF(_xlpm._r=0,"",_xlpm._r),""))</f>
        <v/>
      </c>
      <c r="AI46" s="101" t="str">
        <f>_xlfn.LET(_xlpm._r,_xlfn.SINGLE(IF(OR($CC46="",AI$14="",AI$14&lt;_xlfn.SINGLE(INDEX('[1]ATTENDANCE DAILY'!$AV$4:$AV$663,$CC46)),AI$14&gt;_xlfn.SINGLE(INDEX('[1]ATTENDANCE DAILY'!$AW$4:$AW$663,$CC46))),"",IF(_xlfn.SINGLE(INDEX('[1]ATTENDANCE DAILY'!$I$4:$AM$663,$CC46,DAY(AI$14)))="T-Late","T-L",IF(_xlfn.SINGLE(INDEX('[1]ATTENDANCE DAILY'!$I$4:$AM$663,$CC46,DAY(AI$14)))="T-Cutting","T-C",INDEX('[1]ATTENDANCE DAILY'!$I$4:$AM$663,$CC46,DAY(AI$14)))))),IFERROR(IF(_xlpm._r=0,"",_xlpm._r),""))</f>
        <v/>
      </c>
      <c r="AJ46" s="102"/>
      <c r="AK46" s="99"/>
      <c r="AL46" s="101" t="str">
        <f>_xlfn.LET(_xlpm._r,_xlfn.SINGLE(IF(OR($CC46="",AL$14="",AL$14&lt;_xlfn.SINGLE(INDEX('[1]ATTENDANCE DAILY'!$AV$4:$AV$663,$CC46)),AL$14&gt;_xlfn.SINGLE(INDEX('[1]ATTENDANCE DAILY'!$AW$4:$AW$663,$CC46))),"",IF(_xlfn.SINGLE(INDEX('[1]ATTENDANCE DAILY'!$I$4:$AM$663,$CC46,DAY(AL$14)))="T-Late","T-L",IF(_xlfn.SINGLE(INDEX('[1]ATTENDANCE DAILY'!$I$4:$AM$663,$CC46,DAY(AL$14)))="T-Cutting","T-C",INDEX('[1]ATTENDANCE DAILY'!$I$4:$AM$663,$CC46,DAY(AL$14)))))),IFERROR(IF(_xlpm._r=0,"",_xlpm._r),""))</f>
        <v/>
      </c>
      <c r="AM46" s="99"/>
      <c r="AN46" s="101" t="str">
        <f>_xlfn.LET(_xlpm._r,_xlfn.SINGLE(IF(OR($CC46="",AN$14="",AN$14&lt;_xlfn.SINGLE(INDEX('[1]ATTENDANCE DAILY'!$AV$4:$AV$663,$CC46)),AN$14&gt;_xlfn.SINGLE(INDEX('[1]ATTENDANCE DAILY'!$AW$4:$AW$663,$CC46))),"",IF(_xlfn.SINGLE(INDEX('[1]ATTENDANCE DAILY'!$I$4:$AM$663,$CC46,DAY(AN$14)))="T-Late","T-L",IF(_xlfn.SINGLE(INDEX('[1]ATTENDANCE DAILY'!$I$4:$AM$663,$CC46,DAY(AN$14)))="T-Cutting","T-C",INDEX('[1]ATTENDANCE DAILY'!$I$4:$AM$663,$CC46,DAY(AN$14)))))),IFERROR(IF(_xlpm._r=0,"",_xlpm._r),""))</f>
        <v/>
      </c>
      <c r="AO46" s="103"/>
      <c r="AP46" s="101" t="str">
        <f>_xlfn.LET(_xlpm._r,_xlfn.SINGLE(IF(OR($CC46="",AP$14="",AP$14&lt;_xlfn.SINGLE(INDEX('[1]ATTENDANCE DAILY'!$AV$4:$AV$663,$CC46)),AP$14&gt;_xlfn.SINGLE(INDEX('[1]ATTENDANCE DAILY'!$AW$4:$AW$663,$CC46))),"",IF(_xlfn.SINGLE(INDEX('[1]ATTENDANCE DAILY'!$I$4:$AM$663,$CC46,DAY(AP$14)))="T-Late","T-L",IF(_xlfn.SINGLE(INDEX('[1]ATTENDANCE DAILY'!$I$4:$AM$663,$CC46,DAY(AP$14)))="T-Cutting","T-C",INDEX('[1]ATTENDANCE DAILY'!$I$4:$AM$663,$CC46,DAY(AP$14)))))),IFERROR(IF(_xlpm._r=0,"",_xlpm._r),""))</f>
        <v/>
      </c>
      <c r="AQ46" s="99"/>
      <c r="AR46" s="100" t="str">
        <f>_xlfn.LET(_xlpm._r,_xlfn.SINGLE(IF(OR($CC46="",AR$14="",AR$14&lt;_xlfn.SINGLE(INDEX('[1]ATTENDANCE DAILY'!$AV$4:$AV$663,$CC46)),AR$14&gt;_xlfn.SINGLE(INDEX('[1]ATTENDANCE DAILY'!$AW$4:$AW$663,$CC46))),"",IF(_xlfn.SINGLE(INDEX('[1]ATTENDANCE DAILY'!$I$4:$AM$663,$CC46,DAY(AR$14)))="T-Late","T-L",IF(_xlfn.SINGLE(INDEX('[1]ATTENDANCE DAILY'!$I$4:$AM$663,$CC46,DAY(AR$14)))="T-Cutting","T-C",INDEX('[1]ATTENDANCE DAILY'!$I$4:$AM$663,$CC46,DAY(AR$14)))))),IFERROR(IF(_xlpm._r=0,"",_xlpm._r),""))</f>
        <v/>
      </c>
      <c r="AS46" s="101" t="str">
        <f>_xlfn.LET(_xlpm._r,_xlfn.SINGLE(IF(OR($CC46="",AS$14="",AS$14&lt;_xlfn.SINGLE(INDEX('[1]ATTENDANCE DAILY'!$AV$4:$AV$663,$CC46)),AS$14&gt;_xlfn.SINGLE(INDEX('[1]ATTENDANCE DAILY'!$AW$4:$AW$663,$CC46))),"",IF(_xlfn.SINGLE(INDEX('[1]ATTENDANCE DAILY'!$I$4:$AM$663,$CC46,DAY(AS$14)))="T-Late","T-L",IF(_xlfn.SINGLE(INDEX('[1]ATTENDANCE DAILY'!$I$4:$AM$663,$CC46,DAY(AS$14)))="T-Cutting","T-C",INDEX('[1]ATTENDANCE DAILY'!$I$4:$AM$663,$CC46,DAY(AS$14)))))),IFERROR(IF(_xlpm._r=0,"",_xlpm._r),""))</f>
        <v/>
      </c>
      <c r="AT46" s="99"/>
      <c r="AU46" s="100" t="str">
        <f>_xlfn.LET(_xlpm._r,_xlfn.SINGLE(IF(OR($CC46="",AU$14="",AU$14&lt;_xlfn.SINGLE(INDEX('[1]ATTENDANCE DAILY'!$AV$4:$AV$663,$CC46)),AU$14&gt;_xlfn.SINGLE(INDEX('[1]ATTENDANCE DAILY'!$AW$4:$AW$663,$CC46))),"",IF(_xlfn.SINGLE(INDEX('[1]ATTENDANCE DAILY'!$I$4:$AM$663,$CC46,DAY(AU$14)))="T-Late","T-L",IF(_xlfn.SINGLE(INDEX('[1]ATTENDANCE DAILY'!$I$4:$AM$663,$CC46,DAY(AU$14)))="T-Cutting","T-C",INDEX('[1]ATTENDANCE DAILY'!$I$4:$AM$663,$CC46,DAY(AU$14)))))),IFERROR(IF(_xlpm._r=0,"",_xlpm._r),""))</f>
        <v/>
      </c>
      <c r="AV46" s="104" t="str">
        <f>_xlfn.LET(_xlpm._r,_xlfn.SINGLE(IF(OR($CC46="",AV$14="",AV$14&lt;_xlfn.SINGLE(INDEX('[1]ATTENDANCE DAILY'!$AV$4:$AV$663,$CC46)),AV$14&gt;_xlfn.SINGLE(INDEX('[1]ATTENDANCE DAILY'!$AW$4:$AW$663,$CC46))),"",IF(_xlfn.SINGLE(INDEX('[1]ATTENDANCE DAILY'!$I$4:$AM$663,$CC46,DAY(AV$14)))="T-Late","T-L",IF(_xlfn.SINGLE(INDEX('[1]ATTENDANCE DAILY'!$I$4:$AM$663,$CC46,DAY(AV$14)))="T-Cutting","T-C",INDEX('[1]ATTENDANCE DAILY'!$I$4:$AM$663,$CC46,DAY(AV$14)))))),IFERROR(IF(_xlpm._r=0,"",_xlpm._r),""))</f>
        <v/>
      </c>
      <c r="AW46" s="101" t="str">
        <f>_xlfn.LET(_xlpm._r,_xlfn.SINGLE(IF(OR($CC46="",AW$14="",AW$14&lt;_xlfn.SINGLE(INDEX('[1]ATTENDANCE DAILY'!$AV$4:$AV$663,$CC46)),AW$14&gt;_xlfn.SINGLE(INDEX('[1]ATTENDANCE DAILY'!$AW$4:$AW$663,$CC46))),"",IF(_xlfn.SINGLE(INDEX('[1]ATTENDANCE DAILY'!$I$4:$AM$663,$CC46,DAY(AW$14)))="T-Late","T-L",IF(_xlfn.SINGLE(INDEX('[1]ATTENDANCE DAILY'!$I$4:$AM$663,$CC46,DAY(AW$14)))="T-Cutting","T-C",INDEX('[1]ATTENDANCE DAILY'!$I$4:$AM$663,$CC46,DAY(AW$14)))))),IFERROR(IF(_xlpm._r=0,"",_xlpm._r),""))</f>
        <v/>
      </c>
      <c r="AX46" s="99"/>
      <c r="AY46" s="101" t="str">
        <f>_xlfn.LET(_xlpm._r,_xlfn.SINGLE(IF(OR($CC46="",AY$14="",AY$14&lt;_xlfn.SINGLE(INDEX('[1]ATTENDANCE DAILY'!$AV$4:$AV$663,$CC46)),AY$14&gt;_xlfn.SINGLE(INDEX('[1]ATTENDANCE DAILY'!$AW$4:$AW$663,$CC46))),"",IF(_xlfn.SINGLE(INDEX('[1]ATTENDANCE DAILY'!$I$4:$AM$663,$CC46,DAY(AY$14)))="T-Late","T-L",IF(_xlfn.SINGLE(INDEX('[1]ATTENDANCE DAILY'!$I$4:$AM$663,$CC46,DAY(AY$14)))="T-Cutting","T-C",INDEX('[1]ATTENDANCE DAILY'!$I$4:$AM$663,$CC46,DAY(AY$14)))))),IFERROR(IF(_xlpm._r=0,"",_xlpm._r),""))</f>
        <v/>
      </c>
      <c r="AZ46" s="102"/>
      <c r="BA46" s="99"/>
      <c r="BB46" s="101" t="str">
        <f>_xlfn.LET(_xlpm._r,_xlfn.SINGLE(IF(OR($CC46="",BB$14="",BB$14&lt;_xlfn.SINGLE(INDEX('[1]ATTENDANCE DAILY'!$AV$4:$AV$663,$CC46)),BB$14&gt;_xlfn.SINGLE(INDEX('[1]ATTENDANCE DAILY'!$AW$4:$AW$663,$CC46))),"",IF(_xlfn.SINGLE(INDEX('[1]ATTENDANCE DAILY'!$I$4:$AM$663,$CC46,DAY(BB$14)))="T-Late","T-L",IF(_xlfn.SINGLE(INDEX('[1]ATTENDANCE DAILY'!$I$4:$AM$663,$CC46,DAY(BB$14)))="T-Cutting","T-C",INDEX('[1]ATTENDANCE DAILY'!$I$4:$AM$663,$CC46,DAY(BB$14)))))),IFERROR(IF(_xlpm._r=0,"",_xlpm._r),""))</f>
        <v/>
      </c>
      <c r="BC46" s="99"/>
      <c r="BD46" s="100" t="str">
        <f>_xlfn.LET(_xlpm._r,_xlfn.SINGLE(IF(OR($CC46="",BD$14="",BD$14&lt;_xlfn.SINGLE(INDEX('[1]ATTENDANCE DAILY'!$AV$4:$AV$663,$CC46)),BD$14&gt;_xlfn.SINGLE(INDEX('[1]ATTENDANCE DAILY'!$AW$4:$AW$663,$CC46))),"",IF(_xlfn.SINGLE(INDEX('[1]ATTENDANCE DAILY'!$I$4:$AM$663,$CC46,DAY(BD$14)))="T-Late","T-L",IF(_xlfn.SINGLE(INDEX('[1]ATTENDANCE DAILY'!$I$4:$AM$663,$CC46,DAY(BD$14)))="T-Cutting","T-C",INDEX('[1]ATTENDANCE DAILY'!$I$4:$AM$663,$CC46,DAY(BD$14)))))),IFERROR(IF(_xlpm._r=0,"",_xlpm._r),""))</f>
        <v/>
      </c>
      <c r="BE46" s="101" t="str">
        <f>_xlfn.LET(_xlpm._r,_xlfn.SINGLE(IF(OR($CC46="",BE$14="",BE$14&lt;_xlfn.SINGLE(INDEX('[1]ATTENDANCE DAILY'!$AV$4:$AV$663,$CC46)),BE$14&gt;_xlfn.SINGLE(INDEX('[1]ATTENDANCE DAILY'!$AW$4:$AW$663,$CC46))),"",IF(_xlfn.SINGLE(INDEX('[1]ATTENDANCE DAILY'!$I$4:$AM$663,$CC46,DAY(BE$14)))="T-Late","T-L",IF(_xlfn.SINGLE(INDEX('[1]ATTENDANCE DAILY'!$I$4:$AM$663,$CC46,DAY(BE$14)))="T-Cutting","T-C",INDEX('[1]ATTENDANCE DAILY'!$I$4:$AM$663,$CC46,DAY(BE$14)))))),IFERROR(IF(_xlpm._r=0,"",_xlpm._r),""))</f>
        <v/>
      </c>
      <c r="BF46" s="102"/>
      <c r="BG46" s="102"/>
      <c r="BH46" s="103"/>
      <c r="BI46" s="105">
        <f>IF($CC46="","",INDEX('[1]ATTENDANCE DAILY'!$AR$4:$AR$663,$CC46))</f>
        <v>0</v>
      </c>
      <c r="BJ46" s="106"/>
      <c r="BK46" s="107"/>
      <c r="BL46" s="105">
        <f>IF($CC46="","",INDEX('[1]ATTENDANCE DAILY'!$AS$4:$AS$663,$CC46))</f>
        <v>23</v>
      </c>
      <c r="BM46" s="106"/>
      <c r="BN46" s="106"/>
      <c r="BO46" s="107"/>
      <c r="BP46" s="105" t="str">
        <f>IF($CC46="","",IF(INDEX('[1]ATTENDANCE DAILY'!$AN$4:$AN$663,$CC46)="","",INDEX('[1]ATTENDANCE DAILY'!$AN$4:$AN$663,$CC46)&amp;IF(INDEX('[1]ATTENDANCE DAILY'!$AO$4:$AO$663,$CC46)="",""," ("&amp;TEXT(INDEX('[1]ATTENDANCE DAILY'!$AO$4:$AO$663,$CC46),"mm-dd-yyyy")&amp;")")&amp;IF(INDEX('[1]ATTENDANCE DAILY'!$AP$4:$AP$663,$CC46)="",""," - "&amp;INDEX('[1]ATTENDANCE DAILY'!$AP$4:$AP$663,$CC46))))</f>
        <v/>
      </c>
      <c r="BQ46" s="106"/>
      <c r="BR46" s="106"/>
      <c r="BS46" s="106"/>
      <c r="BT46" s="106"/>
      <c r="BU46" s="106"/>
      <c r="BV46" s="106"/>
      <c r="BW46" s="106"/>
      <c r="BX46" s="106"/>
      <c r="BY46" s="106"/>
      <c r="BZ46" s="106"/>
      <c r="CA46" s="107"/>
      <c r="CC46">
        <f>IF(COUNTIFS('[1]ATTENDANCE DAILY'!$C$4:$C$663,$BN$11,'[1]ATTENDANCE DAILY'!$F$4:$F$663,"Female",'[1]ATTENDANCE DAILY'!$G$4:$G$663,1,'[1]ATTENDANCE DAILY'!$BA$4:$BA$663,3)=0,"",SUMIFS('[1]ATTENDANCE DAILY'!$A$4:$A$663,'[1]ATTENDANCE DAILY'!$C$4:$C$663,$BN$11,'[1]ATTENDANCE DAILY'!$F$4:$F$663,"Female",'[1]ATTENDANCE DAILY'!$G$4:$G$663,1,'[1]ATTENDANCE DAILY'!$BA$4:$BA$663,3))</f>
        <v>77</v>
      </c>
    </row>
    <row r="47" spans="1:81" ht="19.95" customHeight="1" thickTop="1" thickBot="1">
      <c r="A47" s="92">
        <v>4</v>
      </c>
      <c r="B47" s="93"/>
      <c r="C47" s="93"/>
      <c r="D47" s="93"/>
      <c r="E47" s="93"/>
      <c r="F47" s="94"/>
      <c r="G47" s="95" t="str">
        <f>IF($CC47="","",INDEX('[1]ATTENDANCE DAILY'!$E$4:$E$663,$CC47))</f>
        <v>BIE, JOHN RAIN MAGTOTO</v>
      </c>
      <c r="H47" s="96"/>
      <c r="I47" s="96"/>
      <c r="J47" s="97"/>
      <c r="K47" s="98" t="str">
        <f>_xlfn.LET(_xlpm._r,_xlfn.SINGLE(IF(OR($CC47="",K$14="",K$14&lt;_xlfn.SINGLE(INDEX('[1]ATTENDANCE DAILY'!$AV$4:$AV$663,$CC47)),K$14&gt;_xlfn.SINGLE(INDEX('[1]ATTENDANCE DAILY'!$AW$4:$AW$663,$CC47))),"",IF(_xlfn.SINGLE(INDEX('[1]ATTENDANCE DAILY'!$I$4:$AM$663,$CC47,DAY(K$14)))="T-Late","T-L",IF(_xlfn.SINGLE(INDEX('[1]ATTENDANCE DAILY'!$I$4:$AM$663,$CC47,DAY(K$14)))="T-Cutting","T-C",INDEX('[1]ATTENDANCE DAILY'!$I$4:$AM$663,$CC47,DAY(K$14)))))),IFERROR(IF(_xlpm._r=0,"",_xlpm._r),""))</f>
        <v/>
      </c>
      <c r="L47" s="99"/>
      <c r="M47" s="100" t="str">
        <f>_xlfn.LET(_xlpm._r,_xlfn.SINGLE(IF(OR($CC47="",M$14="",M$14&lt;_xlfn.SINGLE(INDEX('[1]ATTENDANCE DAILY'!$AV$4:$AV$663,$CC47)),M$14&gt;_xlfn.SINGLE(INDEX('[1]ATTENDANCE DAILY'!$AW$4:$AW$663,$CC47))),"",IF(_xlfn.SINGLE(INDEX('[1]ATTENDANCE DAILY'!$I$4:$AM$663,$CC47,DAY(M$14)))="T-Late","T-L",IF(_xlfn.SINGLE(INDEX('[1]ATTENDANCE DAILY'!$I$4:$AM$663,$CC47,DAY(M$14)))="T-Cutting","T-C",INDEX('[1]ATTENDANCE DAILY'!$I$4:$AM$663,$CC47,DAY(M$14)))))),IFERROR(IF(_xlpm._r=0,"",_xlpm._r),""))</f>
        <v/>
      </c>
      <c r="N47" s="100" t="str">
        <f>_xlfn.LET(_xlpm._r,_xlfn.SINGLE(IF(OR($CC47="",N$14="",N$14&lt;_xlfn.SINGLE(INDEX('[1]ATTENDANCE DAILY'!$AV$4:$AV$663,$CC47)),N$14&gt;_xlfn.SINGLE(INDEX('[1]ATTENDANCE DAILY'!$AW$4:$AW$663,$CC47))),"",IF(_xlfn.SINGLE(INDEX('[1]ATTENDANCE DAILY'!$I$4:$AM$663,$CC47,DAY(N$14)))="T-Late","T-L",IF(_xlfn.SINGLE(INDEX('[1]ATTENDANCE DAILY'!$I$4:$AM$663,$CC47,DAY(N$14)))="T-Cutting","T-C",INDEX('[1]ATTENDANCE DAILY'!$I$4:$AM$663,$CC47,DAY(N$14)))))),IFERROR(IF(_xlpm._r=0,"",_xlpm._r),""))</f>
        <v/>
      </c>
      <c r="O47" s="101" t="str">
        <f>_xlfn.LET(_xlpm._r,_xlfn.SINGLE(IF(OR($CC47="",O$14="",O$14&lt;_xlfn.SINGLE(INDEX('[1]ATTENDANCE DAILY'!$AV$4:$AV$663,$CC47)),O$14&gt;_xlfn.SINGLE(INDEX('[1]ATTENDANCE DAILY'!$AW$4:$AW$663,$CC47))),"",IF(_xlfn.SINGLE(INDEX('[1]ATTENDANCE DAILY'!$I$4:$AM$663,$CC47,DAY(O$14)))="T-Late","T-L",IF(_xlfn.SINGLE(INDEX('[1]ATTENDANCE DAILY'!$I$4:$AM$663,$CC47,DAY(O$14)))="T-Cutting","T-C",INDEX('[1]ATTENDANCE DAILY'!$I$4:$AM$663,$CC47,DAY(O$14)))))),IFERROR(IF(_xlpm._r=0,"",_xlpm._r),""))</f>
        <v/>
      </c>
      <c r="P47" s="102"/>
      <c r="Q47" s="102"/>
      <c r="R47" s="99"/>
      <c r="S47" s="101" t="str">
        <f>_xlfn.LET(_xlpm._r,_xlfn.SINGLE(IF(OR($CC47="",S$14="",S$14&lt;_xlfn.SINGLE(INDEX('[1]ATTENDANCE DAILY'!$AV$4:$AV$663,$CC47)),S$14&gt;_xlfn.SINGLE(INDEX('[1]ATTENDANCE DAILY'!$AW$4:$AW$663,$CC47))),"",IF(_xlfn.SINGLE(INDEX('[1]ATTENDANCE DAILY'!$I$4:$AM$663,$CC47,DAY(S$14)))="T-Late","T-L",IF(_xlfn.SINGLE(INDEX('[1]ATTENDANCE DAILY'!$I$4:$AM$663,$CC47,DAY(S$14)))="T-Cutting","T-C",INDEX('[1]ATTENDANCE DAILY'!$I$4:$AM$663,$CC47,DAY(S$14)))))),IFERROR(IF(_xlpm._r=0,"",_xlpm._r),""))</f>
        <v/>
      </c>
      <c r="T47" s="102"/>
      <c r="U47" s="103"/>
      <c r="V47" s="100" t="str">
        <f>_xlfn.LET(_xlpm._r,_xlfn.SINGLE(IF(OR($CC47="",V$14="",V$14&lt;_xlfn.SINGLE(INDEX('[1]ATTENDANCE DAILY'!$AV$4:$AV$663,$CC47)),V$14&gt;_xlfn.SINGLE(INDEX('[1]ATTENDANCE DAILY'!$AW$4:$AW$663,$CC47))),"",IF(_xlfn.SINGLE(INDEX('[1]ATTENDANCE DAILY'!$I$4:$AM$663,$CC47,DAY(V$14)))="T-Late","T-L",IF(_xlfn.SINGLE(INDEX('[1]ATTENDANCE DAILY'!$I$4:$AM$663,$CC47,DAY(V$14)))="T-Cutting","T-C",INDEX('[1]ATTENDANCE DAILY'!$I$4:$AM$663,$CC47,DAY(V$14)))))),IFERROR(IF(_xlpm._r=0,"",_xlpm._r),""))</f>
        <v/>
      </c>
      <c r="W47" s="101" t="str">
        <f>_xlfn.LET(_xlpm._r,_xlfn.SINGLE(IF(OR($CC47="",W$14="",W$14&lt;_xlfn.SINGLE(INDEX('[1]ATTENDANCE DAILY'!$AV$4:$AV$663,$CC47)),W$14&gt;_xlfn.SINGLE(INDEX('[1]ATTENDANCE DAILY'!$AW$4:$AW$663,$CC47))),"",IF(_xlfn.SINGLE(INDEX('[1]ATTENDANCE DAILY'!$I$4:$AM$663,$CC47,DAY(W$14)))="T-Late","T-L",IF(_xlfn.SINGLE(INDEX('[1]ATTENDANCE DAILY'!$I$4:$AM$663,$CC47,DAY(W$14)))="T-Cutting","T-C",INDEX('[1]ATTENDANCE DAILY'!$I$4:$AM$663,$CC47,DAY(W$14)))))),IFERROR(IF(_xlpm._r=0,"",_xlpm._r),""))</f>
        <v/>
      </c>
      <c r="X47" s="102"/>
      <c r="Y47" s="99"/>
      <c r="Z47" s="100" t="str">
        <f>_xlfn.LET(_xlpm._r,_xlfn.SINGLE(IF(OR($CC47="",Z$14="",Z$14&lt;_xlfn.SINGLE(INDEX('[1]ATTENDANCE DAILY'!$AV$4:$AV$663,$CC47)),Z$14&gt;_xlfn.SINGLE(INDEX('[1]ATTENDANCE DAILY'!$AW$4:$AW$663,$CC47))),"",IF(_xlfn.SINGLE(INDEX('[1]ATTENDANCE DAILY'!$I$4:$AM$663,$CC47,DAY(Z$14)))="T-Late","T-L",IF(_xlfn.SINGLE(INDEX('[1]ATTENDANCE DAILY'!$I$4:$AM$663,$CC47,DAY(Z$14)))="T-Cutting","T-C",INDEX('[1]ATTENDANCE DAILY'!$I$4:$AM$663,$CC47,DAY(Z$14)))))),IFERROR(IF(_xlpm._r=0,"",_xlpm._r),""))</f>
        <v/>
      </c>
      <c r="AA47" s="100" t="str">
        <f>_xlfn.LET(_xlpm._r,_xlfn.SINGLE(IF(OR($CC47="",AA$14="",AA$14&lt;_xlfn.SINGLE(INDEX('[1]ATTENDANCE DAILY'!$AV$4:$AV$663,$CC47)),AA$14&gt;_xlfn.SINGLE(INDEX('[1]ATTENDANCE DAILY'!$AW$4:$AW$663,$CC47))),"",IF(_xlfn.SINGLE(INDEX('[1]ATTENDANCE DAILY'!$I$4:$AM$663,$CC47,DAY(AA$14)))="T-Late","T-L",IF(_xlfn.SINGLE(INDEX('[1]ATTENDANCE DAILY'!$I$4:$AM$663,$CC47,DAY(AA$14)))="T-Cutting","T-C",INDEX('[1]ATTENDANCE DAILY'!$I$4:$AM$663,$CC47,DAY(AA$14)))))),IFERROR(IF(_xlpm._r=0,"",_xlpm._r),""))</f>
        <v/>
      </c>
      <c r="AB47" s="101" t="str">
        <f>_xlfn.LET(_xlpm._r,_xlfn.SINGLE(IF(OR($CC47="",AB$14="",AB$14&lt;_xlfn.SINGLE(INDEX('[1]ATTENDANCE DAILY'!$AV$4:$AV$663,$CC47)),AB$14&gt;_xlfn.SINGLE(INDEX('[1]ATTENDANCE DAILY'!$AW$4:$AW$663,$CC47))),"",IF(_xlfn.SINGLE(INDEX('[1]ATTENDANCE DAILY'!$I$4:$AM$663,$CC47,DAY(AB$14)))="T-Late","T-L",IF(_xlfn.SINGLE(INDEX('[1]ATTENDANCE DAILY'!$I$4:$AM$663,$CC47,DAY(AB$14)))="T-Cutting","T-C",INDEX('[1]ATTENDANCE DAILY'!$I$4:$AM$663,$CC47,DAY(AB$14)))))),IFERROR(IF(_xlpm._r=0,"",_xlpm._r),""))</f>
        <v/>
      </c>
      <c r="AC47" s="102"/>
      <c r="AD47" s="103"/>
      <c r="AE47" s="101" t="str">
        <f>_xlfn.LET(_xlpm._r,_xlfn.SINGLE(IF(OR($CC47="",AE$14="",AE$14&lt;_xlfn.SINGLE(INDEX('[1]ATTENDANCE DAILY'!$AV$4:$AV$663,$CC47)),AE$14&gt;_xlfn.SINGLE(INDEX('[1]ATTENDANCE DAILY'!$AW$4:$AW$663,$CC47))),"",IF(_xlfn.SINGLE(INDEX('[1]ATTENDANCE DAILY'!$I$4:$AM$663,$CC47,DAY(AE$14)))="T-Late","T-L",IF(_xlfn.SINGLE(INDEX('[1]ATTENDANCE DAILY'!$I$4:$AM$663,$CC47,DAY(AE$14)))="T-Cutting","T-C",INDEX('[1]ATTENDANCE DAILY'!$I$4:$AM$663,$CC47,DAY(AE$14)))))),IFERROR(IF(_xlpm._r=0,"",_xlpm._r),""))</f>
        <v/>
      </c>
      <c r="AF47" s="102"/>
      <c r="AG47" s="99"/>
      <c r="AH47" s="100" t="str">
        <f>_xlfn.LET(_xlpm._r,_xlfn.SINGLE(IF(OR($CC47="",AH$14="",AH$14&lt;_xlfn.SINGLE(INDEX('[1]ATTENDANCE DAILY'!$AV$4:$AV$663,$CC47)),AH$14&gt;_xlfn.SINGLE(INDEX('[1]ATTENDANCE DAILY'!$AW$4:$AW$663,$CC47))),"",IF(_xlfn.SINGLE(INDEX('[1]ATTENDANCE DAILY'!$I$4:$AM$663,$CC47,DAY(AH$14)))="T-Late","T-L",IF(_xlfn.SINGLE(INDEX('[1]ATTENDANCE DAILY'!$I$4:$AM$663,$CC47,DAY(AH$14)))="T-Cutting","T-C",INDEX('[1]ATTENDANCE DAILY'!$I$4:$AM$663,$CC47,DAY(AH$14)))))),IFERROR(IF(_xlpm._r=0,"",_xlpm._r),""))</f>
        <v/>
      </c>
      <c r="AI47" s="101" t="str">
        <f>_xlfn.LET(_xlpm._r,_xlfn.SINGLE(IF(OR($CC47="",AI$14="",AI$14&lt;_xlfn.SINGLE(INDEX('[1]ATTENDANCE DAILY'!$AV$4:$AV$663,$CC47)),AI$14&gt;_xlfn.SINGLE(INDEX('[1]ATTENDANCE DAILY'!$AW$4:$AW$663,$CC47))),"",IF(_xlfn.SINGLE(INDEX('[1]ATTENDANCE DAILY'!$I$4:$AM$663,$CC47,DAY(AI$14)))="T-Late","T-L",IF(_xlfn.SINGLE(INDEX('[1]ATTENDANCE DAILY'!$I$4:$AM$663,$CC47,DAY(AI$14)))="T-Cutting","T-C",INDEX('[1]ATTENDANCE DAILY'!$I$4:$AM$663,$CC47,DAY(AI$14)))))),IFERROR(IF(_xlpm._r=0,"",_xlpm._r),""))</f>
        <v/>
      </c>
      <c r="AJ47" s="102"/>
      <c r="AK47" s="99"/>
      <c r="AL47" s="101" t="str">
        <f>_xlfn.LET(_xlpm._r,_xlfn.SINGLE(IF(OR($CC47="",AL$14="",AL$14&lt;_xlfn.SINGLE(INDEX('[1]ATTENDANCE DAILY'!$AV$4:$AV$663,$CC47)),AL$14&gt;_xlfn.SINGLE(INDEX('[1]ATTENDANCE DAILY'!$AW$4:$AW$663,$CC47))),"",IF(_xlfn.SINGLE(INDEX('[1]ATTENDANCE DAILY'!$I$4:$AM$663,$CC47,DAY(AL$14)))="T-Late","T-L",IF(_xlfn.SINGLE(INDEX('[1]ATTENDANCE DAILY'!$I$4:$AM$663,$CC47,DAY(AL$14)))="T-Cutting","T-C",INDEX('[1]ATTENDANCE DAILY'!$I$4:$AM$663,$CC47,DAY(AL$14)))))),IFERROR(IF(_xlpm._r=0,"",_xlpm._r),""))</f>
        <v/>
      </c>
      <c r="AM47" s="99"/>
      <c r="AN47" s="101" t="str">
        <f>_xlfn.LET(_xlpm._r,_xlfn.SINGLE(IF(OR($CC47="",AN$14="",AN$14&lt;_xlfn.SINGLE(INDEX('[1]ATTENDANCE DAILY'!$AV$4:$AV$663,$CC47)),AN$14&gt;_xlfn.SINGLE(INDEX('[1]ATTENDANCE DAILY'!$AW$4:$AW$663,$CC47))),"",IF(_xlfn.SINGLE(INDEX('[1]ATTENDANCE DAILY'!$I$4:$AM$663,$CC47,DAY(AN$14)))="T-Late","T-L",IF(_xlfn.SINGLE(INDEX('[1]ATTENDANCE DAILY'!$I$4:$AM$663,$CC47,DAY(AN$14)))="T-Cutting","T-C",INDEX('[1]ATTENDANCE DAILY'!$I$4:$AM$663,$CC47,DAY(AN$14)))))),IFERROR(IF(_xlpm._r=0,"",_xlpm._r),""))</f>
        <v/>
      </c>
      <c r="AO47" s="103"/>
      <c r="AP47" s="101" t="str">
        <f>_xlfn.LET(_xlpm._r,_xlfn.SINGLE(IF(OR($CC47="",AP$14="",AP$14&lt;_xlfn.SINGLE(INDEX('[1]ATTENDANCE DAILY'!$AV$4:$AV$663,$CC47)),AP$14&gt;_xlfn.SINGLE(INDEX('[1]ATTENDANCE DAILY'!$AW$4:$AW$663,$CC47))),"",IF(_xlfn.SINGLE(INDEX('[1]ATTENDANCE DAILY'!$I$4:$AM$663,$CC47,DAY(AP$14)))="T-Late","T-L",IF(_xlfn.SINGLE(INDEX('[1]ATTENDANCE DAILY'!$I$4:$AM$663,$CC47,DAY(AP$14)))="T-Cutting","T-C",INDEX('[1]ATTENDANCE DAILY'!$I$4:$AM$663,$CC47,DAY(AP$14)))))),IFERROR(IF(_xlpm._r=0,"",_xlpm._r),""))</f>
        <v/>
      </c>
      <c r="AQ47" s="99"/>
      <c r="AR47" s="100" t="str">
        <f>_xlfn.LET(_xlpm._r,_xlfn.SINGLE(IF(OR($CC47="",AR$14="",AR$14&lt;_xlfn.SINGLE(INDEX('[1]ATTENDANCE DAILY'!$AV$4:$AV$663,$CC47)),AR$14&gt;_xlfn.SINGLE(INDEX('[1]ATTENDANCE DAILY'!$AW$4:$AW$663,$CC47))),"",IF(_xlfn.SINGLE(INDEX('[1]ATTENDANCE DAILY'!$I$4:$AM$663,$CC47,DAY(AR$14)))="T-Late","T-L",IF(_xlfn.SINGLE(INDEX('[1]ATTENDANCE DAILY'!$I$4:$AM$663,$CC47,DAY(AR$14)))="T-Cutting","T-C",INDEX('[1]ATTENDANCE DAILY'!$I$4:$AM$663,$CC47,DAY(AR$14)))))),IFERROR(IF(_xlpm._r=0,"",_xlpm._r),""))</f>
        <v/>
      </c>
      <c r="AS47" s="101" t="str">
        <f>_xlfn.LET(_xlpm._r,_xlfn.SINGLE(IF(OR($CC47="",AS$14="",AS$14&lt;_xlfn.SINGLE(INDEX('[1]ATTENDANCE DAILY'!$AV$4:$AV$663,$CC47)),AS$14&gt;_xlfn.SINGLE(INDEX('[1]ATTENDANCE DAILY'!$AW$4:$AW$663,$CC47))),"",IF(_xlfn.SINGLE(INDEX('[1]ATTENDANCE DAILY'!$I$4:$AM$663,$CC47,DAY(AS$14)))="T-Late","T-L",IF(_xlfn.SINGLE(INDEX('[1]ATTENDANCE DAILY'!$I$4:$AM$663,$CC47,DAY(AS$14)))="T-Cutting","T-C",INDEX('[1]ATTENDANCE DAILY'!$I$4:$AM$663,$CC47,DAY(AS$14)))))),IFERROR(IF(_xlpm._r=0,"",_xlpm._r),""))</f>
        <v/>
      </c>
      <c r="AT47" s="99"/>
      <c r="AU47" s="100" t="str">
        <f>_xlfn.LET(_xlpm._r,_xlfn.SINGLE(IF(OR($CC47="",AU$14="",AU$14&lt;_xlfn.SINGLE(INDEX('[1]ATTENDANCE DAILY'!$AV$4:$AV$663,$CC47)),AU$14&gt;_xlfn.SINGLE(INDEX('[1]ATTENDANCE DAILY'!$AW$4:$AW$663,$CC47))),"",IF(_xlfn.SINGLE(INDEX('[1]ATTENDANCE DAILY'!$I$4:$AM$663,$CC47,DAY(AU$14)))="T-Late","T-L",IF(_xlfn.SINGLE(INDEX('[1]ATTENDANCE DAILY'!$I$4:$AM$663,$CC47,DAY(AU$14)))="T-Cutting","T-C",INDEX('[1]ATTENDANCE DAILY'!$I$4:$AM$663,$CC47,DAY(AU$14)))))),IFERROR(IF(_xlpm._r=0,"",_xlpm._r),""))</f>
        <v/>
      </c>
      <c r="AV47" s="104" t="str">
        <f>_xlfn.LET(_xlpm._r,_xlfn.SINGLE(IF(OR($CC47="",AV$14="",AV$14&lt;_xlfn.SINGLE(INDEX('[1]ATTENDANCE DAILY'!$AV$4:$AV$663,$CC47)),AV$14&gt;_xlfn.SINGLE(INDEX('[1]ATTENDANCE DAILY'!$AW$4:$AW$663,$CC47))),"",IF(_xlfn.SINGLE(INDEX('[1]ATTENDANCE DAILY'!$I$4:$AM$663,$CC47,DAY(AV$14)))="T-Late","T-L",IF(_xlfn.SINGLE(INDEX('[1]ATTENDANCE DAILY'!$I$4:$AM$663,$CC47,DAY(AV$14)))="T-Cutting","T-C",INDEX('[1]ATTENDANCE DAILY'!$I$4:$AM$663,$CC47,DAY(AV$14)))))),IFERROR(IF(_xlpm._r=0,"",_xlpm._r),""))</f>
        <v/>
      </c>
      <c r="AW47" s="101" t="str">
        <f>_xlfn.LET(_xlpm._r,_xlfn.SINGLE(IF(OR($CC47="",AW$14="",AW$14&lt;_xlfn.SINGLE(INDEX('[1]ATTENDANCE DAILY'!$AV$4:$AV$663,$CC47)),AW$14&gt;_xlfn.SINGLE(INDEX('[1]ATTENDANCE DAILY'!$AW$4:$AW$663,$CC47))),"",IF(_xlfn.SINGLE(INDEX('[1]ATTENDANCE DAILY'!$I$4:$AM$663,$CC47,DAY(AW$14)))="T-Late","T-L",IF(_xlfn.SINGLE(INDEX('[1]ATTENDANCE DAILY'!$I$4:$AM$663,$CC47,DAY(AW$14)))="T-Cutting","T-C",INDEX('[1]ATTENDANCE DAILY'!$I$4:$AM$663,$CC47,DAY(AW$14)))))),IFERROR(IF(_xlpm._r=0,"",_xlpm._r),""))</f>
        <v/>
      </c>
      <c r="AX47" s="99"/>
      <c r="AY47" s="101" t="str">
        <f>_xlfn.LET(_xlpm._r,_xlfn.SINGLE(IF(OR($CC47="",AY$14="",AY$14&lt;_xlfn.SINGLE(INDEX('[1]ATTENDANCE DAILY'!$AV$4:$AV$663,$CC47)),AY$14&gt;_xlfn.SINGLE(INDEX('[1]ATTENDANCE DAILY'!$AW$4:$AW$663,$CC47))),"",IF(_xlfn.SINGLE(INDEX('[1]ATTENDANCE DAILY'!$I$4:$AM$663,$CC47,DAY(AY$14)))="T-Late","T-L",IF(_xlfn.SINGLE(INDEX('[1]ATTENDANCE DAILY'!$I$4:$AM$663,$CC47,DAY(AY$14)))="T-Cutting","T-C",INDEX('[1]ATTENDANCE DAILY'!$I$4:$AM$663,$CC47,DAY(AY$14)))))),IFERROR(IF(_xlpm._r=0,"",_xlpm._r),""))</f>
        <v/>
      </c>
      <c r="AZ47" s="102"/>
      <c r="BA47" s="99"/>
      <c r="BB47" s="101" t="str">
        <f>_xlfn.LET(_xlpm._r,_xlfn.SINGLE(IF(OR($CC47="",BB$14="",BB$14&lt;_xlfn.SINGLE(INDEX('[1]ATTENDANCE DAILY'!$AV$4:$AV$663,$CC47)),BB$14&gt;_xlfn.SINGLE(INDEX('[1]ATTENDANCE DAILY'!$AW$4:$AW$663,$CC47))),"",IF(_xlfn.SINGLE(INDEX('[1]ATTENDANCE DAILY'!$I$4:$AM$663,$CC47,DAY(BB$14)))="T-Late","T-L",IF(_xlfn.SINGLE(INDEX('[1]ATTENDANCE DAILY'!$I$4:$AM$663,$CC47,DAY(BB$14)))="T-Cutting","T-C",INDEX('[1]ATTENDANCE DAILY'!$I$4:$AM$663,$CC47,DAY(BB$14)))))),IFERROR(IF(_xlpm._r=0,"",_xlpm._r),""))</f>
        <v/>
      </c>
      <c r="BC47" s="99"/>
      <c r="BD47" s="100" t="str">
        <f>_xlfn.LET(_xlpm._r,_xlfn.SINGLE(IF(OR($CC47="",BD$14="",BD$14&lt;_xlfn.SINGLE(INDEX('[1]ATTENDANCE DAILY'!$AV$4:$AV$663,$CC47)),BD$14&gt;_xlfn.SINGLE(INDEX('[1]ATTENDANCE DAILY'!$AW$4:$AW$663,$CC47))),"",IF(_xlfn.SINGLE(INDEX('[1]ATTENDANCE DAILY'!$I$4:$AM$663,$CC47,DAY(BD$14)))="T-Late","T-L",IF(_xlfn.SINGLE(INDEX('[1]ATTENDANCE DAILY'!$I$4:$AM$663,$CC47,DAY(BD$14)))="T-Cutting","T-C",INDEX('[1]ATTENDANCE DAILY'!$I$4:$AM$663,$CC47,DAY(BD$14)))))),IFERROR(IF(_xlpm._r=0,"",_xlpm._r),""))</f>
        <v/>
      </c>
      <c r="BE47" s="101" t="str">
        <f>_xlfn.LET(_xlpm._r,_xlfn.SINGLE(IF(OR($CC47="",BE$14="",BE$14&lt;_xlfn.SINGLE(INDEX('[1]ATTENDANCE DAILY'!$AV$4:$AV$663,$CC47)),BE$14&gt;_xlfn.SINGLE(INDEX('[1]ATTENDANCE DAILY'!$AW$4:$AW$663,$CC47))),"",IF(_xlfn.SINGLE(INDEX('[1]ATTENDANCE DAILY'!$I$4:$AM$663,$CC47,DAY(BE$14)))="T-Late","T-L",IF(_xlfn.SINGLE(INDEX('[1]ATTENDANCE DAILY'!$I$4:$AM$663,$CC47,DAY(BE$14)))="T-Cutting","T-C",INDEX('[1]ATTENDANCE DAILY'!$I$4:$AM$663,$CC47,DAY(BE$14)))))),IFERROR(IF(_xlpm._r=0,"",_xlpm._r),""))</f>
        <v/>
      </c>
      <c r="BF47" s="102"/>
      <c r="BG47" s="102"/>
      <c r="BH47" s="103"/>
      <c r="BI47" s="105">
        <f>IF($CC47="","",INDEX('[1]ATTENDANCE DAILY'!$AR$4:$AR$663,$CC47))</f>
        <v>0</v>
      </c>
      <c r="BJ47" s="106"/>
      <c r="BK47" s="107"/>
      <c r="BL47" s="105">
        <f>IF($CC47="","",INDEX('[1]ATTENDANCE DAILY'!$AS$4:$AS$663,$CC47))</f>
        <v>23</v>
      </c>
      <c r="BM47" s="106"/>
      <c r="BN47" s="106"/>
      <c r="BO47" s="107"/>
      <c r="BP47" s="105" t="str">
        <f>IF($CC47="","",IF(INDEX('[1]ATTENDANCE DAILY'!$AN$4:$AN$663,$CC47)="","",INDEX('[1]ATTENDANCE DAILY'!$AN$4:$AN$663,$CC47)&amp;IF(INDEX('[1]ATTENDANCE DAILY'!$AO$4:$AO$663,$CC47)="",""," ("&amp;TEXT(INDEX('[1]ATTENDANCE DAILY'!$AO$4:$AO$663,$CC47),"mm-dd-yyyy")&amp;")")&amp;IF(INDEX('[1]ATTENDANCE DAILY'!$AP$4:$AP$663,$CC47)="",""," - "&amp;INDEX('[1]ATTENDANCE DAILY'!$AP$4:$AP$663,$CC47))))</f>
        <v/>
      </c>
      <c r="BQ47" s="106"/>
      <c r="BR47" s="106"/>
      <c r="BS47" s="106"/>
      <c r="BT47" s="106"/>
      <c r="BU47" s="106"/>
      <c r="BV47" s="106"/>
      <c r="BW47" s="106"/>
      <c r="BX47" s="106"/>
      <c r="BY47" s="106"/>
      <c r="BZ47" s="106"/>
      <c r="CA47" s="107"/>
      <c r="CC47">
        <f>IF(COUNTIFS('[1]ATTENDANCE DAILY'!$C$4:$C$663,$BN$11,'[1]ATTENDANCE DAILY'!$F$4:$F$663,"Female",'[1]ATTENDANCE DAILY'!$G$4:$G$663,1,'[1]ATTENDANCE DAILY'!$BA$4:$BA$663,4)=0,"",SUMIFS('[1]ATTENDANCE DAILY'!$A$4:$A$663,'[1]ATTENDANCE DAILY'!$C$4:$C$663,$BN$11,'[1]ATTENDANCE DAILY'!$F$4:$F$663,"Female",'[1]ATTENDANCE DAILY'!$G$4:$G$663,1,'[1]ATTENDANCE DAILY'!$BA$4:$BA$663,4))</f>
        <v>78</v>
      </c>
    </row>
    <row r="48" spans="1:81" ht="19.95" customHeight="1" thickTop="1" thickBot="1">
      <c r="A48" s="92">
        <v>5</v>
      </c>
      <c r="B48" s="93"/>
      <c r="C48" s="93"/>
      <c r="D48" s="93"/>
      <c r="E48" s="93"/>
      <c r="F48" s="94"/>
      <c r="G48" s="95" t="str">
        <f>IF($CC48="","",INDEX('[1]ATTENDANCE DAILY'!$E$4:$E$663,$CC48))</f>
        <v>DAVID, ASHLEY LAPUZ</v>
      </c>
      <c r="H48" s="96"/>
      <c r="I48" s="96"/>
      <c r="J48" s="97"/>
      <c r="K48" s="98" t="str">
        <f>_xlfn.LET(_xlpm._r,_xlfn.SINGLE(IF(OR($CC48="",K$14="",K$14&lt;_xlfn.SINGLE(INDEX('[1]ATTENDANCE DAILY'!$AV$4:$AV$663,$CC48)),K$14&gt;_xlfn.SINGLE(INDEX('[1]ATTENDANCE DAILY'!$AW$4:$AW$663,$CC48))),"",IF(_xlfn.SINGLE(INDEX('[1]ATTENDANCE DAILY'!$I$4:$AM$663,$CC48,DAY(K$14)))="T-Late","T-L",IF(_xlfn.SINGLE(INDEX('[1]ATTENDANCE DAILY'!$I$4:$AM$663,$CC48,DAY(K$14)))="T-Cutting","T-C",INDEX('[1]ATTENDANCE DAILY'!$I$4:$AM$663,$CC48,DAY(K$14)))))),IFERROR(IF(_xlpm._r=0,"",_xlpm._r),""))</f>
        <v/>
      </c>
      <c r="L48" s="99"/>
      <c r="M48" s="100" t="str">
        <f>_xlfn.LET(_xlpm._r,_xlfn.SINGLE(IF(OR($CC48="",M$14="",M$14&lt;_xlfn.SINGLE(INDEX('[1]ATTENDANCE DAILY'!$AV$4:$AV$663,$CC48)),M$14&gt;_xlfn.SINGLE(INDEX('[1]ATTENDANCE DAILY'!$AW$4:$AW$663,$CC48))),"",IF(_xlfn.SINGLE(INDEX('[1]ATTENDANCE DAILY'!$I$4:$AM$663,$CC48,DAY(M$14)))="T-Late","T-L",IF(_xlfn.SINGLE(INDEX('[1]ATTENDANCE DAILY'!$I$4:$AM$663,$CC48,DAY(M$14)))="T-Cutting","T-C",INDEX('[1]ATTENDANCE DAILY'!$I$4:$AM$663,$CC48,DAY(M$14)))))),IFERROR(IF(_xlpm._r=0,"",_xlpm._r),""))</f>
        <v/>
      </c>
      <c r="N48" s="100" t="str">
        <f>_xlfn.LET(_xlpm._r,_xlfn.SINGLE(IF(OR($CC48="",N$14="",N$14&lt;_xlfn.SINGLE(INDEX('[1]ATTENDANCE DAILY'!$AV$4:$AV$663,$CC48)),N$14&gt;_xlfn.SINGLE(INDEX('[1]ATTENDANCE DAILY'!$AW$4:$AW$663,$CC48))),"",IF(_xlfn.SINGLE(INDEX('[1]ATTENDANCE DAILY'!$I$4:$AM$663,$CC48,DAY(N$14)))="T-Late","T-L",IF(_xlfn.SINGLE(INDEX('[1]ATTENDANCE DAILY'!$I$4:$AM$663,$CC48,DAY(N$14)))="T-Cutting","T-C",INDEX('[1]ATTENDANCE DAILY'!$I$4:$AM$663,$CC48,DAY(N$14)))))),IFERROR(IF(_xlpm._r=0,"",_xlpm._r),""))</f>
        <v/>
      </c>
      <c r="O48" s="101" t="str">
        <f>_xlfn.LET(_xlpm._r,_xlfn.SINGLE(IF(OR($CC48="",O$14="",O$14&lt;_xlfn.SINGLE(INDEX('[1]ATTENDANCE DAILY'!$AV$4:$AV$663,$CC48)),O$14&gt;_xlfn.SINGLE(INDEX('[1]ATTENDANCE DAILY'!$AW$4:$AW$663,$CC48))),"",IF(_xlfn.SINGLE(INDEX('[1]ATTENDANCE DAILY'!$I$4:$AM$663,$CC48,DAY(O$14)))="T-Late","T-L",IF(_xlfn.SINGLE(INDEX('[1]ATTENDANCE DAILY'!$I$4:$AM$663,$CC48,DAY(O$14)))="T-Cutting","T-C",INDEX('[1]ATTENDANCE DAILY'!$I$4:$AM$663,$CC48,DAY(O$14)))))),IFERROR(IF(_xlpm._r=0,"",_xlpm._r),""))</f>
        <v/>
      </c>
      <c r="P48" s="102"/>
      <c r="Q48" s="102"/>
      <c r="R48" s="99"/>
      <c r="S48" s="101" t="str">
        <f>_xlfn.LET(_xlpm._r,_xlfn.SINGLE(IF(OR($CC48="",S$14="",S$14&lt;_xlfn.SINGLE(INDEX('[1]ATTENDANCE DAILY'!$AV$4:$AV$663,$CC48)),S$14&gt;_xlfn.SINGLE(INDEX('[1]ATTENDANCE DAILY'!$AW$4:$AW$663,$CC48))),"",IF(_xlfn.SINGLE(INDEX('[1]ATTENDANCE DAILY'!$I$4:$AM$663,$CC48,DAY(S$14)))="T-Late","T-L",IF(_xlfn.SINGLE(INDEX('[1]ATTENDANCE DAILY'!$I$4:$AM$663,$CC48,DAY(S$14)))="T-Cutting","T-C",INDEX('[1]ATTENDANCE DAILY'!$I$4:$AM$663,$CC48,DAY(S$14)))))),IFERROR(IF(_xlpm._r=0,"",_xlpm._r),""))</f>
        <v/>
      </c>
      <c r="T48" s="102"/>
      <c r="U48" s="103"/>
      <c r="V48" s="100" t="str">
        <f>_xlfn.LET(_xlpm._r,_xlfn.SINGLE(IF(OR($CC48="",V$14="",V$14&lt;_xlfn.SINGLE(INDEX('[1]ATTENDANCE DAILY'!$AV$4:$AV$663,$CC48)),V$14&gt;_xlfn.SINGLE(INDEX('[1]ATTENDANCE DAILY'!$AW$4:$AW$663,$CC48))),"",IF(_xlfn.SINGLE(INDEX('[1]ATTENDANCE DAILY'!$I$4:$AM$663,$CC48,DAY(V$14)))="T-Late","T-L",IF(_xlfn.SINGLE(INDEX('[1]ATTENDANCE DAILY'!$I$4:$AM$663,$CC48,DAY(V$14)))="T-Cutting","T-C",INDEX('[1]ATTENDANCE DAILY'!$I$4:$AM$663,$CC48,DAY(V$14)))))),IFERROR(IF(_xlpm._r=0,"",_xlpm._r),""))</f>
        <v/>
      </c>
      <c r="W48" s="101" t="str">
        <f>_xlfn.LET(_xlpm._r,_xlfn.SINGLE(IF(OR($CC48="",W$14="",W$14&lt;_xlfn.SINGLE(INDEX('[1]ATTENDANCE DAILY'!$AV$4:$AV$663,$CC48)),W$14&gt;_xlfn.SINGLE(INDEX('[1]ATTENDANCE DAILY'!$AW$4:$AW$663,$CC48))),"",IF(_xlfn.SINGLE(INDEX('[1]ATTENDANCE DAILY'!$I$4:$AM$663,$CC48,DAY(W$14)))="T-Late","T-L",IF(_xlfn.SINGLE(INDEX('[1]ATTENDANCE DAILY'!$I$4:$AM$663,$CC48,DAY(W$14)))="T-Cutting","T-C",INDEX('[1]ATTENDANCE DAILY'!$I$4:$AM$663,$CC48,DAY(W$14)))))),IFERROR(IF(_xlpm._r=0,"",_xlpm._r),""))</f>
        <v/>
      </c>
      <c r="X48" s="102"/>
      <c r="Y48" s="99"/>
      <c r="Z48" s="100" t="str">
        <f>_xlfn.LET(_xlpm._r,_xlfn.SINGLE(IF(OR($CC48="",Z$14="",Z$14&lt;_xlfn.SINGLE(INDEX('[1]ATTENDANCE DAILY'!$AV$4:$AV$663,$CC48)),Z$14&gt;_xlfn.SINGLE(INDEX('[1]ATTENDANCE DAILY'!$AW$4:$AW$663,$CC48))),"",IF(_xlfn.SINGLE(INDEX('[1]ATTENDANCE DAILY'!$I$4:$AM$663,$CC48,DAY(Z$14)))="T-Late","T-L",IF(_xlfn.SINGLE(INDEX('[1]ATTENDANCE DAILY'!$I$4:$AM$663,$CC48,DAY(Z$14)))="T-Cutting","T-C",INDEX('[1]ATTENDANCE DAILY'!$I$4:$AM$663,$CC48,DAY(Z$14)))))),IFERROR(IF(_xlpm._r=0,"",_xlpm._r),""))</f>
        <v/>
      </c>
      <c r="AA48" s="100" t="str">
        <f>_xlfn.LET(_xlpm._r,_xlfn.SINGLE(IF(OR($CC48="",AA$14="",AA$14&lt;_xlfn.SINGLE(INDEX('[1]ATTENDANCE DAILY'!$AV$4:$AV$663,$CC48)),AA$14&gt;_xlfn.SINGLE(INDEX('[1]ATTENDANCE DAILY'!$AW$4:$AW$663,$CC48))),"",IF(_xlfn.SINGLE(INDEX('[1]ATTENDANCE DAILY'!$I$4:$AM$663,$CC48,DAY(AA$14)))="T-Late","T-L",IF(_xlfn.SINGLE(INDEX('[1]ATTENDANCE DAILY'!$I$4:$AM$663,$CC48,DAY(AA$14)))="T-Cutting","T-C",INDEX('[1]ATTENDANCE DAILY'!$I$4:$AM$663,$CC48,DAY(AA$14)))))),IFERROR(IF(_xlpm._r=0,"",_xlpm._r),""))</f>
        <v/>
      </c>
      <c r="AB48" s="101" t="str">
        <f>_xlfn.LET(_xlpm._r,_xlfn.SINGLE(IF(OR($CC48="",AB$14="",AB$14&lt;_xlfn.SINGLE(INDEX('[1]ATTENDANCE DAILY'!$AV$4:$AV$663,$CC48)),AB$14&gt;_xlfn.SINGLE(INDEX('[1]ATTENDANCE DAILY'!$AW$4:$AW$663,$CC48))),"",IF(_xlfn.SINGLE(INDEX('[1]ATTENDANCE DAILY'!$I$4:$AM$663,$CC48,DAY(AB$14)))="T-Late","T-L",IF(_xlfn.SINGLE(INDEX('[1]ATTENDANCE DAILY'!$I$4:$AM$663,$CC48,DAY(AB$14)))="T-Cutting","T-C",INDEX('[1]ATTENDANCE DAILY'!$I$4:$AM$663,$CC48,DAY(AB$14)))))),IFERROR(IF(_xlpm._r=0,"",_xlpm._r),""))</f>
        <v/>
      </c>
      <c r="AC48" s="102"/>
      <c r="AD48" s="103"/>
      <c r="AE48" s="101" t="str">
        <f>_xlfn.LET(_xlpm._r,_xlfn.SINGLE(IF(OR($CC48="",AE$14="",AE$14&lt;_xlfn.SINGLE(INDEX('[1]ATTENDANCE DAILY'!$AV$4:$AV$663,$CC48)),AE$14&gt;_xlfn.SINGLE(INDEX('[1]ATTENDANCE DAILY'!$AW$4:$AW$663,$CC48))),"",IF(_xlfn.SINGLE(INDEX('[1]ATTENDANCE DAILY'!$I$4:$AM$663,$CC48,DAY(AE$14)))="T-Late","T-L",IF(_xlfn.SINGLE(INDEX('[1]ATTENDANCE DAILY'!$I$4:$AM$663,$CC48,DAY(AE$14)))="T-Cutting","T-C",INDEX('[1]ATTENDANCE DAILY'!$I$4:$AM$663,$CC48,DAY(AE$14)))))),IFERROR(IF(_xlpm._r=0,"",_xlpm._r),""))</f>
        <v/>
      </c>
      <c r="AF48" s="102"/>
      <c r="AG48" s="99"/>
      <c r="AH48" s="100" t="str">
        <f>_xlfn.LET(_xlpm._r,_xlfn.SINGLE(IF(OR($CC48="",AH$14="",AH$14&lt;_xlfn.SINGLE(INDEX('[1]ATTENDANCE DAILY'!$AV$4:$AV$663,$CC48)),AH$14&gt;_xlfn.SINGLE(INDEX('[1]ATTENDANCE DAILY'!$AW$4:$AW$663,$CC48))),"",IF(_xlfn.SINGLE(INDEX('[1]ATTENDANCE DAILY'!$I$4:$AM$663,$CC48,DAY(AH$14)))="T-Late","T-L",IF(_xlfn.SINGLE(INDEX('[1]ATTENDANCE DAILY'!$I$4:$AM$663,$CC48,DAY(AH$14)))="T-Cutting","T-C",INDEX('[1]ATTENDANCE DAILY'!$I$4:$AM$663,$CC48,DAY(AH$14)))))),IFERROR(IF(_xlpm._r=0,"",_xlpm._r),""))</f>
        <v/>
      </c>
      <c r="AI48" s="101" t="str">
        <f>_xlfn.LET(_xlpm._r,_xlfn.SINGLE(IF(OR($CC48="",AI$14="",AI$14&lt;_xlfn.SINGLE(INDEX('[1]ATTENDANCE DAILY'!$AV$4:$AV$663,$CC48)),AI$14&gt;_xlfn.SINGLE(INDEX('[1]ATTENDANCE DAILY'!$AW$4:$AW$663,$CC48))),"",IF(_xlfn.SINGLE(INDEX('[1]ATTENDANCE DAILY'!$I$4:$AM$663,$CC48,DAY(AI$14)))="T-Late","T-L",IF(_xlfn.SINGLE(INDEX('[1]ATTENDANCE DAILY'!$I$4:$AM$663,$CC48,DAY(AI$14)))="T-Cutting","T-C",INDEX('[1]ATTENDANCE DAILY'!$I$4:$AM$663,$CC48,DAY(AI$14)))))),IFERROR(IF(_xlpm._r=0,"",_xlpm._r),""))</f>
        <v/>
      </c>
      <c r="AJ48" s="102"/>
      <c r="AK48" s="99"/>
      <c r="AL48" s="101" t="str">
        <f>_xlfn.LET(_xlpm._r,_xlfn.SINGLE(IF(OR($CC48="",AL$14="",AL$14&lt;_xlfn.SINGLE(INDEX('[1]ATTENDANCE DAILY'!$AV$4:$AV$663,$CC48)),AL$14&gt;_xlfn.SINGLE(INDEX('[1]ATTENDANCE DAILY'!$AW$4:$AW$663,$CC48))),"",IF(_xlfn.SINGLE(INDEX('[1]ATTENDANCE DAILY'!$I$4:$AM$663,$CC48,DAY(AL$14)))="T-Late","T-L",IF(_xlfn.SINGLE(INDEX('[1]ATTENDANCE DAILY'!$I$4:$AM$663,$CC48,DAY(AL$14)))="T-Cutting","T-C",INDEX('[1]ATTENDANCE DAILY'!$I$4:$AM$663,$CC48,DAY(AL$14)))))),IFERROR(IF(_xlpm._r=0,"",_xlpm._r),""))</f>
        <v/>
      </c>
      <c r="AM48" s="99"/>
      <c r="AN48" s="101" t="str">
        <f>_xlfn.LET(_xlpm._r,_xlfn.SINGLE(IF(OR($CC48="",AN$14="",AN$14&lt;_xlfn.SINGLE(INDEX('[1]ATTENDANCE DAILY'!$AV$4:$AV$663,$CC48)),AN$14&gt;_xlfn.SINGLE(INDEX('[1]ATTENDANCE DAILY'!$AW$4:$AW$663,$CC48))),"",IF(_xlfn.SINGLE(INDEX('[1]ATTENDANCE DAILY'!$I$4:$AM$663,$CC48,DAY(AN$14)))="T-Late","T-L",IF(_xlfn.SINGLE(INDEX('[1]ATTENDANCE DAILY'!$I$4:$AM$663,$CC48,DAY(AN$14)))="T-Cutting","T-C",INDEX('[1]ATTENDANCE DAILY'!$I$4:$AM$663,$CC48,DAY(AN$14)))))),IFERROR(IF(_xlpm._r=0,"",_xlpm._r),""))</f>
        <v/>
      </c>
      <c r="AO48" s="103"/>
      <c r="AP48" s="101" t="str">
        <f>_xlfn.LET(_xlpm._r,_xlfn.SINGLE(IF(OR($CC48="",AP$14="",AP$14&lt;_xlfn.SINGLE(INDEX('[1]ATTENDANCE DAILY'!$AV$4:$AV$663,$CC48)),AP$14&gt;_xlfn.SINGLE(INDEX('[1]ATTENDANCE DAILY'!$AW$4:$AW$663,$CC48))),"",IF(_xlfn.SINGLE(INDEX('[1]ATTENDANCE DAILY'!$I$4:$AM$663,$CC48,DAY(AP$14)))="T-Late","T-L",IF(_xlfn.SINGLE(INDEX('[1]ATTENDANCE DAILY'!$I$4:$AM$663,$CC48,DAY(AP$14)))="T-Cutting","T-C",INDEX('[1]ATTENDANCE DAILY'!$I$4:$AM$663,$CC48,DAY(AP$14)))))),IFERROR(IF(_xlpm._r=0,"",_xlpm._r),""))</f>
        <v/>
      </c>
      <c r="AQ48" s="99"/>
      <c r="AR48" s="100" t="str">
        <f>_xlfn.LET(_xlpm._r,_xlfn.SINGLE(IF(OR($CC48="",AR$14="",AR$14&lt;_xlfn.SINGLE(INDEX('[1]ATTENDANCE DAILY'!$AV$4:$AV$663,$CC48)),AR$14&gt;_xlfn.SINGLE(INDEX('[1]ATTENDANCE DAILY'!$AW$4:$AW$663,$CC48))),"",IF(_xlfn.SINGLE(INDEX('[1]ATTENDANCE DAILY'!$I$4:$AM$663,$CC48,DAY(AR$14)))="T-Late","T-L",IF(_xlfn.SINGLE(INDEX('[1]ATTENDANCE DAILY'!$I$4:$AM$663,$CC48,DAY(AR$14)))="T-Cutting","T-C",INDEX('[1]ATTENDANCE DAILY'!$I$4:$AM$663,$CC48,DAY(AR$14)))))),IFERROR(IF(_xlpm._r=0,"",_xlpm._r),""))</f>
        <v/>
      </c>
      <c r="AS48" s="101" t="str">
        <f>_xlfn.LET(_xlpm._r,_xlfn.SINGLE(IF(OR($CC48="",AS$14="",AS$14&lt;_xlfn.SINGLE(INDEX('[1]ATTENDANCE DAILY'!$AV$4:$AV$663,$CC48)),AS$14&gt;_xlfn.SINGLE(INDEX('[1]ATTENDANCE DAILY'!$AW$4:$AW$663,$CC48))),"",IF(_xlfn.SINGLE(INDEX('[1]ATTENDANCE DAILY'!$I$4:$AM$663,$CC48,DAY(AS$14)))="T-Late","T-L",IF(_xlfn.SINGLE(INDEX('[1]ATTENDANCE DAILY'!$I$4:$AM$663,$CC48,DAY(AS$14)))="T-Cutting","T-C",INDEX('[1]ATTENDANCE DAILY'!$I$4:$AM$663,$CC48,DAY(AS$14)))))),IFERROR(IF(_xlpm._r=0,"",_xlpm._r),""))</f>
        <v/>
      </c>
      <c r="AT48" s="99"/>
      <c r="AU48" s="100" t="str">
        <f>_xlfn.LET(_xlpm._r,_xlfn.SINGLE(IF(OR($CC48="",AU$14="",AU$14&lt;_xlfn.SINGLE(INDEX('[1]ATTENDANCE DAILY'!$AV$4:$AV$663,$CC48)),AU$14&gt;_xlfn.SINGLE(INDEX('[1]ATTENDANCE DAILY'!$AW$4:$AW$663,$CC48))),"",IF(_xlfn.SINGLE(INDEX('[1]ATTENDANCE DAILY'!$I$4:$AM$663,$CC48,DAY(AU$14)))="T-Late","T-L",IF(_xlfn.SINGLE(INDEX('[1]ATTENDANCE DAILY'!$I$4:$AM$663,$CC48,DAY(AU$14)))="T-Cutting","T-C",INDEX('[1]ATTENDANCE DAILY'!$I$4:$AM$663,$CC48,DAY(AU$14)))))),IFERROR(IF(_xlpm._r=0,"",_xlpm._r),""))</f>
        <v/>
      </c>
      <c r="AV48" s="104" t="str">
        <f>_xlfn.LET(_xlpm._r,_xlfn.SINGLE(IF(OR($CC48="",AV$14="",AV$14&lt;_xlfn.SINGLE(INDEX('[1]ATTENDANCE DAILY'!$AV$4:$AV$663,$CC48)),AV$14&gt;_xlfn.SINGLE(INDEX('[1]ATTENDANCE DAILY'!$AW$4:$AW$663,$CC48))),"",IF(_xlfn.SINGLE(INDEX('[1]ATTENDANCE DAILY'!$I$4:$AM$663,$CC48,DAY(AV$14)))="T-Late","T-L",IF(_xlfn.SINGLE(INDEX('[1]ATTENDANCE DAILY'!$I$4:$AM$663,$CC48,DAY(AV$14)))="T-Cutting","T-C",INDEX('[1]ATTENDANCE DAILY'!$I$4:$AM$663,$CC48,DAY(AV$14)))))),IFERROR(IF(_xlpm._r=0,"",_xlpm._r),""))</f>
        <v/>
      </c>
      <c r="AW48" s="101" t="str">
        <f>_xlfn.LET(_xlpm._r,_xlfn.SINGLE(IF(OR($CC48="",AW$14="",AW$14&lt;_xlfn.SINGLE(INDEX('[1]ATTENDANCE DAILY'!$AV$4:$AV$663,$CC48)),AW$14&gt;_xlfn.SINGLE(INDEX('[1]ATTENDANCE DAILY'!$AW$4:$AW$663,$CC48))),"",IF(_xlfn.SINGLE(INDEX('[1]ATTENDANCE DAILY'!$I$4:$AM$663,$CC48,DAY(AW$14)))="T-Late","T-L",IF(_xlfn.SINGLE(INDEX('[1]ATTENDANCE DAILY'!$I$4:$AM$663,$CC48,DAY(AW$14)))="T-Cutting","T-C",INDEX('[1]ATTENDANCE DAILY'!$I$4:$AM$663,$CC48,DAY(AW$14)))))),IFERROR(IF(_xlpm._r=0,"",_xlpm._r),""))</f>
        <v/>
      </c>
      <c r="AX48" s="99"/>
      <c r="AY48" s="101" t="str">
        <f>_xlfn.LET(_xlpm._r,_xlfn.SINGLE(IF(OR($CC48="",AY$14="",AY$14&lt;_xlfn.SINGLE(INDEX('[1]ATTENDANCE DAILY'!$AV$4:$AV$663,$CC48)),AY$14&gt;_xlfn.SINGLE(INDEX('[1]ATTENDANCE DAILY'!$AW$4:$AW$663,$CC48))),"",IF(_xlfn.SINGLE(INDEX('[1]ATTENDANCE DAILY'!$I$4:$AM$663,$CC48,DAY(AY$14)))="T-Late","T-L",IF(_xlfn.SINGLE(INDEX('[1]ATTENDANCE DAILY'!$I$4:$AM$663,$CC48,DAY(AY$14)))="T-Cutting","T-C",INDEX('[1]ATTENDANCE DAILY'!$I$4:$AM$663,$CC48,DAY(AY$14)))))),IFERROR(IF(_xlpm._r=0,"",_xlpm._r),""))</f>
        <v/>
      </c>
      <c r="AZ48" s="102"/>
      <c r="BA48" s="99"/>
      <c r="BB48" s="101" t="str">
        <f>_xlfn.LET(_xlpm._r,_xlfn.SINGLE(IF(OR($CC48="",BB$14="",BB$14&lt;_xlfn.SINGLE(INDEX('[1]ATTENDANCE DAILY'!$AV$4:$AV$663,$CC48)),BB$14&gt;_xlfn.SINGLE(INDEX('[1]ATTENDANCE DAILY'!$AW$4:$AW$663,$CC48))),"",IF(_xlfn.SINGLE(INDEX('[1]ATTENDANCE DAILY'!$I$4:$AM$663,$CC48,DAY(BB$14)))="T-Late","T-L",IF(_xlfn.SINGLE(INDEX('[1]ATTENDANCE DAILY'!$I$4:$AM$663,$CC48,DAY(BB$14)))="T-Cutting","T-C",INDEX('[1]ATTENDANCE DAILY'!$I$4:$AM$663,$CC48,DAY(BB$14)))))),IFERROR(IF(_xlpm._r=0,"",_xlpm._r),""))</f>
        <v/>
      </c>
      <c r="BC48" s="99"/>
      <c r="BD48" s="100" t="str">
        <f>_xlfn.LET(_xlpm._r,_xlfn.SINGLE(IF(OR($CC48="",BD$14="",BD$14&lt;_xlfn.SINGLE(INDEX('[1]ATTENDANCE DAILY'!$AV$4:$AV$663,$CC48)),BD$14&gt;_xlfn.SINGLE(INDEX('[1]ATTENDANCE DAILY'!$AW$4:$AW$663,$CC48))),"",IF(_xlfn.SINGLE(INDEX('[1]ATTENDANCE DAILY'!$I$4:$AM$663,$CC48,DAY(BD$14)))="T-Late","T-L",IF(_xlfn.SINGLE(INDEX('[1]ATTENDANCE DAILY'!$I$4:$AM$663,$CC48,DAY(BD$14)))="T-Cutting","T-C",INDEX('[1]ATTENDANCE DAILY'!$I$4:$AM$663,$CC48,DAY(BD$14)))))),IFERROR(IF(_xlpm._r=0,"",_xlpm._r),""))</f>
        <v/>
      </c>
      <c r="BE48" s="101" t="str">
        <f>_xlfn.LET(_xlpm._r,_xlfn.SINGLE(IF(OR($CC48="",BE$14="",BE$14&lt;_xlfn.SINGLE(INDEX('[1]ATTENDANCE DAILY'!$AV$4:$AV$663,$CC48)),BE$14&gt;_xlfn.SINGLE(INDEX('[1]ATTENDANCE DAILY'!$AW$4:$AW$663,$CC48))),"",IF(_xlfn.SINGLE(INDEX('[1]ATTENDANCE DAILY'!$I$4:$AM$663,$CC48,DAY(BE$14)))="T-Late","T-L",IF(_xlfn.SINGLE(INDEX('[1]ATTENDANCE DAILY'!$I$4:$AM$663,$CC48,DAY(BE$14)))="T-Cutting","T-C",INDEX('[1]ATTENDANCE DAILY'!$I$4:$AM$663,$CC48,DAY(BE$14)))))),IFERROR(IF(_xlpm._r=0,"",_xlpm._r),""))</f>
        <v/>
      </c>
      <c r="BF48" s="102"/>
      <c r="BG48" s="102"/>
      <c r="BH48" s="103"/>
      <c r="BI48" s="105">
        <f>IF($CC48="","",INDEX('[1]ATTENDANCE DAILY'!$AR$4:$AR$663,$CC48))</f>
        <v>0</v>
      </c>
      <c r="BJ48" s="106"/>
      <c r="BK48" s="107"/>
      <c r="BL48" s="105">
        <f>IF($CC48="","",INDEX('[1]ATTENDANCE DAILY'!$AS$4:$AS$663,$CC48))</f>
        <v>23</v>
      </c>
      <c r="BM48" s="106"/>
      <c r="BN48" s="106"/>
      <c r="BO48" s="107"/>
      <c r="BP48" s="105" t="str">
        <f>IF($CC48="","",IF(INDEX('[1]ATTENDANCE DAILY'!$AN$4:$AN$663,$CC48)="","",INDEX('[1]ATTENDANCE DAILY'!$AN$4:$AN$663,$CC48)&amp;IF(INDEX('[1]ATTENDANCE DAILY'!$AO$4:$AO$663,$CC48)="",""," ("&amp;TEXT(INDEX('[1]ATTENDANCE DAILY'!$AO$4:$AO$663,$CC48),"mm-dd-yyyy")&amp;")")&amp;IF(INDEX('[1]ATTENDANCE DAILY'!$AP$4:$AP$663,$CC48)="",""," - "&amp;INDEX('[1]ATTENDANCE DAILY'!$AP$4:$AP$663,$CC48))))</f>
        <v/>
      </c>
      <c r="BQ48" s="106"/>
      <c r="BR48" s="106"/>
      <c r="BS48" s="106"/>
      <c r="BT48" s="106"/>
      <c r="BU48" s="106"/>
      <c r="BV48" s="106"/>
      <c r="BW48" s="106"/>
      <c r="BX48" s="106"/>
      <c r="BY48" s="106"/>
      <c r="BZ48" s="106"/>
      <c r="CA48" s="107"/>
      <c r="CC48">
        <f>IF(COUNTIFS('[1]ATTENDANCE DAILY'!$C$4:$C$663,$BN$11,'[1]ATTENDANCE DAILY'!$F$4:$F$663,"Female",'[1]ATTENDANCE DAILY'!$G$4:$G$663,1,'[1]ATTENDANCE DAILY'!$BA$4:$BA$663,5)=0,"",SUMIFS('[1]ATTENDANCE DAILY'!$A$4:$A$663,'[1]ATTENDANCE DAILY'!$C$4:$C$663,$BN$11,'[1]ATTENDANCE DAILY'!$F$4:$F$663,"Female",'[1]ATTENDANCE DAILY'!$G$4:$G$663,1,'[1]ATTENDANCE DAILY'!$BA$4:$BA$663,5))</f>
        <v>79</v>
      </c>
    </row>
    <row r="49" spans="1:81" ht="19.95" customHeight="1" thickTop="1" thickBot="1">
      <c r="A49" s="92">
        <v>6</v>
      </c>
      <c r="B49" s="93"/>
      <c r="C49" s="93"/>
      <c r="D49" s="93"/>
      <c r="E49" s="93"/>
      <c r="F49" s="94"/>
      <c r="G49" s="95" t="str">
        <f>IF($CC49="","",INDEX('[1]ATTENDANCE DAILY'!$E$4:$E$663,$CC49))</f>
        <v>FLORES, THEA MARIE LUMUYA</v>
      </c>
      <c r="H49" s="96"/>
      <c r="I49" s="96"/>
      <c r="J49" s="97"/>
      <c r="K49" s="98" t="str">
        <f>_xlfn.LET(_xlpm._r,_xlfn.SINGLE(IF(OR($CC49="",K$14="",K$14&lt;_xlfn.SINGLE(INDEX('[1]ATTENDANCE DAILY'!$AV$4:$AV$663,$CC49)),K$14&gt;_xlfn.SINGLE(INDEX('[1]ATTENDANCE DAILY'!$AW$4:$AW$663,$CC49))),"",IF(_xlfn.SINGLE(INDEX('[1]ATTENDANCE DAILY'!$I$4:$AM$663,$CC49,DAY(K$14)))="T-Late","T-L",IF(_xlfn.SINGLE(INDEX('[1]ATTENDANCE DAILY'!$I$4:$AM$663,$CC49,DAY(K$14)))="T-Cutting","T-C",INDEX('[1]ATTENDANCE DAILY'!$I$4:$AM$663,$CC49,DAY(K$14)))))),IFERROR(IF(_xlpm._r=0,"",_xlpm._r),""))</f>
        <v/>
      </c>
      <c r="L49" s="99"/>
      <c r="M49" s="100" t="str">
        <f>_xlfn.LET(_xlpm._r,_xlfn.SINGLE(IF(OR($CC49="",M$14="",M$14&lt;_xlfn.SINGLE(INDEX('[1]ATTENDANCE DAILY'!$AV$4:$AV$663,$CC49)),M$14&gt;_xlfn.SINGLE(INDEX('[1]ATTENDANCE DAILY'!$AW$4:$AW$663,$CC49))),"",IF(_xlfn.SINGLE(INDEX('[1]ATTENDANCE DAILY'!$I$4:$AM$663,$CC49,DAY(M$14)))="T-Late","T-L",IF(_xlfn.SINGLE(INDEX('[1]ATTENDANCE DAILY'!$I$4:$AM$663,$CC49,DAY(M$14)))="T-Cutting","T-C",INDEX('[1]ATTENDANCE DAILY'!$I$4:$AM$663,$CC49,DAY(M$14)))))),IFERROR(IF(_xlpm._r=0,"",_xlpm._r),""))</f>
        <v/>
      </c>
      <c r="N49" s="100" t="str">
        <f>_xlfn.LET(_xlpm._r,_xlfn.SINGLE(IF(OR($CC49="",N$14="",N$14&lt;_xlfn.SINGLE(INDEX('[1]ATTENDANCE DAILY'!$AV$4:$AV$663,$CC49)),N$14&gt;_xlfn.SINGLE(INDEX('[1]ATTENDANCE DAILY'!$AW$4:$AW$663,$CC49))),"",IF(_xlfn.SINGLE(INDEX('[1]ATTENDANCE DAILY'!$I$4:$AM$663,$CC49,DAY(N$14)))="T-Late","T-L",IF(_xlfn.SINGLE(INDEX('[1]ATTENDANCE DAILY'!$I$4:$AM$663,$CC49,DAY(N$14)))="T-Cutting","T-C",INDEX('[1]ATTENDANCE DAILY'!$I$4:$AM$663,$CC49,DAY(N$14)))))),IFERROR(IF(_xlpm._r=0,"",_xlpm._r),""))</f>
        <v/>
      </c>
      <c r="O49" s="101" t="str">
        <f>_xlfn.LET(_xlpm._r,_xlfn.SINGLE(IF(OR($CC49="",O$14="",O$14&lt;_xlfn.SINGLE(INDEX('[1]ATTENDANCE DAILY'!$AV$4:$AV$663,$CC49)),O$14&gt;_xlfn.SINGLE(INDEX('[1]ATTENDANCE DAILY'!$AW$4:$AW$663,$CC49))),"",IF(_xlfn.SINGLE(INDEX('[1]ATTENDANCE DAILY'!$I$4:$AM$663,$CC49,DAY(O$14)))="T-Late","T-L",IF(_xlfn.SINGLE(INDEX('[1]ATTENDANCE DAILY'!$I$4:$AM$663,$CC49,DAY(O$14)))="T-Cutting","T-C",INDEX('[1]ATTENDANCE DAILY'!$I$4:$AM$663,$CC49,DAY(O$14)))))),IFERROR(IF(_xlpm._r=0,"",_xlpm._r),""))</f>
        <v/>
      </c>
      <c r="P49" s="102"/>
      <c r="Q49" s="102"/>
      <c r="R49" s="99"/>
      <c r="S49" s="101" t="str">
        <f>_xlfn.LET(_xlpm._r,_xlfn.SINGLE(IF(OR($CC49="",S$14="",S$14&lt;_xlfn.SINGLE(INDEX('[1]ATTENDANCE DAILY'!$AV$4:$AV$663,$CC49)),S$14&gt;_xlfn.SINGLE(INDEX('[1]ATTENDANCE DAILY'!$AW$4:$AW$663,$CC49))),"",IF(_xlfn.SINGLE(INDEX('[1]ATTENDANCE DAILY'!$I$4:$AM$663,$CC49,DAY(S$14)))="T-Late","T-L",IF(_xlfn.SINGLE(INDEX('[1]ATTENDANCE DAILY'!$I$4:$AM$663,$CC49,DAY(S$14)))="T-Cutting","T-C",INDEX('[1]ATTENDANCE DAILY'!$I$4:$AM$663,$CC49,DAY(S$14)))))),IFERROR(IF(_xlpm._r=0,"",_xlpm._r),""))</f>
        <v/>
      </c>
      <c r="T49" s="102"/>
      <c r="U49" s="103"/>
      <c r="V49" s="100" t="str">
        <f>_xlfn.LET(_xlpm._r,_xlfn.SINGLE(IF(OR($CC49="",V$14="",V$14&lt;_xlfn.SINGLE(INDEX('[1]ATTENDANCE DAILY'!$AV$4:$AV$663,$CC49)),V$14&gt;_xlfn.SINGLE(INDEX('[1]ATTENDANCE DAILY'!$AW$4:$AW$663,$CC49))),"",IF(_xlfn.SINGLE(INDEX('[1]ATTENDANCE DAILY'!$I$4:$AM$663,$CC49,DAY(V$14)))="T-Late","T-L",IF(_xlfn.SINGLE(INDEX('[1]ATTENDANCE DAILY'!$I$4:$AM$663,$CC49,DAY(V$14)))="T-Cutting","T-C",INDEX('[1]ATTENDANCE DAILY'!$I$4:$AM$663,$CC49,DAY(V$14)))))),IFERROR(IF(_xlpm._r=0,"",_xlpm._r),""))</f>
        <v/>
      </c>
      <c r="W49" s="101" t="str">
        <f>_xlfn.LET(_xlpm._r,_xlfn.SINGLE(IF(OR($CC49="",W$14="",W$14&lt;_xlfn.SINGLE(INDEX('[1]ATTENDANCE DAILY'!$AV$4:$AV$663,$CC49)),W$14&gt;_xlfn.SINGLE(INDEX('[1]ATTENDANCE DAILY'!$AW$4:$AW$663,$CC49))),"",IF(_xlfn.SINGLE(INDEX('[1]ATTENDANCE DAILY'!$I$4:$AM$663,$CC49,DAY(W$14)))="T-Late","T-L",IF(_xlfn.SINGLE(INDEX('[1]ATTENDANCE DAILY'!$I$4:$AM$663,$CC49,DAY(W$14)))="T-Cutting","T-C",INDEX('[1]ATTENDANCE DAILY'!$I$4:$AM$663,$CC49,DAY(W$14)))))),IFERROR(IF(_xlpm._r=0,"",_xlpm._r),""))</f>
        <v/>
      </c>
      <c r="X49" s="102"/>
      <c r="Y49" s="99"/>
      <c r="Z49" s="100" t="str">
        <f>_xlfn.LET(_xlpm._r,_xlfn.SINGLE(IF(OR($CC49="",Z$14="",Z$14&lt;_xlfn.SINGLE(INDEX('[1]ATTENDANCE DAILY'!$AV$4:$AV$663,$CC49)),Z$14&gt;_xlfn.SINGLE(INDEX('[1]ATTENDANCE DAILY'!$AW$4:$AW$663,$CC49))),"",IF(_xlfn.SINGLE(INDEX('[1]ATTENDANCE DAILY'!$I$4:$AM$663,$CC49,DAY(Z$14)))="T-Late","T-L",IF(_xlfn.SINGLE(INDEX('[1]ATTENDANCE DAILY'!$I$4:$AM$663,$CC49,DAY(Z$14)))="T-Cutting","T-C",INDEX('[1]ATTENDANCE DAILY'!$I$4:$AM$663,$CC49,DAY(Z$14)))))),IFERROR(IF(_xlpm._r=0,"",_xlpm._r),""))</f>
        <v/>
      </c>
      <c r="AA49" s="100" t="str">
        <f>_xlfn.LET(_xlpm._r,_xlfn.SINGLE(IF(OR($CC49="",AA$14="",AA$14&lt;_xlfn.SINGLE(INDEX('[1]ATTENDANCE DAILY'!$AV$4:$AV$663,$CC49)),AA$14&gt;_xlfn.SINGLE(INDEX('[1]ATTENDANCE DAILY'!$AW$4:$AW$663,$CC49))),"",IF(_xlfn.SINGLE(INDEX('[1]ATTENDANCE DAILY'!$I$4:$AM$663,$CC49,DAY(AA$14)))="T-Late","T-L",IF(_xlfn.SINGLE(INDEX('[1]ATTENDANCE DAILY'!$I$4:$AM$663,$CC49,DAY(AA$14)))="T-Cutting","T-C",INDEX('[1]ATTENDANCE DAILY'!$I$4:$AM$663,$CC49,DAY(AA$14)))))),IFERROR(IF(_xlpm._r=0,"",_xlpm._r),""))</f>
        <v/>
      </c>
      <c r="AB49" s="101" t="str">
        <f>_xlfn.LET(_xlpm._r,_xlfn.SINGLE(IF(OR($CC49="",AB$14="",AB$14&lt;_xlfn.SINGLE(INDEX('[1]ATTENDANCE DAILY'!$AV$4:$AV$663,$CC49)),AB$14&gt;_xlfn.SINGLE(INDEX('[1]ATTENDANCE DAILY'!$AW$4:$AW$663,$CC49))),"",IF(_xlfn.SINGLE(INDEX('[1]ATTENDANCE DAILY'!$I$4:$AM$663,$CC49,DAY(AB$14)))="T-Late","T-L",IF(_xlfn.SINGLE(INDEX('[1]ATTENDANCE DAILY'!$I$4:$AM$663,$CC49,DAY(AB$14)))="T-Cutting","T-C",INDEX('[1]ATTENDANCE DAILY'!$I$4:$AM$663,$CC49,DAY(AB$14)))))),IFERROR(IF(_xlpm._r=0,"",_xlpm._r),""))</f>
        <v/>
      </c>
      <c r="AC49" s="102"/>
      <c r="AD49" s="103"/>
      <c r="AE49" s="101" t="str">
        <f>_xlfn.LET(_xlpm._r,_xlfn.SINGLE(IF(OR($CC49="",AE$14="",AE$14&lt;_xlfn.SINGLE(INDEX('[1]ATTENDANCE DAILY'!$AV$4:$AV$663,$CC49)),AE$14&gt;_xlfn.SINGLE(INDEX('[1]ATTENDANCE DAILY'!$AW$4:$AW$663,$CC49))),"",IF(_xlfn.SINGLE(INDEX('[1]ATTENDANCE DAILY'!$I$4:$AM$663,$CC49,DAY(AE$14)))="T-Late","T-L",IF(_xlfn.SINGLE(INDEX('[1]ATTENDANCE DAILY'!$I$4:$AM$663,$CC49,DAY(AE$14)))="T-Cutting","T-C",INDEX('[1]ATTENDANCE DAILY'!$I$4:$AM$663,$CC49,DAY(AE$14)))))),IFERROR(IF(_xlpm._r=0,"",_xlpm._r),""))</f>
        <v/>
      </c>
      <c r="AF49" s="102"/>
      <c r="AG49" s="99"/>
      <c r="AH49" s="100" t="str">
        <f>_xlfn.LET(_xlpm._r,_xlfn.SINGLE(IF(OR($CC49="",AH$14="",AH$14&lt;_xlfn.SINGLE(INDEX('[1]ATTENDANCE DAILY'!$AV$4:$AV$663,$CC49)),AH$14&gt;_xlfn.SINGLE(INDEX('[1]ATTENDANCE DAILY'!$AW$4:$AW$663,$CC49))),"",IF(_xlfn.SINGLE(INDEX('[1]ATTENDANCE DAILY'!$I$4:$AM$663,$CC49,DAY(AH$14)))="T-Late","T-L",IF(_xlfn.SINGLE(INDEX('[1]ATTENDANCE DAILY'!$I$4:$AM$663,$CC49,DAY(AH$14)))="T-Cutting","T-C",INDEX('[1]ATTENDANCE DAILY'!$I$4:$AM$663,$CC49,DAY(AH$14)))))),IFERROR(IF(_xlpm._r=0,"",_xlpm._r),""))</f>
        <v/>
      </c>
      <c r="AI49" s="101" t="str">
        <f>_xlfn.LET(_xlpm._r,_xlfn.SINGLE(IF(OR($CC49="",AI$14="",AI$14&lt;_xlfn.SINGLE(INDEX('[1]ATTENDANCE DAILY'!$AV$4:$AV$663,$CC49)),AI$14&gt;_xlfn.SINGLE(INDEX('[1]ATTENDANCE DAILY'!$AW$4:$AW$663,$CC49))),"",IF(_xlfn.SINGLE(INDEX('[1]ATTENDANCE DAILY'!$I$4:$AM$663,$CC49,DAY(AI$14)))="T-Late","T-L",IF(_xlfn.SINGLE(INDEX('[1]ATTENDANCE DAILY'!$I$4:$AM$663,$CC49,DAY(AI$14)))="T-Cutting","T-C",INDEX('[1]ATTENDANCE DAILY'!$I$4:$AM$663,$CC49,DAY(AI$14)))))),IFERROR(IF(_xlpm._r=0,"",_xlpm._r),""))</f>
        <v/>
      </c>
      <c r="AJ49" s="102"/>
      <c r="AK49" s="99"/>
      <c r="AL49" s="101" t="str">
        <f>_xlfn.LET(_xlpm._r,_xlfn.SINGLE(IF(OR($CC49="",AL$14="",AL$14&lt;_xlfn.SINGLE(INDEX('[1]ATTENDANCE DAILY'!$AV$4:$AV$663,$CC49)),AL$14&gt;_xlfn.SINGLE(INDEX('[1]ATTENDANCE DAILY'!$AW$4:$AW$663,$CC49))),"",IF(_xlfn.SINGLE(INDEX('[1]ATTENDANCE DAILY'!$I$4:$AM$663,$CC49,DAY(AL$14)))="T-Late","T-L",IF(_xlfn.SINGLE(INDEX('[1]ATTENDANCE DAILY'!$I$4:$AM$663,$CC49,DAY(AL$14)))="T-Cutting","T-C",INDEX('[1]ATTENDANCE DAILY'!$I$4:$AM$663,$CC49,DAY(AL$14)))))),IFERROR(IF(_xlpm._r=0,"",_xlpm._r),""))</f>
        <v/>
      </c>
      <c r="AM49" s="99"/>
      <c r="AN49" s="101" t="str">
        <f>_xlfn.LET(_xlpm._r,_xlfn.SINGLE(IF(OR($CC49="",AN$14="",AN$14&lt;_xlfn.SINGLE(INDEX('[1]ATTENDANCE DAILY'!$AV$4:$AV$663,$CC49)),AN$14&gt;_xlfn.SINGLE(INDEX('[1]ATTENDANCE DAILY'!$AW$4:$AW$663,$CC49))),"",IF(_xlfn.SINGLE(INDEX('[1]ATTENDANCE DAILY'!$I$4:$AM$663,$CC49,DAY(AN$14)))="T-Late","T-L",IF(_xlfn.SINGLE(INDEX('[1]ATTENDANCE DAILY'!$I$4:$AM$663,$CC49,DAY(AN$14)))="T-Cutting","T-C",INDEX('[1]ATTENDANCE DAILY'!$I$4:$AM$663,$CC49,DAY(AN$14)))))),IFERROR(IF(_xlpm._r=0,"",_xlpm._r),""))</f>
        <v/>
      </c>
      <c r="AO49" s="103"/>
      <c r="AP49" s="101" t="str">
        <f>_xlfn.LET(_xlpm._r,_xlfn.SINGLE(IF(OR($CC49="",AP$14="",AP$14&lt;_xlfn.SINGLE(INDEX('[1]ATTENDANCE DAILY'!$AV$4:$AV$663,$CC49)),AP$14&gt;_xlfn.SINGLE(INDEX('[1]ATTENDANCE DAILY'!$AW$4:$AW$663,$CC49))),"",IF(_xlfn.SINGLE(INDEX('[1]ATTENDANCE DAILY'!$I$4:$AM$663,$CC49,DAY(AP$14)))="T-Late","T-L",IF(_xlfn.SINGLE(INDEX('[1]ATTENDANCE DAILY'!$I$4:$AM$663,$CC49,DAY(AP$14)))="T-Cutting","T-C",INDEX('[1]ATTENDANCE DAILY'!$I$4:$AM$663,$CC49,DAY(AP$14)))))),IFERROR(IF(_xlpm._r=0,"",_xlpm._r),""))</f>
        <v/>
      </c>
      <c r="AQ49" s="99"/>
      <c r="AR49" s="100" t="str">
        <f>_xlfn.LET(_xlpm._r,_xlfn.SINGLE(IF(OR($CC49="",AR$14="",AR$14&lt;_xlfn.SINGLE(INDEX('[1]ATTENDANCE DAILY'!$AV$4:$AV$663,$CC49)),AR$14&gt;_xlfn.SINGLE(INDEX('[1]ATTENDANCE DAILY'!$AW$4:$AW$663,$CC49))),"",IF(_xlfn.SINGLE(INDEX('[1]ATTENDANCE DAILY'!$I$4:$AM$663,$CC49,DAY(AR$14)))="T-Late","T-L",IF(_xlfn.SINGLE(INDEX('[1]ATTENDANCE DAILY'!$I$4:$AM$663,$CC49,DAY(AR$14)))="T-Cutting","T-C",INDEX('[1]ATTENDANCE DAILY'!$I$4:$AM$663,$CC49,DAY(AR$14)))))),IFERROR(IF(_xlpm._r=0,"",_xlpm._r),""))</f>
        <v/>
      </c>
      <c r="AS49" s="101" t="str">
        <f>_xlfn.LET(_xlpm._r,_xlfn.SINGLE(IF(OR($CC49="",AS$14="",AS$14&lt;_xlfn.SINGLE(INDEX('[1]ATTENDANCE DAILY'!$AV$4:$AV$663,$CC49)),AS$14&gt;_xlfn.SINGLE(INDEX('[1]ATTENDANCE DAILY'!$AW$4:$AW$663,$CC49))),"",IF(_xlfn.SINGLE(INDEX('[1]ATTENDANCE DAILY'!$I$4:$AM$663,$CC49,DAY(AS$14)))="T-Late","T-L",IF(_xlfn.SINGLE(INDEX('[1]ATTENDANCE DAILY'!$I$4:$AM$663,$CC49,DAY(AS$14)))="T-Cutting","T-C",INDEX('[1]ATTENDANCE DAILY'!$I$4:$AM$663,$CC49,DAY(AS$14)))))),IFERROR(IF(_xlpm._r=0,"",_xlpm._r),""))</f>
        <v/>
      </c>
      <c r="AT49" s="99"/>
      <c r="AU49" s="100" t="str">
        <f>_xlfn.LET(_xlpm._r,_xlfn.SINGLE(IF(OR($CC49="",AU$14="",AU$14&lt;_xlfn.SINGLE(INDEX('[1]ATTENDANCE DAILY'!$AV$4:$AV$663,$CC49)),AU$14&gt;_xlfn.SINGLE(INDEX('[1]ATTENDANCE DAILY'!$AW$4:$AW$663,$CC49))),"",IF(_xlfn.SINGLE(INDEX('[1]ATTENDANCE DAILY'!$I$4:$AM$663,$CC49,DAY(AU$14)))="T-Late","T-L",IF(_xlfn.SINGLE(INDEX('[1]ATTENDANCE DAILY'!$I$4:$AM$663,$CC49,DAY(AU$14)))="T-Cutting","T-C",INDEX('[1]ATTENDANCE DAILY'!$I$4:$AM$663,$CC49,DAY(AU$14)))))),IFERROR(IF(_xlpm._r=0,"",_xlpm._r),""))</f>
        <v/>
      </c>
      <c r="AV49" s="104" t="str">
        <f>_xlfn.LET(_xlpm._r,_xlfn.SINGLE(IF(OR($CC49="",AV$14="",AV$14&lt;_xlfn.SINGLE(INDEX('[1]ATTENDANCE DAILY'!$AV$4:$AV$663,$CC49)),AV$14&gt;_xlfn.SINGLE(INDEX('[1]ATTENDANCE DAILY'!$AW$4:$AW$663,$CC49))),"",IF(_xlfn.SINGLE(INDEX('[1]ATTENDANCE DAILY'!$I$4:$AM$663,$CC49,DAY(AV$14)))="T-Late","T-L",IF(_xlfn.SINGLE(INDEX('[1]ATTENDANCE DAILY'!$I$4:$AM$663,$CC49,DAY(AV$14)))="T-Cutting","T-C",INDEX('[1]ATTENDANCE DAILY'!$I$4:$AM$663,$CC49,DAY(AV$14)))))),IFERROR(IF(_xlpm._r=0,"",_xlpm._r),""))</f>
        <v/>
      </c>
      <c r="AW49" s="101" t="str">
        <f>_xlfn.LET(_xlpm._r,_xlfn.SINGLE(IF(OR($CC49="",AW$14="",AW$14&lt;_xlfn.SINGLE(INDEX('[1]ATTENDANCE DAILY'!$AV$4:$AV$663,$CC49)),AW$14&gt;_xlfn.SINGLE(INDEX('[1]ATTENDANCE DAILY'!$AW$4:$AW$663,$CC49))),"",IF(_xlfn.SINGLE(INDEX('[1]ATTENDANCE DAILY'!$I$4:$AM$663,$CC49,DAY(AW$14)))="T-Late","T-L",IF(_xlfn.SINGLE(INDEX('[1]ATTENDANCE DAILY'!$I$4:$AM$663,$CC49,DAY(AW$14)))="T-Cutting","T-C",INDEX('[1]ATTENDANCE DAILY'!$I$4:$AM$663,$CC49,DAY(AW$14)))))),IFERROR(IF(_xlpm._r=0,"",_xlpm._r),""))</f>
        <v/>
      </c>
      <c r="AX49" s="99"/>
      <c r="AY49" s="101" t="str">
        <f>_xlfn.LET(_xlpm._r,_xlfn.SINGLE(IF(OR($CC49="",AY$14="",AY$14&lt;_xlfn.SINGLE(INDEX('[1]ATTENDANCE DAILY'!$AV$4:$AV$663,$CC49)),AY$14&gt;_xlfn.SINGLE(INDEX('[1]ATTENDANCE DAILY'!$AW$4:$AW$663,$CC49))),"",IF(_xlfn.SINGLE(INDEX('[1]ATTENDANCE DAILY'!$I$4:$AM$663,$CC49,DAY(AY$14)))="T-Late","T-L",IF(_xlfn.SINGLE(INDEX('[1]ATTENDANCE DAILY'!$I$4:$AM$663,$CC49,DAY(AY$14)))="T-Cutting","T-C",INDEX('[1]ATTENDANCE DAILY'!$I$4:$AM$663,$CC49,DAY(AY$14)))))),IFERROR(IF(_xlpm._r=0,"",_xlpm._r),""))</f>
        <v/>
      </c>
      <c r="AZ49" s="102"/>
      <c r="BA49" s="99"/>
      <c r="BB49" s="101" t="str">
        <f>_xlfn.LET(_xlpm._r,_xlfn.SINGLE(IF(OR($CC49="",BB$14="",BB$14&lt;_xlfn.SINGLE(INDEX('[1]ATTENDANCE DAILY'!$AV$4:$AV$663,$CC49)),BB$14&gt;_xlfn.SINGLE(INDEX('[1]ATTENDANCE DAILY'!$AW$4:$AW$663,$CC49))),"",IF(_xlfn.SINGLE(INDEX('[1]ATTENDANCE DAILY'!$I$4:$AM$663,$CC49,DAY(BB$14)))="T-Late","T-L",IF(_xlfn.SINGLE(INDEX('[1]ATTENDANCE DAILY'!$I$4:$AM$663,$CC49,DAY(BB$14)))="T-Cutting","T-C",INDEX('[1]ATTENDANCE DAILY'!$I$4:$AM$663,$CC49,DAY(BB$14)))))),IFERROR(IF(_xlpm._r=0,"",_xlpm._r),""))</f>
        <v/>
      </c>
      <c r="BC49" s="99"/>
      <c r="BD49" s="100" t="str">
        <f>_xlfn.LET(_xlpm._r,_xlfn.SINGLE(IF(OR($CC49="",BD$14="",BD$14&lt;_xlfn.SINGLE(INDEX('[1]ATTENDANCE DAILY'!$AV$4:$AV$663,$CC49)),BD$14&gt;_xlfn.SINGLE(INDEX('[1]ATTENDANCE DAILY'!$AW$4:$AW$663,$CC49))),"",IF(_xlfn.SINGLE(INDEX('[1]ATTENDANCE DAILY'!$I$4:$AM$663,$CC49,DAY(BD$14)))="T-Late","T-L",IF(_xlfn.SINGLE(INDEX('[1]ATTENDANCE DAILY'!$I$4:$AM$663,$CC49,DAY(BD$14)))="T-Cutting","T-C",INDEX('[1]ATTENDANCE DAILY'!$I$4:$AM$663,$CC49,DAY(BD$14)))))),IFERROR(IF(_xlpm._r=0,"",_xlpm._r),""))</f>
        <v/>
      </c>
      <c r="BE49" s="101" t="str">
        <f>_xlfn.LET(_xlpm._r,_xlfn.SINGLE(IF(OR($CC49="",BE$14="",BE$14&lt;_xlfn.SINGLE(INDEX('[1]ATTENDANCE DAILY'!$AV$4:$AV$663,$CC49)),BE$14&gt;_xlfn.SINGLE(INDEX('[1]ATTENDANCE DAILY'!$AW$4:$AW$663,$CC49))),"",IF(_xlfn.SINGLE(INDEX('[1]ATTENDANCE DAILY'!$I$4:$AM$663,$CC49,DAY(BE$14)))="T-Late","T-L",IF(_xlfn.SINGLE(INDEX('[1]ATTENDANCE DAILY'!$I$4:$AM$663,$CC49,DAY(BE$14)))="T-Cutting","T-C",INDEX('[1]ATTENDANCE DAILY'!$I$4:$AM$663,$CC49,DAY(BE$14)))))),IFERROR(IF(_xlpm._r=0,"",_xlpm._r),""))</f>
        <v/>
      </c>
      <c r="BF49" s="102"/>
      <c r="BG49" s="102"/>
      <c r="BH49" s="103"/>
      <c r="BI49" s="105">
        <f>IF($CC49="","",INDEX('[1]ATTENDANCE DAILY'!$AR$4:$AR$663,$CC49))</f>
        <v>0</v>
      </c>
      <c r="BJ49" s="106"/>
      <c r="BK49" s="107"/>
      <c r="BL49" s="105">
        <f>IF($CC49="","",INDEX('[1]ATTENDANCE DAILY'!$AS$4:$AS$663,$CC49))</f>
        <v>23</v>
      </c>
      <c r="BM49" s="106"/>
      <c r="BN49" s="106"/>
      <c r="BO49" s="107"/>
      <c r="BP49" s="105" t="str">
        <f>IF($CC49="","",IF(INDEX('[1]ATTENDANCE DAILY'!$AN$4:$AN$663,$CC49)="","",INDEX('[1]ATTENDANCE DAILY'!$AN$4:$AN$663,$CC49)&amp;IF(INDEX('[1]ATTENDANCE DAILY'!$AO$4:$AO$663,$CC49)="",""," ("&amp;TEXT(INDEX('[1]ATTENDANCE DAILY'!$AO$4:$AO$663,$CC49),"mm-dd-yyyy")&amp;")")&amp;IF(INDEX('[1]ATTENDANCE DAILY'!$AP$4:$AP$663,$CC49)="",""," - "&amp;INDEX('[1]ATTENDANCE DAILY'!$AP$4:$AP$663,$CC49))))</f>
        <v/>
      </c>
      <c r="BQ49" s="106"/>
      <c r="BR49" s="106"/>
      <c r="BS49" s="106"/>
      <c r="BT49" s="106"/>
      <c r="BU49" s="106"/>
      <c r="BV49" s="106"/>
      <c r="BW49" s="106"/>
      <c r="BX49" s="106"/>
      <c r="BY49" s="106"/>
      <c r="BZ49" s="106"/>
      <c r="CA49" s="107"/>
      <c r="CC49">
        <f>IF(COUNTIFS('[1]ATTENDANCE DAILY'!$C$4:$C$663,$BN$11,'[1]ATTENDANCE DAILY'!$F$4:$F$663,"Female",'[1]ATTENDANCE DAILY'!$G$4:$G$663,1,'[1]ATTENDANCE DAILY'!$BA$4:$BA$663,6)=0,"",SUMIFS('[1]ATTENDANCE DAILY'!$A$4:$A$663,'[1]ATTENDANCE DAILY'!$C$4:$C$663,$BN$11,'[1]ATTENDANCE DAILY'!$F$4:$F$663,"Female",'[1]ATTENDANCE DAILY'!$G$4:$G$663,1,'[1]ATTENDANCE DAILY'!$BA$4:$BA$663,6))</f>
        <v>80</v>
      </c>
    </row>
    <row r="50" spans="1:81" ht="19.95" customHeight="1" thickTop="1" thickBot="1">
      <c r="A50" s="92">
        <v>7</v>
      </c>
      <c r="B50" s="93"/>
      <c r="C50" s="93"/>
      <c r="D50" s="93"/>
      <c r="E50" s="93"/>
      <c r="F50" s="94"/>
      <c r="G50" s="95" t="str">
        <f>IF($CC50="","",INDEX('[1]ATTENDANCE DAILY'!$E$4:$E$663,$CC50))</f>
        <v>INGAL, SHAINA KYLE PINEDA</v>
      </c>
      <c r="H50" s="96"/>
      <c r="I50" s="96"/>
      <c r="J50" s="97"/>
      <c r="K50" s="98" t="str">
        <f>_xlfn.LET(_xlpm._r,_xlfn.SINGLE(IF(OR($CC50="",K$14="",K$14&lt;_xlfn.SINGLE(INDEX('[1]ATTENDANCE DAILY'!$AV$4:$AV$663,$CC50)),K$14&gt;_xlfn.SINGLE(INDEX('[1]ATTENDANCE DAILY'!$AW$4:$AW$663,$CC50))),"",IF(_xlfn.SINGLE(INDEX('[1]ATTENDANCE DAILY'!$I$4:$AM$663,$CC50,DAY(K$14)))="T-Late","T-L",IF(_xlfn.SINGLE(INDEX('[1]ATTENDANCE DAILY'!$I$4:$AM$663,$CC50,DAY(K$14)))="T-Cutting","T-C",INDEX('[1]ATTENDANCE DAILY'!$I$4:$AM$663,$CC50,DAY(K$14)))))),IFERROR(IF(_xlpm._r=0,"",_xlpm._r),""))</f>
        <v/>
      </c>
      <c r="L50" s="99"/>
      <c r="M50" s="100" t="str">
        <f>_xlfn.LET(_xlpm._r,_xlfn.SINGLE(IF(OR($CC50="",M$14="",M$14&lt;_xlfn.SINGLE(INDEX('[1]ATTENDANCE DAILY'!$AV$4:$AV$663,$CC50)),M$14&gt;_xlfn.SINGLE(INDEX('[1]ATTENDANCE DAILY'!$AW$4:$AW$663,$CC50))),"",IF(_xlfn.SINGLE(INDEX('[1]ATTENDANCE DAILY'!$I$4:$AM$663,$CC50,DAY(M$14)))="T-Late","T-L",IF(_xlfn.SINGLE(INDEX('[1]ATTENDANCE DAILY'!$I$4:$AM$663,$CC50,DAY(M$14)))="T-Cutting","T-C",INDEX('[1]ATTENDANCE DAILY'!$I$4:$AM$663,$CC50,DAY(M$14)))))),IFERROR(IF(_xlpm._r=0,"",_xlpm._r),""))</f>
        <v/>
      </c>
      <c r="N50" s="100" t="str">
        <f>_xlfn.LET(_xlpm._r,_xlfn.SINGLE(IF(OR($CC50="",N$14="",N$14&lt;_xlfn.SINGLE(INDEX('[1]ATTENDANCE DAILY'!$AV$4:$AV$663,$CC50)),N$14&gt;_xlfn.SINGLE(INDEX('[1]ATTENDANCE DAILY'!$AW$4:$AW$663,$CC50))),"",IF(_xlfn.SINGLE(INDEX('[1]ATTENDANCE DAILY'!$I$4:$AM$663,$CC50,DAY(N$14)))="T-Late","T-L",IF(_xlfn.SINGLE(INDEX('[1]ATTENDANCE DAILY'!$I$4:$AM$663,$CC50,DAY(N$14)))="T-Cutting","T-C",INDEX('[1]ATTENDANCE DAILY'!$I$4:$AM$663,$CC50,DAY(N$14)))))),IFERROR(IF(_xlpm._r=0,"",_xlpm._r),""))</f>
        <v/>
      </c>
      <c r="O50" s="101" t="str">
        <f>_xlfn.LET(_xlpm._r,_xlfn.SINGLE(IF(OR($CC50="",O$14="",O$14&lt;_xlfn.SINGLE(INDEX('[1]ATTENDANCE DAILY'!$AV$4:$AV$663,$CC50)),O$14&gt;_xlfn.SINGLE(INDEX('[1]ATTENDANCE DAILY'!$AW$4:$AW$663,$CC50))),"",IF(_xlfn.SINGLE(INDEX('[1]ATTENDANCE DAILY'!$I$4:$AM$663,$CC50,DAY(O$14)))="T-Late","T-L",IF(_xlfn.SINGLE(INDEX('[1]ATTENDANCE DAILY'!$I$4:$AM$663,$CC50,DAY(O$14)))="T-Cutting","T-C",INDEX('[1]ATTENDANCE DAILY'!$I$4:$AM$663,$CC50,DAY(O$14)))))),IFERROR(IF(_xlpm._r=0,"",_xlpm._r),""))</f>
        <v/>
      </c>
      <c r="P50" s="102"/>
      <c r="Q50" s="102"/>
      <c r="R50" s="99"/>
      <c r="S50" s="101" t="str">
        <f>_xlfn.LET(_xlpm._r,_xlfn.SINGLE(IF(OR($CC50="",S$14="",S$14&lt;_xlfn.SINGLE(INDEX('[1]ATTENDANCE DAILY'!$AV$4:$AV$663,$CC50)),S$14&gt;_xlfn.SINGLE(INDEX('[1]ATTENDANCE DAILY'!$AW$4:$AW$663,$CC50))),"",IF(_xlfn.SINGLE(INDEX('[1]ATTENDANCE DAILY'!$I$4:$AM$663,$CC50,DAY(S$14)))="T-Late","T-L",IF(_xlfn.SINGLE(INDEX('[1]ATTENDANCE DAILY'!$I$4:$AM$663,$CC50,DAY(S$14)))="T-Cutting","T-C",INDEX('[1]ATTENDANCE DAILY'!$I$4:$AM$663,$CC50,DAY(S$14)))))),IFERROR(IF(_xlpm._r=0,"",_xlpm._r),""))</f>
        <v/>
      </c>
      <c r="T50" s="102"/>
      <c r="U50" s="103"/>
      <c r="V50" s="100" t="str">
        <f>_xlfn.LET(_xlpm._r,_xlfn.SINGLE(IF(OR($CC50="",V$14="",V$14&lt;_xlfn.SINGLE(INDEX('[1]ATTENDANCE DAILY'!$AV$4:$AV$663,$CC50)),V$14&gt;_xlfn.SINGLE(INDEX('[1]ATTENDANCE DAILY'!$AW$4:$AW$663,$CC50))),"",IF(_xlfn.SINGLE(INDEX('[1]ATTENDANCE DAILY'!$I$4:$AM$663,$CC50,DAY(V$14)))="T-Late","T-L",IF(_xlfn.SINGLE(INDEX('[1]ATTENDANCE DAILY'!$I$4:$AM$663,$CC50,DAY(V$14)))="T-Cutting","T-C",INDEX('[1]ATTENDANCE DAILY'!$I$4:$AM$663,$CC50,DAY(V$14)))))),IFERROR(IF(_xlpm._r=0,"",_xlpm._r),""))</f>
        <v/>
      </c>
      <c r="W50" s="101" t="str">
        <f>_xlfn.LET(_xlpm._r,_xlfn.SINGLE(IF(OR($CC50="",W$14="",W$14&lt;_xlfn.SINGLE(INDEX('[1]ATTENDANCE DAILY'!$AV$4:$AV$663,$CC50)),W$14&gt;_xlfn.SINGLE(INDEX('[1]ATTENDANCE DAILY'!$AW$4:$AW$663,$CC50))),"",IF(_xlfn.SINGLE(INDEX('[1]ATTENDANCE DAILY'!$I$4:$AM$663,$CC50,DAY(W$14)))="T-Late","T-L",IF(_xlfn.SINGLE(INDEX('[1]ATTENDANCE DAILY'!$I$4:$AM$663,$CC50,DAY(W$14)))="T-Cutting","T-C",INDEX('[1]ATTENDANCE DAILY'!$I$4:$AM$663,$CC50,DAY(W$14)))))),IFERROR(IF(_xlpm._r=0,"",_xlpm._r),""))</f>
        <v/>
      </c>
      <c r="X50" s="102"/>
      <c r="Y50" s="99"/>
      <c r="Z50" s="100" t="str">
        <f>_xlfn.LET(_xlpm._r,_xlfn.SINGLE(IF(OR($CC50="",Z$14="",Z$14&lt;_xlfn.SINGLE(INDEX('[1]ATTENDANCE DAILY'!$AV$4:$AV$663,$CC50)),Z$14&gt;_xlfn.SINGLE(INDEX('[1]ATTENDANCE DAILY'!$AW$4:$AW$663,$CC50))),"",IF(_xlfn.SINGLE(INDEX('[1]ATTENDANCE DAILY'!$I$4:$AM$663,$CC50,DAY(Z$14)))="T-Late","T-L",IF(_xlfn.SINGLE(INDEX('[1]ATTENDANCE DAILY'!$I$4:$AM$663,$CC50,DAY(Z$14)))="T-Cutting","T-C",INDEX('[1]ATTENDANCE DAILY'!$I$4:$AM$663,$CC50,DAY(Z$14)))))),IFERROR(IF(_xlpm._r=0,"",_xlpm._r),""))</f>
        <v/>
      </c>
      <c r="AA50" s="100" t="str">
        <f>_xlfn.LET(_xlpm._r,_xlfn.SINGLE(IF(OR($CC50="",AA$14="",AA$14&lt;_xlfn.SINGLE(INDEX('[1]ATTENDANCE DAILY'!$AV$4:$AV$663,$CC50)),AA$14&gt;_xlfn.SINGLE(INDEX('[1]ATTENDANCE DAILY'!$AW$4:$AW$663,$CC50))),"",IF(_xlfn.SINGLE(INDEX('[1]ATTENDANCE DAILY'!$I$4:$AM$663,$CC50,DAY(AA$14)))="T-Late","T-L",IF(_xlfn.SINGLE(INDEX('[1]ATTENDANCE DAILY'!$I$4:$AM$663,$CC50,DAY(AA$14)))="T-Cutting","T-C",INDEX('[1]ATTENDANCE DAILY'!$I$4:$AM$663,$CC50,DAY(AA$14)))))),IFERROR(IF(_xlpm._r=0,"",_xlpm._r),""))</f>
        <v/>
      </c>
      <c r="AB50" s="101" t="str">
        <f>_xlfn.LET(_xlpm._r,_xlfn.SINGLE(IF(OR($CC50="",AB$14="",AB$14&lt;_xlfn.SINGLE(INDEX('[1]ATTENDANCE DAILY'!$AV$4:$AV$663,$CC50)),AB$14&gt;_xlfn.SINGLE(INDEX('[1]ATTENDANCE DAILY'!$AW$4:$AW$663,$CC50))),"",IF(_xlfn.SINGLE(INDEX('[1]ATTENDANCE DAILY'!$I$4:$AM$663,$CC50,DAY(AB$14)))="T-Late","T-L",IF(_xlfn.SINGLE(INDEX('[1]ATTENDANCE DAILY'!$I$4:$AM$663,$CC50,DAY(AB$14)))="T-Cutting","T-C",INDEX('[1]ATTENDANCE DAILY'!$I$4:$AM$663,$CC50,DAY(AB$14)))))),IFERROR(IF(_xlpm._r=0,"",_xlpm._r),""))</f>
        <v/>
      </c>
      <c r="AC50" s="102"/>
      <c r="AD50" s="103"/>
      <c r="AE50" s="101" t="str">
        <f>_xlfn.LET(_xlpm._r,_xlfn.SINGLE(IF(OR($CC50="",AE$14="",AE$14&lt;_xlfn.SINGLE(INDEX('[1]ATTENDANCE DAILY'!$AV$4:$AV$663,$CC50)),AE$14&gt;_xlfn.SINGLE(INDEX('[1]ATTENDANCE DAILY'!$AW$4:$AW$663,$CC50))),"",IF(_xlfn.SINGLE(INDEX('[1]ATTENDANCE DAILY'!$I$4:$AM$663,$CC50,DAY(AE$14)))="T-Late","T-L",IF(_xlfn.SINGLE(INDEX('[1]ATTENDANCE DAILY'!$I$4:$AM$663,$CC50,DAY(AE$14)))="T-Cutting","T-C",INDEX('[1]ATTENDANCE DAILY'!$I$4:$AM$663,$CC50,DAY(AE$14)))))),IFERROR(IF(_xlpm._r=0,"",_xlpm._r),""))</f>
        <v/>
      </c>
      <c r="AF50" s="102"/>
      <c r="AG50" s="99"/>
      <c r="AH50" s="100" t="str">
        <f>_xlfn.LET(_xlpm._r,_xlfn.SINGLE(IF(OR($CC50="",AH$14="",AH$14&lt;_xlfn.SINGLE(INDEX('[1]ATTENDANCE DAILY'!$AV$4:$AV$663,$CC50)),AH$14&gt;_xlfn.SINGLE(INDEX('[1]ATTENDANCE DAILY'!$AW$4:$AW$663,$CC50))),"",IF(_xlfn.SINGLE(INDEX('[1]ATTENDANCE DAILY'!$I$4:$AM$663,$CC50,DAY(AH$14)))="T-Late","T-L",IF(_xlfn.SINGLE(INDEX('[1]ATTENDANCE DAILY'!$I$4:$AM$663,$CC50,DAY(AH$14)))="T-Cutting","T-C",INDEX('[1]ATTENDANCE DAILY'!$I$4:$AM$663,$CC50,DAY(AH$14)))))),IFERROR(IF(_xlpm._r=0,"",_xlpm._r),""))</f>
        <v/>
      </c>
      <c r="AI50" s="101" t="str">
        <f>_xlfn.LET(_xlpm._r,_xlfn.SINGLE(IF(OR($CC50="",AI$14="",AI$14&lt;_xlfn.SINGLE(INDEX('[1]ATTENDANCE DAILY'!$AV$4:$AV$663,$CC50)),AI$14&gt;_xlfn.SINGLE(INDEX('[1]ATTENDANCE DAILY'!$AW$4:$AW$663,$CC50))),"",IF(_xlfn.SINGLE(INDEX('[1]ATTENDANCE DAILY'!$I$4:$AM$663,$CC50,DAY(AI$14)))="T-Late","T-L",IF(_xlfn.SINGLE(INDEX('[1]ATTENDANCE DAILY'!$I$4:$AM$663,$CC50,DAY(AI$14)))="T-Cutting","T-C",INDEX('[1]ATTENDANCE DAILY'!$I$4:$AM$663,$CC50,DAY(AI$14)))))),IFERROR(IF(_xlpm._r=0,"",_xlpm._r),""))</f>
        <v/>
      </c>
      <c r="AJ50" s="102"/>
      <c r="AK50" s="99"/>
      <c r="AL50" s="101" t="str">
        <f>_xlfn.LET(_xlpm._r,_xlfn.SINGLE(IF(OR($CC50="",AL$14="",AL$14&lt;_xlfn.SINGLE(INDEX('[1]ATTENDANCE DAILY'!$AV$4:$AV$663,$CC50)),AL$14&gt;_xlfn.SINGLE(INDEX('[1]ATTENDANCE DAILY'!$AW$4:$AW$663,$CC50))),"",IF(_xlfn.SINGLE(INDEX('[1]ATTENDANCE DAILY'!$I$4:$AM$663,$CC50,DAY(AL$14)))="T-Late","T-L",IF(_xlfn.SINGLE(INDEX('[1]ATTENDANCE DAILY'!$I$4:$AM$663,$CC50,DAY(AL$14)))="T-Cutting","T-C",INDEX('[1]ATTENDANCE DAILY'!$I$4:$AM$663,$CC50,DAY(AL$14)))))),IFERROR(IF(_xlpm._r=0,"",_xlpm._r),""))</f>
        <v/>
      </c>
      <c r="AM50" s="99"/>
      <c r="AN50" s="101" t="str">
        <f>_xlfn.LET(_xlpm._r,_xlfn.SINGLE(IF(OR($CC50="",AN$14="",AN$14&lt;_xlfn.SINGLE(INDEX('[1]ATTENDANCE DAILY'!$AV$4:$AV$663,$CC50)),AN$14&gt;_xlfn.SINGLE(INDEX('[1]ATTENDANCE DAILY'!$AW$4:$AW$663,$CC50))),"",IF(_xlfn.SINGLE(INDEX('[1]ATTENDANCE DAILY'!$I$4:$AM$663,$CC50,DAY(AN$14)))="T-Late","T-L",IF(_xlfn.SINGLE(INDEX('[1]ATTENDANCE DAILY'!$I$4:$AM$663,$CC50,DAY(AN$14)))="T-Cutting","T-C",INDEX('[1]ATTENDANCE DAILY'!$I$4:$AM$663,$CC50,DAY(AN$14)))))),IFERROR(IF(_xlpm._r=0,"",_xlpm._r),""))</f>
        <v/>
      </c>
      <c r="AO50" s="103"/>
      <c r="AP50" s="101" t="str">
        <f>_xlfn.LET(_xlpm._r,_xlfn.SINGLE(IF(OR($CC50="",AP$14="",AP$14&lt;_xlfn.SINGLE(INDEX('[1]ATTENDANCE DAILY'!$AV$4:$AV$663,$CC50)),AP$14&gt;_xlfn.SINGLE(INDEX('[1]ATTENDANCE DAILY'!$AW$4:$AW$663,$CC50))),"",IF(_xlfn.SINGLE(INDEX('[1]ATTENDANCE DAILY'!$I$4:$AM$663,$CC50,DAY(AP$14)))="T-Late","T-L",IF(_xlfn.SINGLE(INDEX('[1]ATTENDANCE DAILY'!$I$4:$AM$663,$CC50,DAY(AP$14)))="T-Cutting","T-C",INDEX('[1]ATTENDANCE DAILY'!$I$4:$AM$663,$CC50,DAY(AP$14)))))),IFERROR(IF(_xlpm._r=0,"",_xlpm._r),""))</f>
        <v/>
      </c>
      <c r="AQ50" s="99"/>
      <c r="AR50" s="100" t="str">
        <f>_xlfn.LET(_xlpm._r,_xlfn.SINGLE(IF(OR($CC50="",AR$14="",AR$14&lt;_xlfn.SINGLE(INDEX('[1]ATTENDANCE DAILY'!$AV$4:$AV$663,$CC50)),AR$14&gt;_xlfn.SINGLE(INDEX('[1]ATTENDANCE DAILY'!$AW$4:$AW$663,$CC50))),"",IF(_xlfn.SINGLE(INDEX('[1]ATTENDANCE DAILY'!$I$4:$AM$663,$CC50,DAY(AR$14)))="T-Late","T-L",IF(_xlfn.SINGLE(INDEX('[1]ATTENDANCE DAILY'!$I$4:$AM$663,$CC50,DAY(AR$14)))="T-Cutting","T-C",INDEX('[1]ATTENDANCE DAILY'!$I$4:$AM$663,$CC50,DAY(AR$14)))))),IFERROR(IF(_xlpm._r=0,"",_xlpm._r),""))</f>
        <v/>
      </c>
      <c r="AS50" s="101" t="str">
        <f>_xlfn.LET(_xlpm._r,_xlfn.SINGLE(IF(OR($CC50="",AS$14="",AS$14&lt;_xlfn.SINGLE(INDEX('[1]ATTENDANCE DAILY'!$AV$4:$AV$663,$CC50)),AS$14&gt;_xlfn.SINGLE(INDEX('[1]ATTENDANCE DAILY'!$AW$4:$AW$663,$CC50))),"",IF(_xlfn.SINGLE(INDEX('[1]ATTENDANCE DAILY'!$I$4:$AM$663,$CC50,DAY(AS$14)))="T-Late","T-L",IF(_xlfn.SINGLE(INDEX('[1]ATTENDANCE DAILY'!$I$4:$AM$663,$CC50,DAY(AS$14)))="T-Cutting","T-C",INDEX('[1]ATTENDANCE DAILY'!$I$4:$AM$663,$CC50,DAY(AS$14)))))),IFERROR(IF(_xlpm._r=0,"",_xlpm._r),""))</f>
        <v/>
      </c>
      <c r="AT50" s="99"/>
      <c r="AU50" s="100" t="str">
        <f>_xlfn.LET(_xlpm._r,_xlfn.SINGLE(IF(OR($CC50="",AU$14="",AU$14&lt;_xlfn.SINGLE(INDEX('[1]ATTENDANCE DAILY'!$AV$4:$AV$663,$CC50)),AU$14&gt;_xlfn.SINGLE(INDEX('[1]ATTENDANCE DAILY'!$AW$4:$AW$663,$CC50))),"",IF(_xlfn.SINGLE(INDEX('[1]ATTENDANCE DAILY'!$I$4:$AM$663,$CC50,DAY(AU$14)))="T-Late","T-L",IF(_xlfn.SINGLE(INDEX('[1]ATTENDANCE DAILY'!$I$4:$AM$663,$CC50,DAY(AU$14)))="T-Cutting","T-C",INDEX('[1]ATTENDANCE DAILY'!$I$4:$AM$663,$CC50,DAY(AU$14)))))),IFERROR(IF(_xlpm._r=0,"",_xlpm._r),""))</f>
        <v/>
      </c>
      <c r="AV50" s="104" t="str">
        <f>_xlfn.LET(_xlpm._r,_xlfn.SINGLE(IF(OR($CC50="",AV$14="",AV$14&lt;_xlfn.SINGLE(INDEX('[1]ATTENDANCE DAILY'!$AV$4:$AV$663,$CC50)),AV$14&gt;_xlfn.SINGLE(INDEX('[1]ATTENDANCE DAILY'!$AW$4:$AW$663,$CC50))),"",IF(_xlfn.SINGLE(INDEX('[1]ATTENDANCE DAILY'!$I$4:$AM$663,$CC50,DAY(AV$14)))="T-Late","T-L",IF(_xlfn.SINGLE(INDEX('[1]ATTENDANCE DAILY'!$I$4:$AM$663,$CC50,DAY(AV$14)))="T-Cutting","T-C",INDEX('[1]ATTENDANCE DAILY'!$I$4:$AM$663,$CC50,DAY(AV$14)))))),IFERROR(IF(_xlpm._r=0,"",_xlpm._r),""))</f>
        <v/>
      </c>
      <c r="AW50" s="101" t="str">
        <f>_xlfn.LET(_xlpm._r,_xlfn.SINGLE(IF(OR($CC50="",AW$14="",AW$14&lt;_xlfn.SINGLE(INDEX('[1]ATTENDANCE DAILY'!$AV$4:$AV$663,$CC50)),AW$14&gt;_xlfn.SINGLE(INDEX('[1]ATTENDANCE DAILY'!$AW$4:$AW$663,$CC50))),"",IF(_xlfn.SINGLE(INDEX('[1]ATTENDANCE DAILY'!$I$4:$AM$663,$CC50,DAY(AW$14)))="T-Late","T-L",IF(_xlfn.SINGLE(INDEX('[1]ATTENDANCE DAILY'!$I$4:$AM$663,$CC50,DAY(AW$14)))="T-Cutting","T-C",INDEX('[1]ATTENDANCE DAILY'!$I$4:$AM$663,$CC50,DAY(AW$14)))))),IFERROR(IF(_xlpm._r=0,"",_xlpm._r),""))</f>
        <v/>
      </c>
      <c r="AX50" s="99"/>
      <c r="AY50" s="101" t="str">
        <f>_xlfn.LET(_xlpm._r,_xlfn.SINGLE(IF(OR($CC50="",AY$14="",AY$14&lt;_xlfn.SINGLE(INDEX('[1]ATTENDANCE DAILY'!$AV$4:$AV$663,$CC50)),AY$14&gt;_xlfn.SINGLE(INDEX('[1]ATTENDANCE DAILY'!$AW$4:$AW$663,$CC50))),"",IF(_xlfn.SINGLE(INDEX('[1]ATTENDANCE DAILY'!$I$4:$AM$663,$CC50,DAY(AY$14)))="T-Late","T-L",IF(_xlfn.SINGLE(INDEX('[1]ATTENDANCE DAILY'!$I$4:$AM$663,$CC50,DAY(AY$14)))="T-Cutting","T-C",INDEX('[1]ATTENDANCE DAILY'!$I$4:$AM$663,$CC50,DAY(AY$14)))))),IFERROR(IF(_xlpm._r=0,"",_xlpm._r),""))</f>
        <v/>
      </c>
      <c r="AZ50" s="102"/>
      <c r="BA50" s="99"/>
      <c r="BB50" s="101" t="str">
        <f>_xlfn.LET(_xlpm._r,_xlfn.SINGLE(IF(OR($CC50="",BB$14="",BB$14&lt;_xlfn.SINGLE(INDEX('[1]ATTENDANCE DAILY'!$AV$4:$AV$663,$CC50)),BB$14&gt;_xlfn.SINGLE(INDEX('[1]ATTENDANCE DAILY'!$AW$4:$AW$663,$CC50))),"",IF(_xlfn.SINGLE(INDEX('[1]ATTENDANCE DAILY'!$I$4:$AM$663,$CC50,DAY(BB$14)))="T-Late","T-L",IF(_xlfn.SINGLE(INDEX('[1]ATTENDANCE DAILY'!$I$4:$AM$663,$CC50,DAY(BB$14)))="T-Cutting","T-C",INDEX('[1]ATTENDANCE DAILY'!$I$4:$AM$663,$CC50,DAY(BB$14)))))),IFERROR(IF(_xlpm._r=0,"",_xlpm._r),""))</f>
        <v/>
      </c>
      <c r="BC50" s="99"/>
      <c r="BD50" s="100" t="str">
        <f>_xlfn.LET(_xlpm._r,_xlfn.SINGLE(IF(OR($CC50="",BD$14="",BD$14&lt;_xlfn.SINGLE(INDEX('[1]ATTENDANCE DAILY'!$AV$4:$AV$663,$CC50)),BD$14&gt;_xlfn.SINGLE(INDEX('[1]ATTENDANCE DAILY'!$AW$4:$AW$663,$CC50))),"",IF(_xlfn.SINGLE(INDEX('[1]ATTENDANCE DAILY'!$I$4:$AM$663,$CC50,DAY(BD$14)))="T-Late","T-L",IF(_xlfn.SINGLE(INDEX('[1]ATTENDANCE DAILY'!$I$4:$AM$663,$CC50,DAY(BD$14)))="T-Cutting","T-C",INDEX('[1]ATTENDANCE DAILY'!$I$4:$AM$663,$CC50,DAY(BD$14)))))),IFERROR(IF(_xlpm._r=0,"",_xlpm._r),""))</f>
        <v/>
      </c>
      <c r="BE50" s="101" t="str">
        <f>_xlfn.LET(_xlpm._r,_xlfn.SINGLE(IF(OR($CC50="",BE$14="",BE$14&lt;_xlfn.SINGLE(INDEX('[1]ATTENDANCE DAILY'!$AV$4:$AV$663,$CC50)),BE$14&gt;_xlfn.SINGLE(INDEX('[1]ATTENDANCE DAILY'!$AW$4:$AW$663,$CC50))),"",IF(_xlfn.SINGLE(INDEX('[1]ATTENDANCE DAILY'!$I$4:$AM$663,$CC50,DAY(BE$14)))="T-Late","T-L",IF(_xlfn.SINGLE(INDEX('[1]ATTENDANCE DAILY'!$I$4:$AM$663,$CC50,DAY(BE$14)))="T-Cutting","T-C",INDEX('[1]ATTENDANCE DAILY'!$I$4:$AM$663,$CC50,DAY(BE$14)))))),IFERROR(IF(_xlpm._r=0,"",_xlpm._r),""))</f>
        <v/>
      </c>
      <c r="BF50" s="102"/>
      <c r="BG50" s="102"/>
      <c r="BH50" s="103"/>
      <c r="BI50" s="105">
        <f>IF($CC50="","",INDEX('[1]ATTENDANCE DAILY'!$AR$4:$AR$663,$CC50))</f>
        <v>0</v>
      </c>
      <c r="BJ50" s="106"/>
      <c r="BK50" s="107"/>
      <c r="BL50" s="105">
        <f>IF($CC50="","",INDEX('[1]ATTENDANCE DAILY'!$AS$4:$AS$663,$CC50))</f>
        <v>23</v>
      </c>
      <c r="BM50" s="106"/>
      <c r="BN50" s="106"/>
      <c r="BO50" s="107"/>
      <c r="BP50" s="105" t="str">
        <f>IF($CC50="","",IF(INDEX('[1]ATTENDANCE DAILY'!$AN$4:$AN$663,$CC50)="","",INDEX('[1]ATTENDANCE DAILY'!$AN$4:$AN$663,$CC50)&amp;IF(INDEX('[1]ATTENDANCE DAILY'!$AO$4:$AO$663,$CC50)="",""," ("&amp;TEXT(INDEX('[1]ATTENDANCE DAILY'!$AO$4:$AO$663,$CC50),"mm-dd-yyyy")&amp;")")&amp;IF(INDEX('[1]ATTENDANCE DAILY'!$AP$4:$AP$663,$CC50)="",""," - "&amp;INDEX('[1]ATTENDANCE DAILY'!$AP$4:$AP$663,$CC50))))</f>
        <v/>
      </c>
      <c r="BQ50" s="106"/>
      <c r="BR50" s="106"/>
      <c r="BS50" s="106"/>
      <c r="BT50" s="106"/>
      <c r="BU50" s="106"/>
      <c r="BV50" s="106"/>
      <c r="BW50" s="106"/>
      <c r="BX50" s="106"/>
      <c r="BY50" s="106"/>
      <c r="BZ50" s="106"/>
      <c r="CA50" s="107"/>
      <c r="CC50">
        <f>IF(COUNTIFS('[1]ATTENDANCE DAILY'!$C$4:$C$663,$BN$11,'[1]ATTENDANCE DAILY'!$F$4:$F$663,"Female",'[1]ATTENDANCE DAILY'!$G$4:$G$663,1,'[1]ATTENDANCE DAILY'!$BA$4:$BA$663,7)=0,"",SUMIFS('[1]ATTENDANCE DAILY'!$A$4:$A$663,'[1]ATTENDANCE DAILY'!$C$4:$C$663,$BN$11,'[1]ATTENDANCE DAILY'!$F$4:$F$663,"Female",'[1]ATTENDANCE DAILY'!$G$4:$G$663,1,'[1]ATTENDANCE DAILY'!$BA$4:$BA$663,7))</f>
        <v>81</v>
      </c>
    </row>
    <row r="51" spans="1:81" ht="19.95" customHeight="1" thickTop="1" thickBot="1">
      <c r="A51" s="92">
        <v>8</v>
      </c>
      <c r="B51" s="93"/>
      <c r="C51" s="93"/>
      <c r="D51" s="93"/>
      <c r="E51" s="93"/>
      <c r="F51" s="94"/>
      <c r="G51" s="95" t="str">
        <f>IF($CC51="","",INDEX('[1]ATTENDANCE DAILY'!$E$4:$E$663,$CC51))</f>
        <v>MACAPODI, AINA MANGUNTAWAR</v>
      </c>
      <c r="H51" s="96"/>
      <c r="I51" s="96"/>
      <c r="J51" s="97"/>
      <c r="K51" s="98" t="str">
        <f>_xlfn.LET(_xlpm._r,_xlfn.SINGLE(IF(OR($CC51="",K$14="",K$14&lt;_xlfn.SINGLE(INDEX('[1]ATTENDANCE DAILY'!$AV$4:$AV$663,$CC51)),K$14&gt;_xlfn.SINGLE(INDEX('[1]ATTENDANCE DAILY'!$AW$4:$AW$663,$CC51))),"",IF(_xlfn.SINGLE(INDEX('[1]ATTENDANCE DAILY'!$I$4:$AM$663,$CC51,DAY(K$14)))="T-Late","T-L",IF(_xlfn.SINGLE(INDEX('[1]ATTENDANCE DAILY'!$I$4:$AM$663,$CC51,DAY(K$14)))="T-Cutting","T-C",INDEX('[1]ATTENDANCE DAILY'!$I$4:$AM$663,$CC51,DAY(K$14)))))),IFERROR(IF(_xlpm._r=0,"",_xlpm._r),""))</f>
        <v/>
      </c>
      <c r="L51" s="99"/>
      <c r="M51" s="100" t="str">
        <f>_xlfn.LET(_xlpm._r,_xlfn.SINGLE(IF(OR($CC51="",M$14="",M$14&lt;_xlfn.SINGLE(INDEX('[1]ATTENDANCE DAILY'!$AV$4:$AV$663,$CC51)),M$14&gt;_xlfn.SINGLE(INDEX('[1]ATTENDANCE DAILY'!$AW$4:$AW$663,$CC51))),"",IF(_xlfn.SINGLE(INDEX('[1]ATTENDANCE DAILY'!$I$4:$AM$663,$CC51,DAY(M$14)))="T-Late","T-L",IF(_xlfn.SINGLE(INDEX('[1]ATTENDANCE DAILY'!$I$4:$AM$663,$CC51,DAY(M$14)))="T-Cutting","T-C",INDEX('[1]ATTENDANCE DAILY'!$I$4:$AM$663,$CC51,DAY(M$14)))))),IFERROR(IF(_xlpm._r=0,"",_xlpm._r),""))</f>
        <v/>
      </c>
      <c r="N51" s="100" t="str">
        <f>_xlfn.LET(_xlpm._r,_xlfn.SINGLE(IF(OR($CC51="",N$14="",N$14&lt;_xlfn.SINGLE(INDEX('[1]ATTENDANCE DAILY'!$AV$4:$AV$663,$CC51)),N$14&gt;_xlfn.SINGLE(INDEX('[1]ATTENDANCE DAILY'!$AW$4:$AW$663,$CC51))),"",IF(_xlfn.SINGLE(INDEX('[1]ATTENDANCE DAILY'!$I$4:$AM$663,$CC51,DAY(N$14)))="T-Late","T-L",IF(_xlfn.SINGLE(INDEX('[1]ATTENDANCE DAILY'!$I$4:$AM$663,$CC51,DAY(N$14)))="T-Cutting","T-C",INDEX('[1]ATTENDANCE DAILY'!$I$4:$AM$663,$CC51,DAY(N$14)))))),IFERROR(IF(_xlpm._r=0,"",_xlpm._r),""))</f>
        <v/>
      </c>
      <c r="O51" s="101" t="str">
        <f>_xlfn.LET(_xlpm._r,_xlfn.SINGLE(IF(OR($CC51="",O$14="",O$14&lt;_xlfn.SINGLE(INDEX('[1]ATTENDANCE DAILY'!$AV$4:$AV$663,$CC51)),O$14&gt;_xlfn.SINGLE(INDEX('[1]ATTENDANCE DAILY'!$AW$4:$AW$663,$CC51))),"",IF(_xlfn.SINGLE(INDEX('[1]ATTENDANCE DAILY'!$I$4:$AM$663,$CC51,DAY(O$14)))="T-Late","T-L",IF(_xlfn.SINGLE(INDEX('[1]ATTENDANCE DAILY'!$I$4:$AM$663,$CC51,DAY(O$14)))="T-Cutting","T-C",INDEX('[1]ATTENDANCE DAILY'!$I$4:$AM$663,$CC51,DAY(O$14)))))),IFERROR(IF(_xlpm._r=0,"",_xlpm._r),""))</f>
        <v/>
      </c>
      <c r="P51" s="102"/>
      <c r="Q51" s="102"/>
      <c r="R51" s="99"/>
      <c r="S51" s="101" t="str">
        <f>_xlfn.LET(_xlpm._r,_xlfn.SINGLE(IF(OR($CC51="",S$14="",S$14&lt;_xlfn.SINGLE(INDEX('[1]ATTENDANCE DAILY'!$AV$4:$AV$663,$CC51)),S$14&gt;_xlfn.SINGLE(INDEX('[1]ATTENDANCE DAILY'!$AW$4:$AW$663,$CC51))),"",IF(_xlfn.SINGLE(INDEX('[1]ATTENDANCE DAILY'!$I$4:$AM$663,$CC51,DAY(S$14)))="T-Late","T-L",IF(_xlfn.SINGLE(INDEX('[1]ATTENDANCE DAILY'!$I$4:$AM$663,$CC51,DAY(S$14)))="T-Cutting","T-C",INDEX('[1]ATTENDANCE DAILY'!$I$4:$AM$663,$CC51,DAY(S$14)))))),IFERROR(IF(_xlpm._r=0,"",_xlpm._r),""))</f>
        <v/>
      </c>
      <c r="T51" s="102"/>
      <c r="U51" s="103"/>
      <c r="V51" s="100" t="str">
        <f>_xlfn.LET(_xlpm._r,_xlfn.SINGLE(IF(OR($CC51="",V$14="",V$14&lt;_xlfn.SINGLE(INDEX('[1]ATTENDANCE DAILY'!$AV$4:$AV$663,$CC51)),V$14&gt;_xlfn.SINGLE(INDEX('[1]ATTENDANCE DAILY'!$AW$4:$AW$663,$CC51))),"",IF(_xlfn.SINGLE(INDEX('[1]ATTENDANCE DAILY'!$I$4:$AM$663,$CC51,DAY(V$14)))="T-Late","T-L",IF(_xlfn.SINGLE(INDEX('[1]ATTENDANCE DAILY'!$I$4:$AM$663,$CC51,DAY(V$14)))="T-Cutting","T-C",INDEX('[1]ATTENDANCE DAILY'!$I$4:$AM$663,$CC51,DAY(V$14)))))),IFERROR(IF(_xlpm._r=0,"",_xlpm._r),""))</f>
        <v/>
      </c>
      <c r="W51" s="101" t="str">
        <f>_xlfn.LET(_xlpm._r,_xlfn.SINGLE(IF(OR($CC51="",W$14="",W$14&lt;_xlfn.SINGLE(INDEX('[1]ATTENDANCE DAILY'!$AV$4:$AV$663,$CC51)),W$14&gt;_xlfn.SINGLE(INDEX('[1]ATTENDANCE DAILY'!$AW$4:$AW$663,$CC51))),"",IF(_xlfn.SINGLE(INDEX('[1]ATTENDANCE DAILY'!$I$4:$AM$663,$CC51,DAY(W$14)))="T-Late","T-L",IF(_xlfn.SINGLE(INDEX('[1]ATTENDANCE DAILY'!$I$4:$AM$663,$CC51,DAY(W$14)))="T-Cutting","T-C",INDEX('[1]ATTENDANCE DAILY'!$I$4:$AM$663,$CC51,DAY(W$14)))))),IFERROR(IF(_xlpm._r=0,"",_xlpm._r),""))</f>
        <v/>
      </c>
      <c r="X51" s="102"/>
      <c r="Y51" s="99"/>
      <c r="Z51" s="100" t="str">
        <f>_xlfn.LET(_xlpm._r,_xlfn.SINGLE(IF(OR($CC51="",Z$14="",Z$14&lt;_xlfn.SINGLE(INDEX('[1]ATTENDANCE DAILY'!$AV$4:$AV$663,$CC51)),Z$14&gt;_xlfn.SINGLE(INDEX('[1]ATTENDANCE DAILY'!$AW$4:$AW$663,$CC51))),"",IF(_xlfn.SINGLE(INDEX('[1]ATTENDANCE DAILY'!$I$4:$AM$663,$CC51,DAY(Z$14)))="T-Late","T-L",IF(_xlfn.SINGLE(INDEX('[1]ATTENDANCE DAILY'!$I$4:$AM$663,$CC51,DAY(Z$14)))="T-Cutting","T-C",INDEX('[1]ATTENDANCE DAILY'!$I$4:$AM$663,$CC51,DAY(Z$14)))))),IFERROR(IF(_xlpm._r=0,"",_xlpm._r),""))</f>
        <v/>
      </c>
      <c r="AA51" s="100" t="str">
        <f>_xlfn.LET(_xlpm._r,_xlfn.SINGLE(IF(OR($CC51="",AA$14="",AA$14&lt;_xlfn.SINGLE(INDEX('[1]ATTENDANCE DAILY'!$AV$4:$AV$663,$CC51)),AA$14&gt;_xlfn.SINGLE(INDEX('[1]ATTENDANCE DAILY'!$AW$4:$AW$663,$CC51))),"",IF(_xlfn.SINGLE(INDEX('[1]ATTENDANCE DAILY'!$I$4:$AM$663,$CC51,DAY(AA$14)))="T-Late","T-L",IF(_xlfn.SINGLE(INDEX('[1]ATTENDANCE DAILY'!$I$4:$AM$663,$CC51,DAY(AA$14)))="T-Cutting","T-C",INDEX('[1]ATTENDANCE DAILY'!$I$4:$AM$663,$CC51,DAY(AA$14)))))),IFERROR(IF(_xlpm._r=0,"",_xlpm._r),""))</f>
        <v/>
      </c>
      <c r="AB51" s="101" t="str">
        <f>_xlfn.LET(_xlpm._r,_xlfn.SINGLE(IF(OR($CC51="",AB$14="",AB$14&lt;_xlfn.SINGLE(INDEX('[1]ATTENDANCE DAILY'!$AV$4:$AV$663,$CC51)),AB$14&gt;_xlfn.SINGLE(INDEX('[1]ATTENDANCE DAILY'!$AW$4:$AW$663,$CC51))),"",IF(_xlfn.SINGLE(INDEX('[1]ATTENDANCE DAILY'!$I$4:$AM$663,$CC51,DAY(AB$14)))="T-Late","T-L",IF(_xlfn.SINGLE(INDEX('[1]ATTENDANCE DAILY'!$I$4:$AM$663,$CC51,DAY(AB$14)))="T-Cutting","T-C",INDEX('[1]ATTENDANCE DAILY'!$I$4:$AM$663,$CC51,DAY(AB$14)))))),IFERROR(IF(_xlpm._r=0,"",_xlpm._r),""))</f>
        <v/>
      </c>
      <c r="AC51" s="102"/>
      <c r="AD51" s="103"/>
      <c r="AE51" s="101" t="str">
        <f>_xlfn.LET(_xlpm._r,_xlfn.SINGLE(IF(OR($CC51="",AE$14="",AE$14&lt;_xlfn.SINGLE(INDEX('[1]ATTENDANCE DAILY'!$AV$4:$AV$663,$CC51)),AE$14&gt;_xlfn.SINGLE(INDEX('[1]ATTENDANCE DAILY'!$AW$4:$AW$663,$CC51))),"",IF(_xlfn.SINGLE(INDEX('[1]ATTENDANCE DAILY'!$I$4:$AM$663,$CC51,DAY(AE$14)))="T-Late","T-L",IF(_xlfn.SINGLE(INDEX('[1]ATTENDANCE DAILY'!$I$4:$AM$663,$CC51,DAY(AE$14)))="T-Cutting","T-C",INDEX('[1]ATTENDANCE DAILY'!$I$4:$AM$663,$CC51,DAY(AE$14)))))),IFERROR(IF(_xlpm._r=0,"",_xlpm._r),""))</f>
        <v/>
      </c>
      <c r="AF51" s="102"/>
      <c r="AG51" s="99"/>
      <c r="AH51" s="100" t="str">
        <f>_xlfn.LET(_xlpm._r,_xlfn.SINGLE(IF(OR($CC51="",AH$14="",AH$14&lt;_xlfn.SINGLE(INDEX('[1]ATTENDANCE DAILY'!$AV$4:$AV$663,$CC51)),AH$14&gt;_xlfn.SINGLE(INDEX('[1]ATTENDANCE DAILY'!$AW$4:$AW$663,$CC51))),"",IF(_xlfn.SINGLE(INDEX('[1]ATTENDANCE DAILY'!$I$4:$AM$663,$CC51,DAY(AH$14)))="T-Late","T-L",IF(_xlfn.SINGLE(INDEX('[1]ATTENDANCE DAILY'!$I$4:$AM$663,$CC51,DAY(AH$14)))="T-Cutting","T-C",INDEX('[1]ATTENDANCE DAILY'!$I$4:$AM$663,$CC51,DAY(AH$14)))))),IFERROR(IF(_xlpm._r=0,"",_xlpm._r),""))</f>
        <v/>
      </c>
      <c r="AI51" s="101" t="str">
        <f>_xlfn.LET(_xlpm._r,_xlfn.SINGLE(IF(OR($CC51="",AI$14="",AI$14&lt;_xlfn.SINGLE(INDEX('[1]ATTENDANCE DAILY'!$AV$4:$AV$663,$CC51)),AI$14&gt;_xlfn.SINGLE(INDEX('[1]ATTENDANCE DAILY'!$AW$4:$AW$663,$CC51))),"",IF(_xlfn.SINGLE(INDEX('[1]ATTENDANCE DAILY'!$I$4:$AM$663,$CC51,DAY(AI$14)))="T-Late","T-L",IF(_xlfn.SINGLE(INDEX('[1]ATTENDANCE DAILY'!$I$4:$AM$663,$CC51,DAY(AI$14)))="T-Cutting","T-C",INDEX('[1]ATTENDANCE DAILY'!$I$4:$AM$663,$CC51,DAY(AI$14)))))),IFERROR(IF(_xlpm._r=0,"",_xlpm._r),""))</f>
        <v/>
      </c>
      <c r="AJ51" s="102"/>
      <c r="AK51" s="99"/>
      <c r="AL51" s="101" t="str">
        <f>_xlfn.LET(_xlpm._r,_xlfn.SINGLE(IF(OR($CC51="",AL$14="",AL$14&lt;_xlfn.SINGLE(INDEX('[1]ATTENDANCE DAILY'!$AV$4:$AV$663,$CC51)),AL$14&gt;_xlfn.SINGLE(INDEX('[1]ATTENDANCE DAILY'!$AW$4:$AW$663,$CC51))),"",IF(_xlfn.SINGLE(INDEX('[1]ATTENDANCE DAILY'!$I$4:$AM$663,$CC51,DAY(AL$14)))="T-Late","T-L",IF(_xlfn.SINGLE(INDEX('[1]ATTENDANCE DAILY'!$I$4:$AM$663,$CC51,DAY(AL$14)))="T-Cutting","T-C",INDEX('[1]ATTENDANCE DAILY'!$I$4:$AM$663,$CC51,DAY(AL$14)))))),IFERROR(IF(_xlpm._r=0,"",_xlpm._r),""))</f>
        <v/>
      </c>
      <c r="AM51" s="99"/>
      <c r="AN51" s="101" t="str">
        <f>_xlfn.LET(_xlpm._r,_xlfn.SINGLE(IF(OR($CC51="",AN$14="",AN$14&lt;_xlfn.SINGLE(INDEX('[1]ATTENDANCE DAILY'!$AV$4:$AV$663,$CC51)),AN$14&gt;_xlfn.SINGLE(INDEX('[1]ATTENDANCE DAILY'!$AW$4:$AW$663,$CC51))),"",IF(_xlfn.SINGLE(INDEX('[1]ATTENDANCE DAILY'!$I$4:$AM$663,$CC51,DAY(AN$14)))="T-Late","T-L",IF(_xlfn.SINGLE(INDEX('[1]ATTENDANCE DAILY'!$I$4:$AM$663,$CC51,DAY(AN$14)))="T-Cutting","T-C",INDEX('[1]ATTENDANCE DAILY'!$I$4:$AM$663,$CC51,DAY(AN$14)))))),IFERROR(IF(_xlpm._r=0,"",_xlpm._r),""))</f>
        <v/>
      </c>
      <c r="AO51" s="103"/>
      <c r="AP51" s="101" t="str">
        <f>_xlfn.LET(_xlpm._r,_xlfn.SINGLE(IF(OR($CC51="",AP$14="",AP$14&lt;_xlfn.SINGLE(INDEX('[1]ATTENDANCE DAILY'!$AV$4:$AV$663,$CC51)),AP$14&gt;_xlfn.SINGLE(INDEX('[1]ATTENDANCE DAILY'!$AW$4:$AW$663,$CC51))),"",IF(_xlfn.SINGLE(INDEX('[1]ATTENDANCE DAILY'!$I$4:$AM$663,$CC51,DAY(AP$14)))="T-Late","T-L",IF(_xlfn.SINGLE(INDEX('[1]ATTENDANCE DAILY'!$I$4:$AM$663,$CC51,DAY(AP$14)))="T-Cutting","T-C",INDEX('[1]ATTENDANCE DAILY'!$I$4:$AM$663,$CC51,DAY(AP$14)))))),IFERROR(IF(_xlpm._r=0,"",_xlpm._r),""))</f>
        <v/>
      </c>
      <c r="AQ51" s="99"/>
      <c r="AR51" s="100" t="str">
        <f>_xlfn.LET(_xlpm._r,_xlfn.SINGLE(IF(OR($CC51="",AR$14="",AR$14&lt;_xlfn.SINGLE(INDEX('[1]ATTENDANCE DAILY'!$AV$4:$AV$663,$CC51)),AR$14&gt;_xlfn.SINGLE(INDEX('[1]ATTENDANCE DAILY'!$AW$4:$AW$663,$CC51))),"",IF(_xlfn.SINGLE(INDEX('[1]ATTENDANCE DAILY'!$I$4:$AM$663,$CC51,DAY(AR$14)))="T-Late","T-L",IF(_xlfn.SINGLE(INDEX('[1]ATTENDANCE DAILY'!$I$4:$AM$663,$CC51,DAY(AR$14)))="T-Cutting","T-C",INDEX('[1]ATTENDANCE DAILY'!$I$4:$AM$663,$CC51,DAY(AR$14)))))),IFERROR(IF(_xlpm._r=0,"",_xlpm._r),""))</f>
        <v/>
      </c>
      <c r="AS51" s="101" t="str">
        <f>_xlfn.LET(_xlpm._r,_xlfn.SINGLE(IF(OR($CC51="",AS$14="",AS$14&lt;_xlfn.SINGLE(INDEX('[1]ATTENDANCE DAILY'!$AV$4:$AV$663,$CC51)),AS$14&gt;_xlfn.SINGLE(INDEX('[1]ATTENDANCE DAILY'!$AW$4:$AW$663,$CC51))),"",IF(_xlfn.SINGLE(INDEX('[1]ATTENDANCE DAILY'!$I$4:$AM$663,$CC51,DAY(AS$14)))="T-Late","T-L",IF(_xlfn.SINGLE(INDEX('[1]ATTENDANCE DAILY'!$I$4:$AM$663,$CC51,DAY(AS$14)))="T-Cutting","T-C",INDEX('[1]ATTENDANCE DAILY'!$I$4:$AM$663,$CC51,DAY(AS$14)))))),IFERROR(IF(_xlpm._r=0,"",_xlpm._r),""))</f>
        <v/>
      </c>
      <c r="AT51" s="99"/>
      <c r="AU51" s="100" t="str">
        <f>_xlfn.LET(_xlpm._r,_xlfn.SINGLE(IF(OR($CC51="",AU$14="",AU$14&lt;_xlfn.SINGLE(INDEX('[1]ATTENDANCE DAILY'!$AV$4:$AV$663,$CC51)),AU$14&gt;_xlfn.SINGLE(INDEX('[1]ATTENDANCE DAILY'!$AW$4:$AW$663,$CC51))),"",IF(_xlfn.SINGLE(INDEX('[1]ATTENDANCE DAILY'!$I$4:$AM$663,$CC51,DAY(AU$14)))="T-Late","T-L",IF(_xlfn.SINGLE(INDEX('[1]ATTENDANCE DAILY'!$I$4:$AM$663,$CC51,DAY(AU$14)))="T-Cutting","T-C",INDEX('[1]ATTENDANCE DAILY'!$I$4:$AM$663,$CC51,DAY(AU$14)))))),IFERROR(IF(_xlpm._r=0,"",_xlpm._r),""))</f>
        <v/>
      </c>
      <c r="AV51" s="104" t="str">
        <f>_xlfn.LET(_xlpm._r,_xlfn.SINGLE(IF(OR($CC51="",AV$14="",AV$14&lt;_xlfn.SINGLE(INDEX('[1]ATTENDANCE DAILY'!$AV$4:$AV$663,$CC51)),AV$14&gt;_xlfn.SINGLE(INDEX('[1]ATTENDANCE DAILY'!$AW$4:$AW$663,$CC51))),"",IF(_xlfn.SINGLE(INDEX('[1]ATTENDANCE DAILY'!$I$4:$AM$663,$CC51,DAY(AV$14)))="T-Late","T-L",IF(_xlfn.SINGLE(INDEX('[1]ATTENDANCE DAILY'!$I$4:$AM$663,$CC51,DAY(AV$14)))="T-Cutting","T-C",INDEX('[1]ATTENDANCE DAILY'!$I$4:$AM$663,$CC51,DAY(AV$14)))))),IFERROR(IF(_xlpm._r=0,"",_xlpm._r),""))</f>
        <v/>
      </c>
      <c r="AW51" s="101" t="str">
        <f>_xlfn.LET(_xlpm._r,_xlfn.SINGLE(IF(OR($CC51="",AW$14="",AW$14&lt;_xlfn.SINGLE(INDEX('[1]ATTENDANCE DAILY'!$AV$4:$AV$663,$CC51)),AW$14&gt;_xlfn.SINGLE(INDEX('[1]ATTENDANCE DAILY'!$AW$4:$AW$663,$CC51))),"",IF(_xlfn.SINGLE(INDEX('[1]ATTENDANCE DAILY'!$I$4:$AM$663,$CC51,DAY(AW$14)))="T-Late","T-L",IF(_xlfn.SINGLE(INDEX('[1]ATTENDANCE DAILY'!$I$4:$AM$663,$CC51,DAY(AW$14)))="T-Cutting","T-C",INDEX('[1]ATTENDANCE DAILY'!$I$4:$AM$663,$CC51,DAY(AW$14)))))),IFERROR(IF(_xlpm._r=0,"",_xlpm._r),""))</f>
        <v/>
      </c>
      <c r="AX51" s="99"/>
      <c r="AY51" s="101" t="str">
        <f>_xlfn.LET(_xlpm._r,_xlfn.SINGLE(IF(OR($CC51="",AY$14="",AY$14&lt;_xlfn.SINGLE(INDEX('[1]ATTENDANCE DAILY'!$AV$4:$AV$663,$CC51)),AY$14&gt;_xlfn.SINGLE(INDEX('[1]ATTENDANCE DAILY'!$AW$4:$AW$663,$CC51))),"",IF(_xlfn.SINGLE(INDEX('[1]ATTENDANCE DAILY'!$I$4:$AM$663,$CC51,DAY(AY$14)))="T-Late","T-L",IF(_xlfn.SINGLE(INDEX('[1]ATTENDANCE DAILY'!$I$4:$AM$663,$CC51,DAY(AY$14)))="T-Cutting","T-C",INDEX('[1]ATTENDANCE DAILY'!$I$4:$AM$663,$CC51,DAY(AY$14)))))),IFERROR(IF(_xlpm._r=0,"",_xlpm._r),""))</f>
        <v/>
      </c>
      <c r="AZ51" s="102"/>
      <c r="BA51" s="99"/>
      <c r="BB51" s="101" t="str">
        <f>_xlfn.LET(_xlpm._r,_xlfn.SINGLE(IF(OR($CC51="",BB$14="",BB$14&lt;_xlfn.SINGLE(INDEX('[1]ATTENDANCE DAILY'!$AV$4:$AV$663,$CC51)),BB$14&gt;_xlfn.SINGLE(INDEX('[1]ATTENDANCE DAILY'!$AW$4:$AW$663,$CC51))),"",IF(_xlfn.SINGLE(INDEX('[1]ATTENDANCE DAILY'!$I$4:$AM$663,$CC51,DAY(BB$14)))="T-Late","T-L",IF(_xlfn.SINGLE(INDEX('[1]ATTENDANCE DAILY'!$I$4:$AM$663,$CC51,DAY(BB$14)))="T-Cutting","T-C",INDEX('[1]ATTENDANCE DAILY'!$I$4:$AM$663,$CC51,DAY(BB$14)))))),IFERROR(IF(_xlpm._r=0,"",_xlpm._r),""))</f>
        <v/>
      </c>
      <c r="BC51" s="99"/>
      <c r="BD51" s="100" t="str">
        <f>_xlfn.LET(_xlpm._r,_xlfn.SINGLE(IF(OR($CC51="",BD$14="",BD$14&lt;_xlfn.SINGLE(INDEX('[1]ATTENDANCE DAILY'!$AV$4:$AV$663,$CC51)),BD$14&gt;_xlfn.SINGLE(INDEX('[1]ATTENDANCE DAILY'!$AW$4:$AW$663,$CC51))),"",IF(_xlfn.SINGLE(INDEX('[1]ATTENDANCE DAILY'!$I$4:$AM$663,$CC51,DAY(BD$14)))="T-Late","T-L",IF(_xlfn.SINGLE(INDEX('[1]ATTENDANCE DAILY'!$I$4:$AM$663,$CC51,DAY(BD$14)))="T-Cutting","T-C",INDEX('[1]ATTENDANCE DAILY'!$I$4:$AM$663,$CC51,DAY(BD$14)))))),IFERROR(IF(_xlpm._r=0,"",_xlpm._r),""))</f>
        <v/>
      </c>
      <c r="BE51" s="101" t="str">
        <f>_xlfn.LET(_xlpm._r,_xlfn.SINGLE(IF(OR($CC51="",BE$14="",BE$14&lt;_xlfn.SINGLE(INDEX('[1]ATTENDANCE DAILY'!$AV$4:$AV$663,$CC51)),BE$14&gt;_xlfn.SINGLE(INDEX('[1]ATTENDANCE DAILY'!$AW$4:$AW$663,$CC51))),"",IF(_xlfn.SINGLE(INDEX('[1]ATTENDANCE DAILY'!$I$4:$AM$663,$CC51,DAY(BE$14)))="T-Late","T-L",IF(_xlfn.SINGLE(INDEX('[1]ATTENDANCE DAILY'!$I$4:$AM$663,$CC51,DAY(BE$14)))="T-Cutting","T-C",INDEX('[1]ATTENDANCE DAILY'!$I$4:$AM$663,$CC51,DAY(BE$14)))))),IFERROR(IF(_xlpm._r=0,"",_xlpm._r),""))</f>
        <v/>
      </c>
      <c r="BF51" s="102"/>
      <c r="BG51" s="102"/>
      <c r="BH51" s="103"/>
      <c r="BI51" s="105">
        <f>IF($CC51="","",INDEX('[1]ATTENDANCE DAILY'!$AR$4:$AR$663,$CC51))</f>
        <v>0</v>
      </c>
      <c r="BJ51" s="106"/>
      <c r="BK51" s="107"/>
      <c r="BL51" s="105">
        <f>IF($CC51="","",INDEX('[1]ATTENDANCE DAILY'!$AS$4:$AS$663,$CC51))</f>
        <v>23</v>
      </c>
      <c r="BM51" s="106"/>
      <c r="BN51" s="106"/>
      <c r="BO51" s="107"/>
      <c r="BP51" s="105" t="str">
        <f>IF($CC51="","",IF(INDEX('[1]ATTENDANCE DAILY'!$AN$4:$AN$663,$CC51)="","",INDEX('[1]ATTENDANCE DAILY'!$AN$4:$AN$663,$CC51)&amp;IF(INDEX('[1]ATTENDANCE DAILY'!$AO$4:$AO$663,$CC51)="",""," ("&amp;TEXT(INDEX('[1]ATTENDANCE DAILY'!$AO$4:$AO$663,$CC51),"mm-dd-yyyy")&amp;")")&amp;IF(INDEX('[1]ATTENDANCE DAILY'!$AP$4:$AP$663,$CC51)="",""," - "&amp;INDEX('[1]ATTENDANCE DAILY'!$AP$4:$AP$663,$CC51))))</f>
        <v/>
      </c>
      <c r="BQ51" s="106"/>
      <c r="BR51" s="106"/>
      <c r="BS51" s="106"/>
      <c r="BT51" s="106"/>
      <c r="BU51" s="106"/>
      <c r="BV51" s="106"/>
      <c r="BW51" s="106"/>
      <c r="BX51" s="106"/>
      <c r="BY51" s="106"/>
      <c r="BZ51" s="106"/>
      <c r="CA51" s="107"/>
      <c r="CC51">
        <f>IF(COUNTIFS('[1]ATTENDANCE DAILY'!$C$4:$C$663,$BN$11,'[1]ATTENDANCE DAILY'!$F$4:$F$663,"Female",'[1]ATTENDANCE DAILY'!$G$4:$G$663,1,'[1]ATTENDANCE DAILY'!$BA$4:$BA$663,8)=0,"",SUMIFS('[1]ATTENDANCE DAILY'!$A$4:$A$663,'[1]ATTENDANCE DAILY'!$C$4:$C$663,$BN$11,'[1]ATTENDANCE DAILY'!$F$4:$F$663,"Female",'[1]ATTENDANCE DAILY'!$G$4:$G$663,1,'[1]ATTENDANCE DAILY'!$BA$4:$BA$663,8))</f>
        <v>82</v>
      </c>
    </row>
    <row r="52" spans="1:81" ht="19.95" customHeight="1" thickTop="1" thickBot="1">
      <c r="A52" s="92">
        <v>9</v>
      </c>
      <c r="B52" s="93"/>
      <c r="C52" s="93"/>
      <c r="D52" s="93"/>
      <c r="E52" s="93"/>
      <c r="F52" s="94"/>
      <c r="G52" s="95" t="str">
        <f>IF($CC52="","",INDEX('[1]ATTENDANCE DAILY'!$E$4:$E$663,$CC52))</f>
        <v>MIPAMPANG, RASHEDA BASCARA</v>
      </c>
      <c r="H52" s="96"/>
      <c r="I52" s="96"/>
      <c r="J52" s="97"/>
      <c r="K52" s="98" t="str">
        <f>_xlfn.LET(_xlpm._r,_xlfn.SINGLE(IF(OR($CC52="",K$14="",K$14&lt;_xlfn.SINGLE(INDEX('[1]ATTENDANCE DAILY'!$AV$4:$AV$663,$CC52)),K$14&gt;_xlfn.SINGLE(INDEX('[1]ATTENDANCE DAILY'!$AW$4:$AW$663,$CC52))),"",IF(_xlfn.SINGLE(INDEX('[1]ATTENDANCE DAILY'!$I$4:$AM$663,$CC52,DAY(K$14)))="T-Late","T-L",IF(_xlfn.SINGLE(INDEX('[1]ATTENDANCE DAILY'!$I$4:$AM$663,$CC52,DAY(K$14)))="T-Cutting","T-C",INDEX('[1]ATTENDANCE DAILY'!$I$4:$AM$663,$CC52,DAY(K$14)))))),IFERROR(IF(_xlpm._r=0,"",_xlpm._r),""))</f>
        <v/>
      </c>
      <c r="L52" s="99"/>
      <c r="M52" s="100" t="str">
        <f>_xlfn.LET(_xlpm._r,_xlfn.SINGLE(IF(OR($CC52="",M$14="",M$14&lt;_xlfn.SINGLE(INDEX('[1]ATTENDANCE DAILY'!$AV$4:$AV$663,$CC52)),M$14&gt;_xlfn.SINGLE(INDEX('[1]ATTENDANCE DAILY'!$AW$4:$AW$663,$CC52))),"",IF(_xlfn.SINGLE(INDEX('[1]ATTENDANCE DAILY'!$I$4:$AM$663,$CC52,DAY(M$14)))="T-Late","T-L",IF(_xlfn.SINGLE(INDEX('[1]ATTENDANCE DAILY'!$I$4:$AM$663,$CC52,DAY(M$14)))="T-Cutting","T-C",INDEX('[1]ATTENDANCE DAILY'!$I$4:$AM$663,$CC52,DAY(M$14)))))),IFERROR(IF(_xlpm._r=0,"",_xlpm._r),""))</f>
        <v/>
      </c>
      <c r="N52" s="100" t="str">
        <f>_xlfn.LET(_xlpm._r,_xlfn.SINGLE(IF(OR($CC52="",N$14="",N$14&lt;_xlfn.SINGLE(INDEX('[1]ATTENDANCE DAILY'!$AV$4:$AV$663,$CC52)),N$14&gt;_xlfn.SINGLE(INDEX('[1]ATTENDANCE DAILY'!$AW$4:$AW$663,$CC52))),"",IF(_xlfn.SINGLE(INDEX('[1]ATTENDANCE DAILY'!$I$4:$AM$663,$CC52,DAY(N$14)))="T-Late","T-L",IF(_xlfn.SINGLE(INDEX('[1]ATTENDANCE DAILY'!$I$4:$AM$663,$CC52,DAY(N$14)))="T-Cutting","T-C",INDEX('[1]ATTENDANCE DAILY'!$I$4:$AM$663,$CC52,DAY(N$14)))))),IFERROR(IF(_xlpm._r=0,"",_xlpm._r),""))</f>
        <v/>
      </c>
      <c r="O52" s="101" t="str">
        <f>_xlfn.LET(_xlpm._r,_xlfn.SINGLE(IF(OR($CC52="",O$14="",O$14&lt;_xlfn.SINGLE(INDEX('[1]ATTENDANCE DAILY'!$AV$4:$AV$663,$CC52)),O$14&gt;_xlfn.SINGLE(INDEX('[1]ATTENDANCE DAILY'!$AW$4:$AW$663,$CC52))),"",IF(_xlfn.SINGLE(INDEX('[1]ATTENDANCE DAILY'!$I$4:$AM$663,$CC52,DAY(O$14)))="T-Late","T-L",IF(_xlfn.SINGLE(INDEX('[1]ATTENDANCE DAILY'!$I$4:$AM$663,$CC52,DAY(O$14)))="T-Cutting","T-C",INDEX('[1]ATTENDANCE DAILY'!$I$4:$AM$663,$CC52,DAY(O$14)))))),IFERROR(IF(_xlpm._r=0,"",_xlpm._r),""))</f>
        <v/>
      </c>
      <c r="P52" s="102"/>
      <c r="Q52" s="102"/>
      <c r="R52" s="99"/>
      <c r="S52" s="101" t="str">
        <f>_xlfn.LET(_xlpm._r,_xlfn.SINGLE(IF(OR($CC52="",S$14="",S$14&lt;_xlfn.SINGLE(INDEX('[1]ATTENDANCE DAILY'!$AV$4:$AV$663,$CC52)),S$14&gt;_xlfn.SINGLE(INDEX('[1]ATTENDANCE DAILY'!$AW$4:$AW$663,$CC52))),"",IF(_xlfn.SINGLE(INDEX('[1]ATTENDANCE DAILY'!$I$4:$AM$663,$CC52,DAY(S$14)))="T-Late","T-L",IF(_xlfn.SINGLE(INDEX('[1]ATTENDANCE DAILY'!$I$4:$AM$663,$CC52,DAY(S$14)))="T-Cutting","T-C",INDEX('[1]ATTENDANCE DAILY'!$I$4:$AM$663,$CC52,DAY(S$14)))))),IFERROR(IF(_xlpm._r=0,"",_xlpm._r),""))</f>
        <v/>
      </c>
      <c r="T52" s="102"/>
      <c r="U52" s="103"/>
      <c r="V52" s="100" t="str">
        <f>_xlfn.LET(_xlpm._r,_xlfn.SINGLE(IF(OR($CC52="",V$14="",V$14&lt;_xlfn.SINGLE(INDEX('[1]ATTENDANCE DAILY'!$AV$4:$AV$663,$CC52)),V$14&gt;_xlfn.SINGLE(INDEX('[1]ATTENDANCE DAILY'!$AW$4:$AW$663,$CC52))),"",IF(_xlfn.SINGLE(INDEX('[1]ATTENDANCE DAILY'!$I$4:$AM$663,$CC52,DAY(V$14)))="T-Late","T-L",IF(_xlfn.SINGLE(INDEX('[1]ATTENDANCE DAILY'!$I$4:$AM$663,$CC52,DAY(V$14)))="T-Cutting","T-C",INDEX('[1]ATTENDANCE DAILY'!$I$4:$AM$663,$CC52,DAY(V$14)))))),IFERROR(IF(_xlpm._r=0,"",_xlpm._r),""))</f>
        <v/>
      </c>
      <c r="W52" s="101" t="str">
        <f>_xlfn.LET(_xlpm._r,_xlfn.SINGLE(IF(OR($CC52="",W$14="",W$14&lt;_xlfn.SINGLE(INDEX('[1]ATTENDANCE DAILY'!$AV$4:$AV$663,$CC52)),W$14&gt;_xlfn.SINGLE(INDEX('[1]ATTENDANCE DAILY'!$AW$4:$AW$663,$CC52))),"",IF(_xlfn.SINGLE(INDEX('[1]ATTENDANCE DAILY'!$I$4:$AM$663,$CC52,DAY(W$14)))="T-Late","T-L",IF(_xlfn.SINGLE(INDEX('[1]ATTENDANCE DAILY'!$I$4:$AM$663,$CC52,DAY(W$14)))="T-Cutting","T-C",INDEX('[1]ATTENDANCE DAILY'!$I$4:$AM$663,$CC52,DAY(W$14)))))),IFERROR(IF(_xlpm._r=0,"",_xlpm._r),""))</f>
        <v/>
      </c>
      <c r="X52" s="102"/>
      <c r="Y52" s="99"/>
      <c r="Z52" s="100" t="str">
        <f>_xlfn.LET(_xlpm._r,_xlfn.SINGLE(IF(OR($CC52="",Z$14="",Z$14&lt;_xlfn.SINGLE(INDEX('[1]ATTENDANCE DAILY'!$AV$4:$AV$663,$CC52)),Z$14&gt;_xlfn.SINGLE(INDEX('[1]ATTENDANCE DAILY'!$AW$4:$AW$663,$CC52))),"",IF(_xlfn.SINGLE(INDEX('[1]ATTENDANCE DAILY'!$I$4:$AM$663,$CC52,DAY(Z$14)))="T-Late","T-L",IF(_xlfn.SINGLE(INDEX('[1]ATTENDANCE DAILY'!$I$4:$AM$663,$CC52,DAY(Z$14)))="T-Cutting","T-C",INDEX('[1]ATTENDANCE DAILY'!$I$4:$AM$663,$CC52,DAY(Z$14)))))),IFERROR(IF(_xlpm._r=0,"",_xlpm._r),""))</f>
        <v/>
      </c>
      <c r="AA52" s="100" t="str">
        <f>_xlfn.LET(_xlpm._r,_xlfn.SINGLE(IF(OR($CC52="",AA$14="",AA$14&lt;_xlfn.SINGLE(INDEX('[1]ATTENDANCE DAILY'!$AV$4:$AV$663,$CC52)),AA$14&gt;_xlfn.SINGLE(INDEX('[1]ATTENDANCE DAILY'!$AW$4:$AW$663,$CC52))),"",IF(_xlfn.SINGLE(INDEX('[1]ATTENDANCE DAILY'!$I$4:$AM$663,$CC52,DAY(AA$14)))="T-Late","T-L",IF(_xlfn.SINGLE(INDEX('[1]ATTENDANCE DAILY'!$I$4:$AM$663,$CC52,DAY(AA$14)))="T-Cutting","T-C",INDEX('[1]ATTENDANCE DAILY'!$I$4:$AM$663,$CC52,DAY(AA$14)))))),IFERROR(IF(_xlpm._r=0,"",_xlpm._r),""))</f>
        <v/>
      </c>
      <c r="AB52" s="101" t="str">
        <f>_xlfn.LET(_xlpm._r,_xlfn.SINGLE(IF(OR($CC52="",AB$14="",AB$14&lt;_xlfn.SINGLE(INDEX('[1]ATTENDANCE DAILY'!$AV$4:$AV$663,$CC52)),AB$14&gt;_xlfn.SINGLE(INDEX('[1]ATTENDANCE DAILY'!$AW$4:$AW$663,$CC52))),"",IF(_xlfn.SINGLE(INDEX('[1]ATTENDANCE DAILY'!$I$4:$AM$663,$CC52,DAY(AB$14)))="T-Late","T-L",IF(_xlfn.SINGLE(INDEX('[1]ATTENDANCE DAILY'!$I$4:$AM$663,$CC52,DAY(AB$14)))="T-Cutting","T-C",INDEX('[1]ATTENDANCE DAILY'!$I$4:$AM$663,$CC52,DAY(AB$14)))))),IFERROR(IF(_xlpm._r=0,"",_xlpm._r),""))</f>
        <v/>
      </c>
      <c r="AC52" s="102"/>
      <c r="AD52" s="103"/>
      <c r="AE52" s="101" t="str">
        <f>_xlfn.LET(_xlpm._r,_xlfn.SINGLE(IF(OR($CC52="",AE$14="",AE$14&lt;_xlfn.SINGLE(INDEX('[1]ATTENDANCE DAILY'!$AV$4:$AV$663,$CC52)),AE$14&gt;_xlfn.SINGLE(INDEX('[1]ATTENDANCE DAILY'!$AW$4:$AW$663,$CC52))),"",IF(_xlfn.SINGLE(INDEX('[1]ATTENDANCE DAILY'!$I$4:$AM$663,$CC52,DAY(AE$14)))="T-Late","T-L",IF(_xlfn.SINGLE(INDEX('[1]ATTENDANCE DAILY'!$I$4:$AM$663,$CC52,DAY(AE$14)))="T-Cutting","T-C",INDEX('[1]ATTENDANCE DAILY'!$I$4:$AM$663,$CC52,DAY(AE$14)))))),IFERROR(IF(_xlpm._r=0,"",_xlpm._r),""))</f>
        <v/>
      </c>
      <c r="AF52" s="102"/>
      <c r="AG52" s="99"/>
      <c r="AH52" s="100" t="str">
        <f>_xlfn.LET(_xlpm._r,_xlfn.SINGLE(IF(OR($CC52="",AH$14="",AH$14&lt;_xlfn.SINGLE(INDEX('[1]ATTENDANCE DAILY'!$AV$4:$AV$663,$CC52)),AH$14&gt;_xlfn.SINGLE(INDEX('[1]ATTENDANCE DAILY'!$AW$4:$AW$663,$CC52))),"",IF(_xlfn.SINGLE(INDEX('[1]ATTENDANCE DAILY'!$I$4:$AM$663,$CC52,DAY(AH$14)))="T-Late","T-L",IF(_xlfn.SINGLE(INDEX('[1]ATTENDANCE DAILY'!$I$4:$AM$663,$CC52,DAY(AH$14)))="T-Cutting","T-C",INDEX('[1]ATTENDANCE DAILY'!$I$4:$AM$663,$CC52,DAY(AH$14)))))),IFERROR(IF(_xlpm._r=0,"",_xlpm._r),""))</f>
        <v/>
      </c>
      <c r="AI52" s="101" t="str">
        <f>_xlfn.LET(_xlpm._r,_xlfn.SINGLE(IF(OR($CC52="",AI$14="",AI$14&lt;_xlfn.SINGLE(INDEX('[1]ATTENDANCE DAILY'!$AV$4:$AV$663,$CC52)),AI$14&gt;_xlfn.SINGLE(INDEX('[1]ATTENDANCE DAILY'!$AW$4:$AW$663,$CC52))),"",IF(_xlfn.SINGLE(INDEX('[1]ATTENDANCE DAILY'!$I$4:$AM$663,$CC52,DAY(AI$14)))="T-Late","T-L",IF(_xlfn.SINGLE(INDEX('[1]ATTENDANCE DAILY'!$I$4:$AM$663,$CC52,DAY(AI$14)))="T-Cutting","T-C",INDEX('[1]ATTENDANCE DAILY'!$I$4:$AM$663,$CC52,DAY(AI$14)))))),IFERROR(IF(_xlpm._r=0,"",_xlpm._r),""))</f>
        <v/>
      </c>
      <c r="AJ52" s="102"/>
      <c r="AK52" s="99"/>
      <c r="AL52" s="101" t="str">
        <f>_xlfn.LET(_xlpm._r,_xlfn.SINGLE(IF(OR($CC52="",AL$14="",AL$14&lt;_xlfn.SINGLE(INDEX('[1]ATTENDANCE DAILY'!$AV$4:$AV$663,$CC52)),AL$14&gt;_xlfn.SINGLE(INDEX('[1]ATTENDANCE DAILY'!$AW$4:$AW$663,$CC52))),"",IF(_xlfn.SINGLE(INDEX('[1]ATTENDANCE DAILY'!$I$4:$AM$663,$CC52,DAY(AL$14)))="T-Late","T-L",IF(_xlfn.SINGLE(INDEX('[1]ATTENDANCE DAILY'!$I$4:$AM$663,$CC52,DAY(AL$14)))="T-Cutting","T-C",INDEX('[1]ATTENDANCE DAILY'!$I$4:$AM$663,$CC52,DAY(AL$14)))))),IFERROR(IF(_xlpm._r=0,"",_xlpm._r),""))</f>
        <v/>
      </c>
      <c r="AM52" s="99"/>
      <c r="AN52" s="101" t="str">
        <f>_xlfn.LET(_xlpm._r,_xlfn.SINGLE(IF(OR($CC52="",AN$14="",AN$14&lt;_xlfn.SINGLE(INDEX('[1]ATTENDANCE DAILY'!$AV$4:$AV$663,$CC52)),AN$14&gt;_xlfn.SINGLE(INDEX('[1]ATTENDANCE DAILY'!$AW$4:$AW$663,$CC52))),"",IF(_xlfn.SINGLE(INDEX('[1]ATTENDANCE DAILY'!$I$4:$AM$663,$CC52,DAY(AN$14)))="T-Late","T-L",IF(_xlfn.SINGLE(INDEX('[1]ATTENDANCE DAILY'!$I$4:$AM$663,$CC52,DAY(AN$14)))="T-Cutting","T-C",INDEX('[1]ATTENDANCE DAILY'!$I$4:$AM$663,$CC52,DAY(AN$14)))))),IFERROR(IF(_xlpm._r=0,"",_xlpm._r),""))</f>
        <v/>
      </c>
      <c r="AO52" s="103"/>
      <c r="AP52" s="101" t="str">
        <f>_xlfn.LET(_xlpm._r,_xlfn.SINGLE(IF(OR($CC52="",AP$14="",AP$14&lt;_xlfn.SINGLE(INDEX('[1]ATTENDANCE DAILY'!$AV$4:$AV$663,$CC52)),AP$14&gt;_xlfn.SINGLE(INDEX('[1]ATTENDANCE DAILY'!$AW$4:$AW$663,$CC52))),"",IF(_xlfn.SINGLE(INDEX('[1]ATTENDANCE DAILY'!$I$4:$AM$663,$CC52,DAY(AP$14)))="T-Late","T-L",IF(_xlfn.SINGLE(INDEX('[1]ATTENDANCE DAILY'!$I$4:$AM$663,$CC52,DAY(AP$14)))="T-Cutting","T-C",INDEX('[1]ATTENDANCE DAILY'!$I$4:$AM$663,$CC52,DAY(AP$14)))))),IFERROR(IF(_xlpm._r=0,"",_xlpm._r),""))</f>
        <v/>
      </c>
      <c r="AQ52" s="99"/>
      <c r="AR52" s="100" t="str">
        <f>_xlfn.LET(_xlpm._r,_xlfn.SINGLE(IF(OR($CC52="",AR$14="",AR$14&lt;_xlfn.SINGLE(INDEX('[1]ATTENDANCE DAILY'!$AV$4:$AV$663,$CC52)),AR$14&gt;_xlfn.SINGLE(INDEX('[1]ATTENDANCE DAILY'!$AW$4:$AW$663,$CC52))),"",IF(_xlfn.SINGLE(INDEX('[1]ATTENDANCE DAILY'!$I$4:$AM$663,$CC52,DAY(AR$14)))="T-Late","T-L",IF(_xlfn.SINGLE(INDEX('[1]ATTENDANCE DAILY'!$I$4:$AM$663,$CC52,DAY(AR$14)))="T-Cutting","T-C",INDEX('[1]ATTENDANCE DAILY'!$I$4:$AM$663,$CC52,DAY(AR$14)))))),IFERROR(IF(_xlpm._r=0,"",_xlpm._r),""))</f>
        <v/>
      </c>
      <c r="AS52" s="101" t="str">
        <f>_xlfn.LET(_xlpm._r,_xlfn.SINGLE(IF(OR($CC52="",AS$14="",AS$14&lt;_xlfn.SINGLE(INDEX('[1]ATTENDANCE DAILY'!$AV$4:$AV$663,$CC52)),AS$14&gt;_xlfn.SINGLE(INDEX('[1]ATTENDANCE DAILY'!$AW$4:$AW$663,$CC52))),"",IF(_xlfn.SINGLE(INDEX('[1]ATTENDANCE DAILY'!$I$4:$AM$663,$CC52,DAY(AS$14)))="T-Late","T-L",IF(_xlfn.SINGLE(INDEX('[1]ATTENDANCE DAILY'!$I$4:$AM$663,$CC52,DAY(AS$14)))="T-Cutting","T-C",INDEX('[1]ATTENDANCE DAILY'!$I$4:$AM$663,$CC52,DAY(AS$14)))))),IFERROR(IF(_xlpm._r=0,"",_xlpm._r),""))</f>
        <v/>
      </c>
      <c r="AT52" s="99"/>
      <c r="AU52" s="100" t="str">
        <f>_xlfn.LET(_xlpm._r,_xlfn.SINGLE(IF(OR($CC52="",AU$14="",AU$14&lt;_xlfn.SINGLE(INDEX('[1]ATTENDANCE DAILY'!$AV$4:$AV$663,$CC52)),AU$14&gt;_xlfn.SINGLE(INDEX('[1]ATTENDANCE DAILY'!$AW$4:$AW$663,$CC52))),"",IF(_xlfn.SINGLE(INDEX('[1]ATTENDANCE DAILY'!$I$4:$AM$663,$CC52,DAY(AU$14)))="T-Late","T-L",IF(_xlfn.SINGLE(INDEX('[1]ATTENDANCE DAILY'!$I$4:$AM$663,$CC52,DAY(AU$14)))="T-Cutting","T-C",INDEX('[1]ATTENDANCE DAILY'!$I$4:$AM$663,$CC52,DAY(AU$14)))))),IFERROR(IF(_xlpm._r=0,"",_xlpm._r),""))</f>
        <v/>
      </c>
      <c r="AV52" s="104" t="str">
        <f>_xlfn.LET(_xlpm._r,_xlfn.SINGLE(IF(OR($CC52="",AV$14="",AV$14&lt;_xlfn.SINGLE(INDEX('[1]ATTENDANCE DAILY'!$AV$4:$AV$663,$CC52)),AV$14&gt;_xlfn.SINGLE(INDEX('[1]ATTENDANCE DAILY'!$AW$4:$AW$663,$CC52))),"",IF(_xlfn.SINGLE(INDEX('[1]ATTENDANCE DAILY'!$I$4:$AM$663,$CC52,DAY(AV$14)))="T-Late","T-L",IF(_xlfn.SINGLE(INDEX('[1]ATTENDANCE DAILY'!$I$4:$AM$663,$CC52,DAY(AV$14)))="T-Cutting","T-C",INDEX('[1]ATTENDANCE DAILY'!$I$4:$AM$663,$CC52,DAY(AV$14)))))),IFERROR(IF(_xlpm._r=0,"",_xlpm._r),""))</f>
        <v/>
      </c>
      <c r="AW52" s="101" t="str">
        <f>_xlfn.LET(_xlpm._r,_xlfn.SINGLE(IF(OR($CC52="",AW$14="",AW$14&lt;_xlfn.SINGLE(INDEX('[1]ATTENDANCE DAILY'!$AV$4:$AV$663,$CC52)),AW$14&gt;_xlfn.SINGLE(INDEX('[1]ATTENDANCE DAILY'!$AW$4:$AW$663,$CC52))),"",IF(_xlfn.SINGLE(INDEX('[1]ATTENDANCE DAILY'!$I$4:$AM$663,$CC52,DAY(AW$14)))="T-Late","T-L",IF(_xlfn.SINGLE(INDEX('[1]ATTENDANCE DAILY'!$I$4:$AM$663,$CC52,DAY(AW$14)))="T-Cutting","T-C",INDEX('[1]ATTENDANCE DAILY'!$I$4:$AM$663,$CC52,DAY(AW$14)))))),IFERROR(IF(_xlpm._r=0,"",_xlpm._r),""))</f>
        <v/>
      </c>
      <c r="AX52" s="99"/>
      <c r="AY52" s="101" t="str">
        <f>_xlfn.LET(_xlpm._r,_xlfn.SINGLE(IF(OR($CC52="",AY$14="",AY$14&lt;_xlfn.SINGLE(INDEX('[1]ATTENDANCE DAILY'!$AV$4:$AV$663,$CC52)),AY$14&gt;_xlfn.SINGLE(INDEX('[1]ATTENDANCE DAILY'!$AW$4:$AW$663,$CC52))),"",IF(_xlfn.SINGLE(INDEX('[1]ATTENDANCE DAILY'!$I$4:$AM$663,$CC52,DAY(AY$14)))="T-Late","T-L",IF(_xlfn.SINGLE(INDEX('[1]ATTENDANCE DAILY'!$I$4:$AM$663,$CC52,DAY(AY$14)))="T-Cutting","T-C",INDEX('[1]ATTENDANCE DAILY'!$I$4:$AM$663,$CC52,DAY(AY$14)))))),IFERROR(IF(_xlpm._r=0,"",_xlpm._r),""))</f>
        <v/>
      </c>
      <c r="AZ52" s="102"/>
      <c r="BA52" s="99"/>
      <c r="BB52" s="101" t="str">
        <f>_xlfn.LET(_xlpm._r,_xlfn.SINGLE(IF(OR($CC52="",BB$14="",BB$14&lt;_xlfn.SINGLE(INDEX('[1]ATTENDANCE DAILY'!$AV$4:$AV$663,$CC52)),BB$14&gt;_xlfn.SINGLE(INDEX('[1]ATTENDANCE DAILY'!$AW$4:$AW$663,$CC52))),"",IF(_xlfn.SINGLE(INDEX('[1]ATTENDANCE DAILY'!$I$4:$AM$663,$CC52,DAY(BB$14)))="T-Late","T-L",IF(_xlfn.SINGLE(INDEX('[1]ATTENDANCE DAILY'!$I$4:$AM$663,$CC52,DAY(BB$14)))="T-Cutting","T-C",INDEX('[1]ATTENDANCE DAILY'!$I$4:$AM$663,$CC52,DAY(BB$14)))))),IFERROR(IF(_xlpm._r=0,"",_xlpm._r),""))</f>
        <v/>
      </c>
      <c r="BC52" s="99"/>
      <c r="BD52" s="100" t="str">
        <f>_xlfn.LET(_xlpm._r,_xlfn.SINGLE(IF(OR($CC52="",BD$14="",BD$14&lt;_xlfn.SINGLE(INDEX('[1]ATTENDANCE DAILY'!$AV$4:$AV$663,$CC52)),BD$14&gt;_xlfn.SINGLE(INDEX('[1]ATTENDANCE DAILY'!$AW$4:$AW$663,$CC52))),"",IF(_xlfn.SINGLE(INDEX('[1]ATTENDANCE DAILY'!$I$4:$AM$663,$CC52,DAY(BD$14)))="T-Late","T-L",IF(_xlfn.SINGLE(INDEX('[1]ATTENDANCE DAILY'!$I$4:$AM$663,$CC52,DAY(BD$14)))="T-Cutting","T-C",INDEX('[1]ATTENDANCE DAILY'!$I$4:$AM$663,$CC52,DAY(BD$14)))))),IFERROR(IF(_xlpm._r=0,"",_xlpm._r),""))</f>
        <v/>
      </c>
      <c r="BE52" s="101" t="str">
        <f>_xlfn.LET(_xlpm._r,_xlfn.SINGLE(IF(OR($CC52="",BE$14="",BE$14&lt;_xlfn.SINGLE(INDEX('[1]ATTENDANCE DAILY'!$AV$4:$AV$663,$CC52)),BE$14&gt;_xlfn.SINGLE(INDEX('[1]ATTENDANCE DAILY'!$AW$4:$AW$663,$CC52))),"",IF(_xlfn.SINGLE(INDEX('[1]ATTENDANCE DAILY'!$I$4:$AM$663,$CC52,DAY(BE$14)))="T-Late","T-L",IF(_xlfn.SINGLE(INDEX('[1]ATTENDANCE DAILY'!$I$4:$AM$663,$CC52,DAY(BE$14)))="T-Cutting","T-C",INDEX('[1]ATTENDANCE DAILY'!$I$4:$AM$663,$CC52,DAY(BE$14)))))),IFERROR(IF(_xlpm._r=0,"",_xlpm._r),""))</f>
        <v/>
      </c>
      <c r="BF52" s="102"/>
      <c r="BG52" s="102"/>
      <c r="BH52" s="103"/>
      <c r="BI52" s="105">
        <f>IF($CC52="","",INDEX('[1]ATTENDANCE DAILY'!$AR$4:$AR$663,$CC52))</f>
        <v>0</v>
      </c>
      <c r="BJ52" s="106"/>
      <c r="BK52" s="107"/>
      <c r="BL52" s="105">
        <f>IF($CC52="","",INDEX('[1]ATTENDANCE DAILY'!$AS$4:$AS$663,$CC52))</f>
        <v>23</v>
      </c>
      <c r="BM52" s="106"/>
      <c r="BN52" s="106"/>
      <c r="BO52" s="107"/>
      <c r="BP52" s="105" t="str">
        <f>IF($CC52="","",IF(INDEX('[1]ATTENDANCE DAILY'!$AN$4:$AN$663,$CC52)="","",INDEX('[1]ATTENDANCE DAILY'!$AN$4:$AN$663,$CC52)&amp;IF(INDEX('[1]ATTENDANCE DAILY'!$AO$4:$AO$663,$CC52)="",""," ("&amp;TEXT(INDEX('[1]ATTENDANCE DAILY'!$AO$4:$AO$663,$CC52),"mm-dd-yyyy")&amp;")")&amp;IF(INDEX('[1]ATTENDANCE DAILY'!$AP$4:$AP$663,$CC52)="",""," - "&amp;INDEX('[1]ATTENDANCE DAILY'!$AP$4:$AP$663,$CC52))))</f>
        <v/>
      </c>
      <c r="BQ52" s="106"/>
      <c r="BR52" s="106"/>
      <c r="BS52" s="106"/>
      <c r="BT52" s="106"/>
      <c r="BU52" s="106"/>
      <c r="BV52" s="106"/>
      <c r="BW52" s="106"/>
      <c r="BX52" s="106"/>
      <c r="BY52" s="106"/>
      <c r="BZ52" s="106"/>
      <c r="CA52" s="107"/>
      <c r="CC52">
        <f>IF(COUNTIFS('[1]ATTENDANCE DAILY'!$C$4:$C$663,$BN$11,'[1]ATTENDANCE DAILY'!$F$4:$F$663,"Female",'[1]ATTENDANCE DAILY'!$G$4:$G$663,1,'[1]ATTENDANCE DAILY'!$BA$4:$BA$663,9)=0,"",SUMIFS('[1]ATTENDANCE DAILY'!$A$4:$A$663,'[1]ATTENDANCE DAILY'!$C$4:$C$663,$BN$11,'[1]ATTENDANCE DAILY'!$F$4:$F$663,"Female",'[1]ATTENDANCE DAILY'!$G$4:$G$663,1,'[1]ATTENDANCE DAILY'!$BA$4:$BA$663,9))</f>
        <v>83</v>
      </c>
    </row>
    <row r="53" spans="1:81" ht="19.95" customHeight="1" thickTop="1" thickBot="1">
      <c r="A53" s="92">
        <v>10</v>
      </c>
      <c r="B53" s="93"/>
      <c r="C53" s="93"/>
      <c r="D53" s="93"/>
      <c r="E53" s="93"/>
      <c r="F53" s="94"/>
      <c r="G53" s="95" t="str">
        <f>IF($CC53="","",INDEX('[1]ATTENDANCE DAILY'!$E$4:$E$663,$CC53))</f>
        <v>TAYSON, DANIELLE MAE PANES</v>
      </c>
      <c r="H53" s="96"/>
      <c r="I53" s="96"/>
      <c r="J53" s="97"/>
      <c r="K53" s="98" t="str">
        <f>_xlfn.LET(_xlpm._r,_xlfn.SINGLE(IF(OR($CC53="",K$14="",K$14&lt;_xlfn.SINGLE(INDEX('[1]ATTENDANCE DAILY'!$AV$4:$AV$663,$CC53)),K$14&gt;_xlfn.SINGLE(INDEX('[1]ATTENDANCE DAILY'!$AW$4:$AW$663,$CC53))),"",IF(_xlfn.SINGLE(INDEX('[1]ATTENDANCE DAILY'!$I$4:$AM$663,$CC53,DAY(K$14)))="T-Late","T-L",IF(_xlfn.SINGLE(INDEX('[1]ATTENDANCE DAILY'!$I$4:$AM$663,$CC53,DAY(K$14)))="T-Cutting","T-C",INDEX('[1]ATTENDANCE DAILY'!$I$4:$AM$663,$CC53,DAY(K$14)))))),IFERROR(IF(_xlpm._r=0,"",_xlpm._r),""))</f>
        <v/>
      </c>
      <c r="L53" s="99"/>
      <c r="M53" s="100" t="str">
        <f>_xlfn.LET(_xlpm._r,_xlfn.SINGLE(IF(OR($CC53="",M$14="",M$14&lt;_xlfn.SINGLE(INDEX('[1]ATTENDANCE DAILY'!$AV$4:$AV$663,$CC53)),M$14&gt;_xlfn.SINGLE(INDEX('[1]ATTENDANCE DAILY'!$AW$4:$AW$663,$CC53))),"",IF(_xlfn.SINGLE(INDEX('[1]ATTENDANCE DAILY'!$I$4:$AM$663,$CC53,DAY(M$14)))="T-Late","T-L",IF(_xlfn.SINGLE(INDEX('[1]ATTENDANCE DAILY'!$I$4:$AM$663,$CC53,DAY(M$14)))="T-Cutting","T-C",INDEX('[1]ATTENDANCE DAILY'!$I$4:$AM$663,$CC53,DAY(M$14)))))),IFERROR(IF(_xlpm._r=0,"",_xlpm._r),""))</f>
        <v/>
      </c>
      <c r="N53" s="100" t="str">
        <f>_xlfn.LET(_xlpm._r,_xlfn.SINGLE(IF(OR($CC53="",N$14="",N$14&lt;_xlfn.SINGLE(INDEX('[1]ATTENDANCE DAILY'!$AV$4:$AV$663,$CC53)),N$14&gt;_xlfn.SINGLE(INDEX('[1]ATTENDANCE DAILY'!$AW$4:$AW$663,$CC53))),"",IF(_xlfn.SINGLE(INDEX('[1]ATTENDANCE DAILY'!$I$4:$AM$663,$CC53,DAY(N$14)))="T-Late","T-L",IF(_xlfn.SINGLE(INDEX('[1]ATTENDANCE DAILY'!$I$4:$AM$663,$CC53,DAY(N$14)))="T-Cutting","T-C",INDEX('[1]ATTENDANCE DAILY'!$I$4:$AM$663,$CC53,DAY(N$14)))))),IFERROR(IF(_xlpm._r=0,"",_xlpm._r),""))</f>
        <v/>
      </c>
      <c r="O53" s="101" t="str">
        <f>_xlfn.LET(_xlpm._r,_xlfn.SINGLE(IF(OR($CC53="",O$14="",O$14&lt;_xlfn.SINGLE(INDEX('[1]ATTENDANCE DAILY'!$AV$4:$AV$663,$CC53)),O$14&gt;_xlfn.SINGLE(INDEX('[1]ATTENDANCE DAILY'!$AW$4:$AW$663,$CC53))),"",IF(_xlfn.SINGLE(INDEX('[1]ATTENDANCE DAILY'!$I$4:$AM$663,$CC53,DAY(O$14)))="T-Late","T-L",IF(_xlfn.SINGLE(INDEX('[1]ATTENDANCE DAILY'!$I$4:$AM$663,$CC53,DAY(O$14)))="T-Cutting","T-C",INDEX('[1]ATTENDANCE DAILY'!$I$4:$AM$663,$CC53,DAY(O$14)))))),IFERROR(IF(_xlpm._r=0,"",_xlpm._r),""))</f>
        <v/>
      </c>
      <c r="P53" s="102"/>
      <c r="Q53" s="102"/>
      <c r="R53" s="99"/>
      <c r="S53" s="101" t="str">
        <f>_xlfn.LET(_xlpm._r,_xlfn.SINGLE(IF(OR($CC53="",S$14="",S$14&lt;_xlfn.SINGLE(INDEX('[1]ATTENDANCE DAILY'!$AV$4:$AV$663,$CC53)),S$14&gt;_xlfn.SINGLE(INDEX('[1]ATTENDANCE DAILY'!$AW$4:$AW$663,$CC53))),"",IF(_xlfn.SINGLE(INDEX('[1]ATTENDANCE DAILY'!$I$4:$AM$663,$CC53,DAY(S$14)))="T-Late","T-L",IF(_xlfn.SINGLE(INDEX('[1]ATTENDANCE DAILY'!$I$4:$AM$663,$CC53,DAY(S$14)))="T-Cutting","T-C",INDEX('[1]ATTENDANCE DAILY'!$I$4:$AM$663,$CC53,DAY(S$14)))))),IFERROR(IF(_xlpm._r=0,"",_xlpm._r),""))</f>
        <v/>
      </c>
      <c r="T53" s="102"/>
      <c r="U53" s="103"/>
      <c r="V53" s="100" t="str">
        <f>_xlfn.LET(_xlpm._r,_xlfn.SINGLE(IF(OR($CC53="",V$14="",V$14&lt;_xlfn.SINGLE(INDEX('[1]ATTENDANCE DAILY'!$AV$4:$AV$663,$CC53)),V$14&gt;_xlfn.SINGLE(INDEX('[1]ATTENDANCE DAILY'!$AW$4:$AW$663,$CC53))),"",IF(_xlfn.SINGLE(INDEX('[1]ATTENDANCE DAILY'!$I$4:$AM$663,$CC53,DAY(V$14)))="T-Late","T-L",IF(_xlfn.SINGLE(INDEX('[1]ATTENDANCE DAILY'!$I$4:$AM$663,$CC53,DAY(V$14)))="T-Cutting","T-C",INDEX('[1]ATTENDANCE DAILY'!$I$4:$AM$663,$CC53,DAY(V$14)))))),IFERROR(IF(_xlpm._r=0,"",_xlpm._r),""))</f>
        <v/>
      </c>
      <c r="W53" s="101" t="str">
        <f>_xlfn.LET(_xlpm._r,_xlfn.SINGLE(IF(OR($CC53="",W$14="",W$14&lt;_xlfn.SINGLE(INDEX('[1]ATTENDANCE DAILY'!$AV$4:$AV$663,$CC53)),W$14&gt;_xlfn.SINGLE(INDEX('[1]ATTENDANCE DAILY'!$AW$4:$AW$663,$CC53))),"",IF(_xlfn.SINGLE(INDEX('[1]ATTENDANCE DAILY'!$I$4:$AM$663,$CC53,DAY(W$14)))="T-Late","T-L",IF(_xlfn.SINGLE(INDEX('[1]ATTENDANCE DAILY'!$I$4:$AM$663,$CC53,DAY(W$14)))="T-Cutting","T-C",INDEX('[1]ATTENDANCE DAILY'!$I$4:$AM$663,$CC53,DAY(W$14)))))),IFERROR(IF(_xlpm._r=0,"",_xlpm._r),""))</f>
        <v/>
      </c>
      <c r="X53" s="102"/>
      <c r="Y53" s="99"/>
      <c r="Z53" s="100" t="str">
        <f>_xlfn.LET(_xlpm._r,_xlfn.SINGLE(IF(OR($CC53="",Z$14="",Z$14&lt;_xlfn.SINGLE(INDEX('[1]ATTENDANCE DAILY'!$AV$4:$AV$663,$CC53)),Z$14&gt;_xlfn.SINGLE(INDEX('[1]ATTENDANCE DAILY'!$AW$4:$AW$663,$CC53))),"",IF(_xlfn.SINGLE(INDEX('[1]ATTENDANCE DAILY'!$I$4:$AM$663,$CC53,DAY(Z$14)))="T-Late","T-L",IF(_xlfn.SINGLE(INDEX('[1]ATTENDANCE DAILY'!$I$4:$AM$663,$CC53,DAY(Z$14)))="T-Cutting","T-C",INDEX('[1]ATTENDANCE DAILY'!$I$4:$AM$663,$CC53,DAY(Z$14)))))),IFERROR(IF(_xlpm._r=0,"",_xlpm._r),""))</f>
        <v/>
      </c>
      <c r="AA53" s="100" t="str">
        <f>_xlfn.LET(_xlpm._r,_xlfn.SINGLE(IF(OR($CC53="",AA$14="",AA$14&lt;_xlfn.SINGLE(INDEX('[1]ATTENDANCE DAILY'!$AV$4:$AV$663,$CC53)),AA$14&gt;_xlfn.SINGLE(INDEX('[1]ATTENDANCE DAILY'!$AW$4:$AW$663,$CC53))),"",IF(_xlfn.SINGLE(INDEX('[1]ATTENDANCE DAILY'!$I$4:$AM$663,$CC53,DAY(AA$14)))="T-Late","T-L",IF(_xlfn.SINGLE(INDEX('[1]ATTENDANCE DAILY'!$I$4:$AM$663,$CC53,DAY(AA$14)))="T-Cutting","T-C",INDEX('[1]ATTENDANCE DAILY'!$I$4:$AM$663,$CC53,DAY(AA$14)))))),IFERROR(IF(_xlpm._r=0,"",_xlpm._r),""))</f>
        <v/>
      </c>
      <c r="AB53" s="101" t="str">
        <f>_xlfn.LET(_xlpm._r,_xlfn.SINGLE(IF(OR($CC53="",AB$14="",AB$14&lt;_xlfn.SINGLE(INDEX('[1]ATTENDANCE DAILY'!$AV$4:$AV$663,$CC53)),AB$14&gt;_xlfn.SINGLE(INDEX('[1]ATTENDANCE DAILY'!$AW$4:$AW$663,$CC53))),"",IF(_xlfn.SINGLE(INDEX('[1]ATTENDANCE DAILY'!$I$4:$AM$663,$CC53,DAY(AB$14)))="T-Late","T-L",IF(_xlfn.SINGLE(INDEX('[1]ATTENDANCE DAILY'!$I$4:$AM$663,$CC53,DAY(AB$14)))="T-Cutting","T-C",INDEX('[1]ATTENDANCE DAILY'!$I$4:$AM$663,$CC53,DAY(AB$14)))))),IFERROR(IF(_xlpm._r=0,"",_xlpm._r),""))</f>
        <v/>
      </c>
      <c r="AC53" s="102"/>
      <c r="AD53" s="103"/>
      <c r="AE53" s="101" t="str">
        <f>_xlfn.LET(_xlpm._r,_xlfn.SINGLE(IF(OR($CC53="",AE$14="",AE$14&lt;_xlfn.SINGLE(INDEX('[1]ATTENDANCE DAILY'!$AV$4:$AV$663,$CC53)),AE$14&gt;_xlfn.SINGLE(INDEX('[1]ATTENDANCE DAILY'!$AW$4:$AW$663,$CC53))),"",IF(_xlfn.SINGLE(INDEX('[1]ATTENDANCE DAILY'!$I$4:$AM$663,$CC53,DAY(AE$14)))="T-Late","T-L",IF(_xlfn.SINGLE(INDEX('[1]ATTENDANCE DAILY'!$I$4:$AM$663,$CC53,DAY(AE$14)))="T-Cutting","T-C",INDEX('[1]ATTENDANCE DAILY'!$I$4:$AM$663,$CC53,DAY(AE$14)))))),IFERROR(IF(_xlpm._r=0,"",_xlpm._r),""))</f>
        <v/>
      </c>
      <c r="AF53" s="102"/>
      <c r="AG53" s="99"/>
      <c r="AH53" s="100" t="str">
        <f>_xlfn.LET(_xlpm._r,_xlfn.SINGLE(IF(OR($CC53="",AH$14="",AH$14&lt;_xlfn.SINGLE(INDEX('[1]ATTENDANCE DAILY'!$AV$4:$AV$663,$CC53)),AH$14&gt;_xlfn.SINGLE(INDEX('[1]ATTENDANCE DAILY'!$AW$4:$AW$663,$CC53))),"",IF(_xlfn.SINGLE(INDEX('[1]ATTENDANCE DAILY'!$I$4:$AM$663,$CC53,DAY(AH$14)))="T-Late","T-L",IF(_xlfn.SINGLE(INDEX('[1]ATTENDANCE DAILY'!$I$4:$AM$663,$CC53,DAY(AH$14)))="T-Cutting","T-C",INDEX('[1]ATTENDANCE DAILY'!$I$4:$AM$663,$CC53,DAY(AH$14)))))),IFERROR(IF(_xlpm._r=0,"",_xlpm._r),""))</f>
        <v/>
      </c>
      <c r="AI53" s="101" t="str">
        <f>_xlfn.LET(_xlpm._r,_xlfn.SINGLE(IF(OR($CC53="",AI$14="",AI$14&lt;_xlfn.SINGLE(INDEX('[1]ATTENDANCE DAILY'!$AV$4:$AV$663,$CC53)),AI$14&gt;_xlfn.SINGLE(INDEX('[1]ATTENDANCE DAILY'!$AW$4:$AW$663,$CC53))),"",IF(_xlfn.SINGLE(INDEX('[1]ATTENDANCE DAILY'!$I$4:$AM$663,$CC53,DAY(AI$14)))="T-Late","T-L",IF(_xlfn.SINGLE(INDEX('[1]ATTENDANCE DAILY'!$I$4:$AM$663,$CC53,DAY(AI$14)))="T-Cutting","T-C",INDEX('[1]ATTENDANCE DAILY'!$I$4:$AM$663,$CC53,DAY(AI$14)))))),IFERROR(IF(_xlpm._r=0,"",_xlpm._r),""))</f>
        <v/>
      </c>
      <c r="AJ53" s="102"/>
      <c r="AK53" s="99"/>
      <c r="AL53" s="101" t="str">
        <f>_xlfn.LET(_xlpm._r,_xlfn.SINGLE(IF(OR($CC53="",AL$14="",AL$14&lt;_xlfn.SINGLE(INDEX('[1]ATTENDANCE DAILY'!$AV$4:$AV$663,$CC53)),AL$14&gt;_xlfn.SINGLE(INDEX('[1]ATTENDANCE DAILY'!$AW$4:$AW$663,$CC53))),"",IF(_xlfn.SINGLE(INDEX('[1]ATTENDANCE DAILY'!$I$4:$AM$663,$CC53,DAY(AL$14)))="T-Late","T-L",IF(_xlfn.SINGLE(INDEX('[1]ATTENDANCE DAILY'!$I$4:$AM$663,$CC53,DAY(AL$14)))="T-Cutting","T-C",INDEX('[1]ATTENDANCE DAILY'!$I$4:$AM$663,$CC53,DAY(AL$14)))))),IFERROR(IF(_xlpm._r=0,"",_xlpm._r),""))</f>
        <v/>
      </c>
      <c r="AM53" s="99"/>
      <c r="AN53" s="101" t="str">
        <f>_xlfn.LET(_xlpm._r,_xlfn.SINGLE(IF(OR($CC53="",AN$14="",AN$14&lt;_xlfn.SINGLE(INDEX('[1]ATTENDANCE DAILY'!$AV$4:$AV$663,$CC53)),AN$14&gt;_xlfn.SINGLE(INDEX('[1]ATTENDANCE DAILY'!$AW$4:$AW$663,$CC53))),"",IF(_xlfn.SINGLE(INDEX('[1]ATTENDANCE DAILY'!$I$4:$AM$663,$CC53,DAY(AN$14)))="T-Late","T-L",IF(_xlfn.SINGLE(INDEX('[1]ATTENDANCE DAILY'!$I$4:$AM$663,$CC53,DAY(AN$14)))="T-Cutting","T-C",INDEX('[1]ATTENDANCE DAILY'!$I$4:$AM$663,$CC53,DAY(AN$14)))))),IFERROR(IF(_xlpm._r=0,"",_xlpm._r),""))</f>
        <v/>
      </c>
      <c r="AO53" s="103"/>
      <c r="AP53" s="101" t="str">
        <f>_xlfn.LET(_xlpm._r,_xlfn.SINGLE(IF(OR($CC53="",AP$14="",AP$14&lt;_xlfn.SINGLE(INDEX('[1]ATTENDANCE DAILY'!$AV$4:$AV$663,$CC53)),AP$14&gt;_xlfn.SINGLE(INDEX('[1]ATTENDANCE DAILY'!$AW$4:$AW$663,$CC53))),"",IF(_xlfn.SINGLE(INDEX('[1]ATTENDANCE DAILY'!$I$4:$AM$663,$CC53,DAY(AP$14)))="T-Late","T-L",IF(_xlfn.SINGLE(INDEX('[1]ATTENDANCE DAILY'!$I$4:$AM$663,$CC53,DAY(AP$14)))="T-Cutting","T-C",INDEX('[1]ATTENDANCE DAILY'!$I$4:$AM$663,$CC53,DAY(AP$14)))))),IFERROR(IF(_xlpm._r=0,"",_xlpm._r),""))</f>
        <v/>
      </c>
      <c r="AQ53" s="99"/>
      <c r="AR53" s="100" t="str">
        <f>_xlfn.LET(_xlpm._r,_xlfn.SINGLE(IF(OR($CC53="",AR$14="",AR$14&lt;_xlfn.SINGLE(INDEX('[1]ATTENDANCE DAILY'!$AV$4:$AV$663,$CC53)),AR$14&gt;_xlfn.SINGLE(INDEX('[1]ATTENDANCE DAILY'!$AW$4:$AW$663,$CC53))),"",IF(_xlfn.SINGLE(INDEX('[1]ATTENDANCE DAILY'!$I$4:$AM$663,$CC53,DAY(AR$14)))="T-Late","T-L",IF(_xlfn.SINGLE(INDEX('[1]ATTENDANCE DAILY'!$I$4:$AM$663,$CC53,DAY(AR$14)))="T-Cutting","T-C",INDEX('[1]ATTENDANCE DAILY'!$I$4:$AM$663,$CC53,DAY(AR$14)))))),IFERROR(IF(_xlpm._r=0,"",_xlpm._r),""))</f>
        <v/>
      </c>
      <c r="AS53" s="101" t="str">
        <f>_xlfn.LET(_xlpm._r,_xlfn.SINGLE(IF(OR($CC53="",AS$14="",AS$14&lt;_xlfn.SINGLE(INDEX('[1]ATTENDANCE DAILY'!$AV$4:$AV$663,$CC53)),AS$14&gt;_xlfn.SINGLE(INDEX('[1]ATTENDANCE DAILY'!$AW$4:$AW$663,$CC53))),"",IF(_xlfn.SINGLE(INDEX('[1]ATTENDANCE DAILY'!$I$4:$AM$663,$CC53,DAY(AS$14)))="T-Late","T-L",IF(_xlfn.SINGLE(INDEX('[1]ATTENDANCE DAILY'!$I$4:$AM$663,$CC53,DAY(AS$14)))="T-Cutting","T-C",INDEX('[1]ATTENDANCE DAILY'!$I$4:$AM$663,$CC53,DAY(AS$14)))))),IFERROR(IF(_xlpm._r=0,"",_xlpm._r),""))</f>
        <v/>
      </c>
      <c r="AT53" s="99"/>
      <c r="AU53" s="100" t="str">
        <f>_xlfn.LET(_xlpm._r,_xlfn.SINGLE(IF(OR($CC53="",AU$14="",AU$14&lt;_xlfn.SINGLE(INDEX('[1]ATTENDANCE DAILY'!$AV$4:$AV$663,$CC53)),AU$14&gt;_xlfn.SINGLE(INDEX('[1]ATTENDANCE DAILY'!$AW$4:$AW$663,$CC53))),"",IF(_xlfn.SINGLE(INDEX('[1]ATTENDANCE DAILY'!$I$4:$AM$663,$CC53,DAY(AU$14)))="T-Late","T-L",IF(_xlfn.SINGLE(INDEX('[1]ATTENDANCE DAILY'!$I$4:$AM$663,$CC53,DAY(AU$14)))="T-Cutting","T-C",INDEX('[1]ATTENDANCE DAILY'!$I$4:$AM$663,$CC53,DAY(AU$14)))))),IFERROR(IF(_xlpm._r=0,"",_xlpm._r),""))</f>
        <v/>
      </c>
      <c r="AV53" s="104" t="str">
        <f>_xlfn.LET(_xlpm._r,_xlfn.SINGLE(IF(OR($CC53="",AV$14="",AV$14&lt;_xlfn.SINGLE(INDEX('[1]ATTENDANCE DAILY'!$AV$4:$AV$663,$CC53)),AV$14&gt;_xlfn.SINGLE(INDEX('[1]ATTENDANCE DAILY'!$AW$4:$AW$663,$CC53))),"",IF(_xlfn.SINGLE(INDEX('[1]ATTENDANCE DAILY'!$I$4:$AM$663,$CC53,DAY(AV$14)))="T-Late","T-L",IF(_xlfn.SINGLE(INDEX('[1]ATTENDANCE DAILY'!$I$4:$AM$663,$CC53,DAY(AV$14)))="T-Cutting","T-C",INDEX('[1]ATTENDANCE DAILY'!$I$4:$AM$663,$CC53,DAY(AV$14)))))),IFERROR(IF(_xlpm._r=0,"",_xlpm._r),""))</f>
        <v/>
      </c>
      <c r="AW53" s="101" t="str">
        <f>_xlfn.LET(_xlpm._r,_xlfn.SINGLE(IF(OR($CC53="",AW$14="",AW$14&lt;_xlfn.SINGLE(INDEX('[1]ATTENDANCE DAILY'!$AV$4:$AV$663,$CC53)),AW$14&gt;_xlfn.SINGLE(INDEX('[1]ATTENDANCE DAILY'!$AW$4:$AW$663,$CC53))),"",IF(_xlfn.SINGLE(INDEX('[1]ATTENDANCE DAILY'!$I$4:$AM$663,$CC53,DAY(AW$14)))="T-Late","T-L",IF(_xlfn.SINGLE(INDEX('[1]ATTENDANCE DAILY'!$I$4:$AM$663,$CC53,DAY(AW$14)))="T-Cutting","T-C",INDEX('[1]ATTENDANCE DAILY'!$I$4:$AM$663,$CC53,DAY(AW$14)))))),IFERROR(IF(_xlpm._r=0,"",_xlpm._r),""))</f>
        <v/>
      </c>
      <c r="AX53" s="99"/>
      <c r="AY53" s="101" t="str">
        <f>_xlfn.LET(_xlpm._r,_xlfn.SINGLE(IF(OR($CC53="",AY$14="",AY$14&lt;_xlfn.SINGLE(INDEX('[1]ATTENDANCE DAILY'!$AV$4:$AV$663,$CC53)),AY$14&gt;_xlfn.SINGLE(INDEX('[1]ATTENDANCE DAILY'!$AW$4:$AW$663,$CC53))),"",IF(_xlfn.SINGLE(INDEX('[1]ATTENDANCE DAILY'!$I$4:$AM$663,$CC53,DAY(AY$14)))="T-Late","T-L",IF(_xlfn.SINGLE(INDEX('[1]ATTENDANCE DAILY'!$I$4:$AM$663,$CC53,DAY(AY$14)))="T-Cutting","T-C",INDEX('[1]ATTENDANCE DAILY'!$I$4:$AM$663,$CC53,DAY(AY$14)))))),IFERROR(IF(_xlpm._r=0,"",_xlpm._r),""))</f>
        <v/>
      </c>
      <c r="AZ53" s="102"/>
      <c r="BA53" s="99"/>
      <c r="BB53" s="101" t="str">
        <f>_xlfn.LET(_xlpm._r,_xlfn.SINGLE(IF(OR($CC53="",BB$14="",BB$14&lt;_xlfn.SINGLE(INDEX('[1]ATTENDANCE DAILY'!$AV$4:$AV$663,$CC53)),BB$14&gt;_xlfn.SINGLE(INDEX('[1]ATTENDANCE DAILY'!$AW$4:$AW$663,$CC53))),"",IF(_xlfn.SINGLE(INDEX('[1]ATTENDANCE DAILY'!$I$4:$AM$663,$CC53,DAY(BB$14)))="T-Late","T-L",IF(_xlfn.SINGLE(INDEX('[1]ATTENDANCE DAILY'!$I$4:$AM$663,$CC53,DAY(BB$14)))="T-Cutting","T-C",INDEX('[1]ATTENDANCE DAILY'!$I$4:$AM$663,$CC53,DAY(BB$14)))))),IFERROR(IF(_xlpm._r=0,"",_xlpm._r),""))</f>
        <v/>
      </c>
      <c r="BC53" s="99"/>
      <c r="BD53" s="100" t="str">
        <f>_xlfn.LET(_xlpm._r,_xlfn.SINGLE(IF(OR($CC53="",BD$14="",BD$14&lt;_xlfn.SINGLE(INDEX('[1]ATTENDANCE DAILY'!$AV$4:$AV$663,$CC53)),BD$14&gt;_xlfn.SINGLE(INDEX('[1]ATTENDANCE DAILY'!$AW$4:$AW$663,$CC53))),"",IF(_xlfn.SINGLE(INDEX('[1]ATTENDANCE DAILY'!$I$4:$AM$663,$CC53,DAY(BD$14)))="T-Late","T-L",IF(_xlfn.SINGLE(INDEX('[1]ATTENDANCE DAILY'!$I$4:$AM$663,$CC53,DAY(BD$14)))="T-Cutting","T-C",INDEX('[1]ATTENDANCE DAILY'!$I$4:$AM$663,$CC53,DAY(BD$14)))))),IFERROR(IF(_xlpm._r=0,"",_xlpm._r),""))</f>
        <v/>
      </c>
      <c r="BE53" s="101" t="str">
        <f>_xlfn.LET(_xlpm._r,_xlfn.SINGLE(IF(OR($CC53="",BE$14="",BE$14&lt;_xlfn.SINGLE(INDEX('[1]ATTENDANCE DAILY'!$AV$4:$AV$663,$CC53)),BE$14&gt;_xlfn.SINGLE(INDEX('[1]ATTENDANCE DAILY'!$AW$4:$AW$663,$CC53))),"",IF(_xlfn.SINGLE(INDEX('[1]ATTENDANCE DAILY'!$I$4:$AM$663,$CC53,DAY(BE$14)))="T-Late","T-L",IF(_xlfn.SINGLE(INDEX('[1]ATTENDANCE DAILY'!$I$4:$AM$663,$CC53,DAY(BE$14)))="T-Cutting","T-C",INDEX('[1]ATTENDANCE DAILY'!$I$4:$AM$663,$CC53,DAY(BE$14)))))),IFERROR(IF(_xlpm._r=0,"",_xlpm._r),""))</f>
        <v/>
      </c>
      <c r="BF53" s="102"/>
      <c r="BG53" s="102"/>
      <c r="BH53" s="103"/>
      <c r="BI53" s="105">
        <f>IF($CC53="","",INDEX('[1]ATTENDANCE DAILY'!$AR$4:$AR$663,$CC53))</f>
        <v>0</v>
      </c>
      <c r="BJ53" s="106"/>
      <c r="BK53" s="107"/>
      <c r="BL53" s="105">
        <f>IF($CC53="","",INDEX('[1]ATTENDANCE DAILY'!$AS$4:$AS$663,$CC53))</f>
        <v>23</v>
      </c>
      <c r="BM53" s="106"/>
      <c r="BN53" s="106"/>
      <c r="BO53" s="107"/>
      <c r="BP53" s="105" t="str">
        <f>IF($CC53="","",IF(INDEX('[1]ATTENDANCE DAILY'!$AN$4:$AN$663,$CC53)="","",INDEX('[1]ATTENDANCE DAILY'!$AN$4:$AN$663,$CC53)&amp;IF(INDEX('[1]ATTENDANCE DAILY'!$AO$4:$AO$663,$CC53)="",""," ("&amp;TEXT(INDEX('[1]ATTENDANCE DAILY'!$AO$4:$AO$663,$CC53),"mm-dd-yyyy")&amp;")")&amp;IF(INDEX('[1]ATTENDANCE DAILY'!$AP$4:$AP$663,$CC53)="",""," - "&amp;INDEX('[1]ATTENDANCE DAILY'!$AP$4:$AP$663,$CC53))))</f>
        <v/>
      </c>
      <c r="BQ53" s="106"/>
      <c r="BR53" s="106"/>
      <c r="BS53" s="106"/>
      <c r="BT53" s="106"/>
      <c r="BU53" s="106"/>
      <c r="BV53" s="106"/>
      <c r="BW53" s="106"/>
      <c r="BX53" s="106"/>
      <c r="BY53" s="106"/>
      <c r="BZ53" s="106"/>
      <c r="CA53" s="107"/>
      <c r="CC53">
        <f>IF(COUNTIFS('[1]ATTENDANCE DAILY'!$C$4:$C$663,$BN$11,'[1]ATTENDANCE DAILY'!$F$4:$F$663,"Female",'[1]ATTENDANCE DAILY'!$G$4:$G$663,1,'[1]ATTENDANCE DAILY'!$BA$4:$BA$663,10)=0,"",SUMIFS('[1]ATTENDANCE DAILY'!$A$4:$A$663,'[1]ATTENDANCE DAILY'!$C$4:$C$663,$BN$11,'[1]ATTENDANCE DAILY'!$F$4:$F$663,"Female",'[1]ATTENDANCE DAILY'!$G$4:$G$663,1,'[1]ATTENDANCE DAILY'!$BA$4:$BA$663,10))</f>
        <v>84</v>
      </c>
    </row>
    <row r="54" spans="1:81" ht="19.95" customHeight="1" thickTop="1" thickBot="1">
      <c r="A54" s="92">
        <v>11</v>
      </c>
      <c r="B54" s="93"/>
      <c r="C54" s="93"/>
      <c r="D54" s="93"/>
      <c r="E54" s="93"/>
      <c r="F54" s="94"/>
      <c r="G54" s="95" t="str">
        <f>IF($CC54="","",INDEX('[1]ATTENDANCE DAILY'!$E$4:$E$663,$CC54))</f>
        <v>FAJARDO, PRINCE DANIEL RODAJE</v>
      </c>
      <c r="H54" s="96"/>
      <c r="I54" s="96"/>
      <c r="J54" s="97"/>
      <c r="K54" s="98" t="str">
        <f>_xlfn.LET(_xlpm._r,_xlfn.SINGLE(IF(OR($CC54="",K$14="",K$14&lt;_xlfn.SINGLE(INDEX('[1]ATTENDANCE DAILY'!$AV$4:$AV$663,$CC54)),K$14&gt;_xlfn.SINGLE(INDEX('[1]ATTENDANCE DAILY'!$AW$4:$AW$663,$CC54))),"",IF(_xlfn.SINGLE(INDEX('[1]ATTENDANCE DAILY'!$I$4:$AM$663,$CC54,DAY(K$14)))="T-Late","T-L",IF(_xlfn.SINGLE(INDEX('[1]ATTENDANCE DAILY'!$I$4:$AM$663,$CC54,DAY(K$14)))="T-Cutting","T-C",INDEX('[1]ATTENDANCE DAILY'!$I$4:$AM$663,$CC54,DAY(K$14)))))),IFERROR(IF(_xlpm._r=0,"",_xlpm._r),""))</f>
        <v/>
      </c>
      <c r="L54" s="99"/>
      <c r="M54" s="100" t="str">
        <f>_xlfn.LET(_xlpm._r,_xlfn.SINGLE(IF(OR($CC54="",M$14="",M$14&lt;_xlfn.SINGLE(INDEX('[1]ATTENDANCE DAILY'!$AV$4:$AV$663,$CC54)),M$14&gt;_xlfn.SINGLE(INDEX('[1]ATTENDANCE DAILY'!$AW$4:$AW$663,$CC54))),"",IF(_xlfn.SINGLE(INDEX('[1]ATTENDANCE DAILY'!$I$4:$AM$663,$CC54,DAY(M$14)))="T-Late","T-L",IF(_xlfn.SINGLE(INDEX('[1]ATTENDANCE DAILY'!$I$4:$AM$663,$CC54,DAY(M$14)))="T-Cutting","T-C",INDEX('[1]ATTENDANCE DAILY'!$I$4:$AM$663,$CC54,DAY(M$14)))))),IFERROR(IF(_xlpm._r=0,"",_xlpm._r),""))</f>
        <v/>
      </c>
      <c r="N54" s="100" t="str">
        <f>_xlfn.LET(_xlpm._r,_xlfn.SINGLE(IF(OR($CC54="",N$14="",N$14&lt;_xlfn.SINGLE(INDEX('[1]ATTENDANCE DAILY'!$AV$4:$AV$663,$CC54)),N$14&gt;_xlfn.SINGLE(INDEX('[1]ATTENDANCE DAILY'!$AW$4:$AW$663,$CC54))),"",IF(_xlfn.SINGLE(INDEX('[1]ATTENDANCE DAILY'!$I$4:$AM$663,$CC54,DAY(N$14)))="T-Late","T-L",IF(_xlfn.SINGLE(INDEX('[1]ATTENDANCE DAILY'!$I$4:$AM$663,$CC54,DAY(N$14)))="T-Cutting","T-C",INDEX('[1]ATTENDANCE DAILY'!$I$4:$AM$663,$CC54,DAY(N$14)))))),IFERROR(IF(_xlpm._r=0,"",_xlpm._r),""))</f>
        <v/>
      </c>
      <c r="O54" s="101" t="str">
        <f>_xlfn.LET(_xlpm._r,_xlfn.SINGLE(IF(OR($CC54="",O$14="",O$14&lt;_xlfn.SINGLE(INDEX('[1]ATTENDANCE DAILY'!$AV$4:$AV$663,$CC54)),O$14&gt;_xlfn.SINGLE(INDEX('[1]ATTENDANCE DAILY'!$AW$4:$AW$663,$CC54))),"",IF(_xlfn.SINGLE(INDEX('[1]ATTENDANCE DAILY'!$I$4:$AM$663,$CC54,DAY(O$14)))="T-Late","T-L",IF(_xlfn.SINGLE(INDEX('[1]ATTENDANCE DAILY'!$I$4:$AM$663,$CC54,DAY(O$14)))="T-Cutting","T-C",INDEX('[1]ATTENDANCE DAILY'!$I$4:$AM$663,$CC54,DAY(O$14)))))),IFERROR(IF(_xlpm._r=0,"",_xlpm._r),""))</f>
        <v/>
      </c>
      <c r="P54" s="102"/>
      <c r="Q54" s="102"/>
      <c r="R54" s="99"/>
      <c r="S54" s="101" t="str">
        <f>_xlfn.LET(_xlpm._r,_xlfn.SINGLE(IF(OR($CC54="",S$14="",S$14&lt;_xlfn.SINGLE(INDEX('[1]ATTENDANCE DAILY'!$AV$4:$AV$663,$CC54)),S$14&gt;_xlfn.SINGLE(INDEX('[1]ATTENDANCE DAILY'!$AW$4:$AW$663,$CC54))),"",IF(_xlfn.SINGLE(INDEX('[1]ATTENDANCE DAILY'!$I$4:$AM$663,$CC54,DAY(S$14)))="T-Late","T-L",IF(_xlfn.SINGLE(INDEX('[1]ATTENDANCE DAILY'!$I$4:$AM$663,$CC54,DAY(S$14)))="T-Cutting","T-C",INDEX('[1]ATTENDANCE DAILY'!$I$4:$AM$663,$CC54,DAY(S$14)))))),IFERROR(IF(_xlpm._r=0,"",_xlpm._r),""))</f>
        <v/>
      </c>
      <c r="T54" s="102"/>
      <c r="U54" s="103"/>
      <c r="V54" s="100" t="str">
        <f>_xlfn.LET(_xlpm._r,_xlfn.SINGLE(IF(OR($CC54="",V$14="",V$14&lt;_xlfn.SINGLE(INDEX('[1]ATTENDANCE DAILY'!$AV$4:$AV$663,$CC54)),V$14&gt;_xlfn.SINGLE(INDEX('[1]ATTENDANCE DAILY'!$AW$4:$AW$663,$CC54))),"",IF(_xlfn.SINGLE(INDEX('[1]ATTENDANCE DAILY'!$I$4:$AM$663,$CC54,DAY(V$14)))="T-Late","T-L",IF(_xlfn.SINGLE(INDEX('[1]ATTENDANCE DAILY'!$I$4:$AM$663,$CC54,DAY(V$14)))="T-Cutting","T-C",INDEX('[1]ATTENDANCE DAILY'!$I$4:$AM$663,$CC54,DAY(V$14)))))),IFERROR(IF(_xlpm._r=0,"",_xlpm._r),""))</f>
        <v/>
      </c>
      <c r="W54" s="101" t="str">
        <f>_xlfn.LET(_xlpm._r,_xlfn.SINGLE(IF(OR($CC54="",W$14="",W$14&lt;_xlfn.SINGLE(INDEX('[1]ATTENDANCE DAILY'!$AV$4:$AV$663,$CC54)),W$14&gt;_xlfn.SINGLE(INDEX('[1]ATTENDANCE DAILY'!$AW$4:$AW$663,$CC54))),"",IF(_xlfn.SINGLE(INDEX('[1]ATTENDANCE DAILY'!$I$4:$AM$663,$CC54,DAY(W$14)))="T-Late","T-L",IF(_xlfn.SINGLE(INDEX('[1]ATTENDANCE DAILY'!$I$4:$AM$663,$CC54,DAY(W$14)))="T-Cutting","T-C",INDEX('[1]ATTENDANCE DAILY'!$I$4:$AM$663,$CC54,DAY(W$14)))))),IFERROR(IF(_xlpm._r=0,"",_xlpm._r),""))</f>
        <v/>
      </c>
      <c r="X54" s="102"/>
      <c r="Y54" s="99"/>
      <c r="Z54" s="100" t="str">
        <f>_xlfn.LET(_xlpm._r,_xlfn.SINGLE(IF(OR($CC54="",Z$14="",Z$14&lt;_xlfn.SINGLE(INDEX('[1]ATTENDANCE DAILY'!$AV$4:$AV$663,$CC54)),Z$14&gt;_xlfn.SINGLE(INDEX('[1]ATTENDANCE DAILY'!$AW$4:$AW$663,$CC54))),"",IF(_xlfn.SINGLE(INDEX('[1]ATTENDANCE DAILY'!$I$4:$AM$663,$CC54,DAY(Z$14)))="T-Late","T-L",IF(_xlfn.SINGLE(INDEX('[1]ATTENDANCE DAILY'!$I$4:$AM$663,$CC54,DAY(Z$14)))="T-Cutting","T-C",INDEX('[1]ATTENDANCE DAILY'!$I$4:$AM$663,$CC54,DAY(Z$14)))))),IFERROR(IF(_xlpm._r=0,"",_xlpm._r),""))</f>
        <v/>
      </c>
      <c r="AA54" s="100" t="str">
        <f>_xlfn.LET(_xlpm._r,_xlfn.SINGLE(IF(OR($CC54="",AA$14="",AA$14&lt;_xlfn.SINGLE(INDEX('[1]ATTENDANCE DAILY'!$AV$4:$AV$663,$CC54)),AA$14&gt;_xlfn.SINGLE(INDEX('[1]ATTENDANCE DAILY'!$AW$4:$AW$663,$CC54))),"",IF(_xlfn.SINGLE(INDEX('[1]ATTENDANCE DAILY'!$I$4:$AM$663,$CC54,DAY(AA$14)))="T-Late","T-L",IF(_xlfn.SINGLE(INDEX('[1]ATTENDANCE DAILY'!$I$4:$AM$663,$CC54,DAY(AA$14)))="T-Cutting","T-C",INDEX('[1]ATTENDANCE DAILY'!$I$4:$AM$663,$CC54,DAY(AA$14)))))),IFERROR(IF(_xlpm._r=0,"",_xlpm._r),""))</f>
        <v/>
      </c>
      <c r="AB54" s="101" t="str">
        <f>_xlfn.LET(_xlpm._r,_xlfn.SINGLE(IF(OR($CC54="",AB$14="",AB$14&lt;_xlfn.SINGLE(INDEX('[1]ATTENDANCE DAILY'!$AV$4:$AV$663,$CC54)),AB$14&gt;_xlfn.SINGLE(INDEX('[1]ATTENDANCE DAILY'!$AW$4:$AW$663,$CC54))),"",IF(_xlfn.SINGLE(INDEX('[1]ATTENDANCE DAILY'!$I$4:$AM$663,$CC54,DAY(AB$14)))="T-Late","T-L",IF(_xlfn.SINGLE(INDEX('[1]ATTENDANCE DAILY'!$I$4:$AM$663,$CC54,DAY(AB$14)))="T-Cutting","T-C",INDEX('[1]ATTENDANCE DAILY'!$I$4:$AM$663,$CC54,DAY(AB$14)))))),IFERROR(IF(_xlpm._r=0,"",_xlpm._r),""))</f>
        <v/>
      </c>
      <c r="AC54" s="102"/>
      <c r="AD54" s="103"/>
      <c r="AE54" s="101" t="str">
        <f>_xlfn.LET(_xlpm._r,_xlfn.SINGLE(IF(OR($CC54="",AE$14="",AE$14&lt;_xlfn.SINGLE(INDEX('[1]ATTENDANCE DAILY'!$AV$4:$AV$663,$CC54)),AE$14&gt;_xlfn.SINGLE(INDEX('[1]ATTENDANCE DAILY'!$AW$4:$AW$663,$CC54))),"",IF(_xlfn.SINGLE(INDEX('[1]ATTENDANCE DAILY'!$I$4:$AM$663,$CC54,DAY(AE$14)))="T-Late","T-L",IF(_xlfn.SINGLE(INDEX('[1]ATTENDANCE DAILY'!$I$4:$AM$663,$CC54,DAY(AE$14)))="T-Cutting","T-C",INDEX('[1]ATTENDANCE DAILY'!$I$4:$AM$663,$CC54,DAY(AE$14)))))),IFERROR(IF(_xlpm._r=0,"",_xlpm._r),""))</f>
        <v/>
      </c>
      <c r="AF54" s="102"/>
      <c r="AG54" s="99"/>
      <c r="AH54" s="100" t="str">
        <f>_xlfn.LET(_xlpm._r,_xlfn.SINGLE(IF(OR($CC54="",AH$14="",AH$14&lt;_xlfn.SINGLE(INDEX('[1]ATTENDANCE DAILY'!$AV$4:$AV$663,$CC54)),AH$14&gt;_xlfn.SINGLE(INDEX('[1]ATTENDANCE DAILY'!$AW$4:$AW$663,$CC54))),"",IF(_xlfn.SINGLE(INDEX('[1]ATTENDANCE DAILY'!$I$4:$AM$663,$CC54,DAY(AH$14)))="T-Late","T-L",IF(_xlfn.SINGLE(INDEX('[1]ATTENDANCE DAILY'!$I$4:$AM$663,$CC54,DAY(AH$14)))="T-Cutting","T-C",INDEX('[1]ATTENDANCE DAILY'!$I$4:$AM$663,$CC54,DAY(AH$14)))))),IFERROR(IF(_xlpm._r=0,"",_xlpm._r),""))</f>
        <v/>
      </c>
      <c r="AI54" s="101" t="str">
        <f>_xlfn.LET(_xlpm._r,_xlfn.SINGLE(IF(OR($CC54="",AI$14="",AI$14&lt;_xlfn.SINGLE(INDEX('[1]ATTENDANCE DAILY'!$AV$4:$AV$663,$CC54)),AI$14&gt;_xlfn.SINGLE(INDEX('[1]ATTENDANCE DAILY'!$AW$4:$AW$663,$CC54))),"",IF(_xlfn.SINGLE(INDEX('[1]ATTENDANCE DAILY'!$I$4:$AM$663,$CC54,DAY(AI$14)))="T-Late","T-L",IF(_xlfn.SINGLE(INDEX('[1]ATTENDANCE DAILY'!$I$4:$AM$663,$CC54,DAY(AI$14)))="T-Cutting","T-C",INDEX('[1]ATTENDANCE DAILY'!$I$4:$AM$663,$CC54,DAY(AI$14)))))),IFERROR(IF(_xlpm._r=0,"",_xlpm._r),""))</f>
        <v/>
      </c>
      <c r="AJ54" s="102"/>
      <c r="AK54" s="99"/>
      <c r="AL54" s="101" t="str">
        <f>_xlfn.LET(_xlpm._r,_xlfn.SINGLE(IF(OR($CC54="",AL$14="",AL$14&lt;_xlfn.SINGLE(INDEX('[1]ATTENDANCE DAILY'!$AV$4:$AV$663,$CC54)),AL$14&gt;_xlfn.SINGLE(INDEX('[1]ATTENDANCE DAILY'!$AW$4:$AW$663,$CC54))),"",IF(_xlfn.SINGLE(INDEX('[1]ATTENDANCE DAILY'!$I$4:$AM$663,$CC54,DAY(AL$14)))="T-Late","T-L",IF(_xlfn.SINGLE(INDEX('[1]ATTENDANCE DAILY'!$I$4:$AM$663,$CC54,DAY(AL$14)))="T-Cutting","T-C",INDEX('[1]ATTENDANCE DAILY'!$I$4:$AM$663,$CC54,DAY(AL$14)))))),IFERROR(IF(_xlpm._r=0,"",_xlpm._r),""))</f>
        <v/>
      </c>
      <c r="AM54" s="99"/>
      <c r="AN54" s="101" t="str">
        <f>_xlfn.LET(_xlpm._r,_xlfn.SINGLE(IF(OR($CC54="",AN$14="",AN$14&lt;_xlfn.SINGLE(INDEX('[1]ATTENDANCE DAILY'!$AV$4:$AV$663,$CC54)),AN$14&gt;_xlfn.SINGLE(INDEX('[1]ATTENDANCE DAILY'!$AW$4:$AW$663,$CC54))),"",IF(_xlfn.SINGLE(INDEX('[1]ATTENDANCE DAILY'!$I$4:$AM$663,$CC54,DAY(AN$14)))="T-Late","T-L",IF(_xlfn.SINGLE(INDEX('[1]ATTENDANCE DAILY'!$I$4:$AM$663,$CC54,DAY(AN$14)))="T-Cutting","T-C",INDEX('[1]ATTENDANCE DAILY'!$I$4:$AM$663,$CC54,DAY(AN$14)))))),IFERROR(IF(_xlpm._r=0,"",_xlpm._r),""))</f>
        <v/>
      </c>
      <c r="AO54" s="103"/>
      <c r="AP54" s="101" t="str">
        <f>_xlfn.LET(_xlpm._r,_xlfn.SINGLE(IF(OR($CC54="",AP$14="",AP$14&lt;_xlfn.SINGLE(INDEX('[1]ATTENDANCE DAILY'!$AV$4:$AV$663,$CC54)),AP$14&gt;_xlfn.SINGLE(INDEX('[1]ATTENDANCE DAILY'!$AW$4:$AW$663,$CC54))),"",IF(_xlfn.SINGLE(INDEX('[1]ATTENDANCE DAILY'!$I$4:$AM$663,$CC54,DAY(AP$14)))="T-Late","T-L",IF(_xlfn.SINGLE(INDEX('[1]ATTENDANCE DAILY'!$I$4:$AM$663,$CC54,DAY(AP$14)))="T-Cutting","T-C",INDEX('[1]ATTENDANCE DAILY'!$I$4:$AM$663,$CC54,DAY(AP$14)))))),IFERROR(IF(_xlpm._r=0,"",_xlpm._r),""))</f>
        <v/>
      </c>
      <c r="AQ54" s="99"/>
      <c r="AR54" s="100" t="str">
        <f>_xlfn.LET(_xlpm._r,_xlfn.SINGLE(IF(OR($CC54="",AR$14="",AR$14&lt;_xlfn.SINGLE(INDEX('[1]ATTENDANCE DAILY'!$AV$4:$AV$663,$CC54)),AR$14&gt;_xlfn.SINGLE(INDEX('[1]ATTENDANCE DAILY'!$AW$4:$AW$663,$CC54))),"",IF(_xlfn.SINGLE(INDEX('[1]ATTENDANCE DAILY'!$I$4:$AM$663,$CC54,DAY(AR$14)))="T-Late","T-L",IF(_xlfn.SINGLE(INDEX('[1]ATTENDANCE DAILY'!$I$4:$AM$663,$CC54,DAY(AR$14)))="T-Cutting","T-C",INDEX('[1]ATTENDANCE DAILY'!$I$4:$AM$663,$CC54,DAY(AR$14)))))),IFERROR(IF(_xlpm._r=0,"",_xlpm._r),""))</f>
        <v/>
      </c>
      <c r="AS54" s="101" t="str">
        <f>_xlfn.LET(_xlpm._r,_xlfn.SINGLE(IF(OR($CC54="",AS$14="",AS$14&lt;_xlfn.SINGLE(INDEX('[1]ATTENDANCE DAILY'!$AV$4:$AV$663,$CC54)),AS$14&gt;_xlfn.SINGLE(INDEX('[1]ATTENDANCE DAILY'!$AW$4:$AW$663,$CC54))),"",IF(_xlfn.SINGLE(INDEX('[1]ATTENDANCE DAILY'!$I$4:$AM$663,$CC54,DAY(AS$14)))="T-Late","T-L",IF(_xlfn.SINGLE(INDEX('[1]ATTENDANCE DAILY'!$I$4:$AM$663,$CC54,DAY(AS$14)))="T-Cutting","T-C",INDEX('[1]ATTENDANCE DAILY'!$I$4:$AM$663,$CC54,DAY(AS$14)))))),IFERROR(IF(_xlpm._r=0,"",_xlpm._r),""))</f>
        <v/>
      </c>
      <c r="AT54" s="99"/>
      <c r="AU54" s="100" t="str">
        <f>_xlfn.LET(_xlpm._r,_xlfn.SINGLE(IF(OR($CC54="",AU$14="",AU$14&lt;_xlfn.SINGLE(INDEX('[1]ATTENDANCE DAILY'!$AV$4:$AV$663,$CC54)),AU$14&gt;_xlfn.SINGLE(INDEX('[1]ATTENDANCE DAILY'!$AW$4:$AW$663,$CC54))),"",IF(_xlfn.SINGLE(INDEX('[1]ATTENDANCE DAILY'!$I$4:$AM$663,$CC54,DAY(AU$14)))="T-Late","T-L",IF(_xlfn.SINGLE(INDEX('[1]ATTENDANCE DAILY'!$I$4:$AM$663,$CC54,DAY(AU$14)))="T-Cutting","T-C",INDEX('[1]ATTENDANCE DAILY'!$I$4:$AM$663,$CC54,DAY(AU$14)))))),IFERROR(IF(_xlpm._r=0,"",_xlpm._r),""))</f>
        <v/>
      </c>
      <c r="AV54" s="104" t="str">
        <f>_xlfn.LET(_xlpm._r,_xlfn.SINGLE(IF(OR($CC54="",AV$14="",AV$14&lt;_xlfn.SINGLE(INDEX('[1]ATTENDANCE DAILY'!$AV$4:$AV$663,$CC54)),AV$14&gt;_xlfn.SINGLE(INDEX('[1]ATTENDANCE DAILY'!$AW$4:$AW$663,$CC54))),"",IF(_xlfn.SINGLE(INDEX('[1]ATTENDANCE DAILY'!$I$4:$AM$663,$CC54,DAY(AV$14)))="T-Late","T-L",IF(_xlfn.SINGLE(INDEX('[1]ATTENDANCE DAILY'!$I$4:$AM$663,$CC54,DAY(AV$14)))="T-Cutting","T-C",INDEX('[1]ATTENDANCE DAILY'!$I$4:$AM$663,$CC54,DAY(AV$14)))))),IFERROR(IF(_xlpm._r=0,"",_xlpm._r),""))</f>
        <v/>
      </c>
      <c r="AW54" s="101" t="str">
        <f>_xlfn.LET(_xlpm._r,_xlfn.SINGLE(IF(OR($CC54="",AW$14="",AW$14&lt;_xlfn.SINGLE(INDEX('[1]ATTENDANCE DAILY'!$AV$4:$AV$663,$CC54)),AW$14&gt;_xlfn.SINGLE(INDEX('[1]ATTENDANCE DAILY'!$AW$4:$AW$663,$CC54))),"",IF(_xlfn.SINGLE(INDEX('[1]ATTENDANCE DAILY'!$I$4:$AM$663,$CC54,DAY(AW$14)))="T-Late","T-L",IF(_xlfn.SINGLE(INDEX('[1]ATTENDANCE DAILY'!$I$4:$AM$663,$CC54,DAY(AW$14)))="T-Cutting","T-C",INDEX('[1]ATTENDANCE DAILY'!$I$4:$AM$663,$CC54,DAY(AW$14)))))),IFERROR(IF(_xlpm._r=0,"",_xlpm._r),""))</f>
        <v/>
      </c>
      <c r="AX54" s="99"/>
      <c r="AY54" s="101" t="str">
        <f>_xlfn.LET(_xlpm._r,_xlfn.SINGLE(IF(OR($CC54="",AY$14="",AY$14&lt;_xlfn.SINGLE(INDEX('[1]ATTENDANCE DAILY'!$AV$4:$AV$663,$CC54)),AY$14&gt;_xlfn.SINGLE(INDEX('[1]ATTENDANCE DAILY'!$AW$4:$AW$663,$CC54))),"",IF(_xlfn.SINGLE(INDEX('[1]ATTENDANCE DAILY'!$I$4:$AM$663,$CC54,DAY(AY$14)))="T-Late","T-L",IF(_xlfn.SINGLE(INDEX('[1]ATTENDANCE DAILY'!$I$4:$AM$663,$CC54,DAY(AY$14)))="T-Cutting","T-C",INDEX('[1]ATTENDANCE DAILY'!$I$4:$AM$663,$CC54,DAY(AY$14)))))),IFERROR(IF(_xlpm._r=0,"",_xlpm._r),""))</f>
        <v/>
      </c>
      <c r="AZ54" s="102"/>
      <c r="BA54" s="99"/>
      <c r="BB54" s="101" t="str">
        <f>_xlfn.LET(_xlpm._r,_xlfn.SINGLE(IF(OR($CC54="",BB$14="",BB$14&lt;_xlfn.SINGLE(INDEX('[1]ATTENDANCE DAILY'!$AV$4:$AV$663,$CC54)),BB$14&gt;_xlfn.SINGLE(INDEX('[1]ATTENDANCE DAILY'!$AW$4:$AW$663,$CC54))),"",IF(_xlfn.SINGLE(INDEX('[1]ATTENDANCE DAILY'!$I$4:$AM$663,$CC54,DAY(BB$14)))="T-Late","T-L",IF(_xlfn.SINGLE(INDEX('[1]ATTENDANCE DAILY'!$I$4:$AM$663,$CC54,DAY(BB$14)))="T-Cutting","T-C",INDEX('[1]ATTENDANCE DAILY'!$I$4:$AM$663,$CC54,DAY(BB$14)))))),IFERROR(IF(_xlpm._r=0,"",_xlpm._r),""))</f>
        <v/>
      </c>
      <c r="BC54" s="99"/>
      <c r="BD54" s="100" t="str">
        <f>_xlfn.LET(_xlpm._r,_xlfn.SINGLE(IF(OR($CC54="",BD$14="",BD$14&lt;_xlfn.SINGLE(INDEX('[1]ATTENDANCE DAILY'!$AV$4:$AV$663,$CC54)),BD$14&gt;_xlfn.SINGLE(INDEX('[1]ATTENDANCE DAILY'!$AW$4:$AW$663,$CC54))),"",IF(_xlfn.SINGLE(INDEX('[1]ATTENDANCE DAILY'!$I$4:$AM$663,$CC54,DAY(BD$14)))="T-Late","T-L",IF(_xlfn.SINGLE(INDEX('[1]ATTENDANCE DAILY'!$I$4:$AM$663,$CC54,DAY(BD$14)))="T-Cutting","T-C",INDEX('[1]ATTENDANCE DAILY'!$I$4:$AM$663,$CC54,DAY(BD$14)))))),IFERROR(IF(_xlpm._r=0,"",_xlpm._r),""))</f>
        <v/>
      </c>
      <c r="BE54" s="101" t="str">
        <f>_xlfn.LET(_xlpm._r,_xlfn.SINGLE(IF(OR($CC54="",BE$14="",BE$14&lt;_xlfn.SINGLE(INDEX('[1]ATTENDANCE DAILY'!$AV$4:$AV$663,$CC54)),BE$14&gt;_xlfn.SINGLE(INDEX('[1]ATTENDANCE DAILY'!$AW$4:$AW$663,$CC54))),"",IF(_xlfn.SINGLE(INDEX('[1]ATTENDANCE DAILY'!$I$4:$AM$663,$CC54,DAY(BE$14)))="T-Late","T-L",IF(_xlfn.SINGLE(INDEX('[1]ATTENDANCE DAILY'!$I$4:$AM$663,$CC54,DAY(BE$14)))="T-Cutting","T-C",INDEX('[1]ATTENDANCE DAILY'!$I$4:$AM$663,$CC54,DAY(BE$14)))))),IFERROR(IF(_xlpm._r=0,"",_xlpm._r),""))</f>
        <v/>
      </c>
      <c r="BF54" s="102"/>
      <c r="BG54" s="102"/>
      <c r="BH54" s="103"/>
      <c r="BI54" s="105">
        <f>IF($CC54="","",INDEX('[1]ATTENDANCE DAILY'!$AR$4:$AR$663,$CC54))</f>
        <v>0</v>
      </c>
      <c r="BJ54" s="106"/>
      <c r="BK54" s="107"/>
      <c r="BL54" s="105">
        <f>IF($CC54="","",INDEX('[1]ATTENDANCE DAILY'!$AS$4:$AS$663,$CC54))</f>
        <v>23</v>
      </c>
      <c r="BM54" s="106"/>
      <c r="BN54" s="106"/>
      <c r="BO54" s="107"/>
      <c r="BP54" s="105" t="str">
        <f>IF($CC54="","",IF(INDEX('[1]ATTENDANCE DAILY'!$AN$4:$AN$663,$CC54)="","",INDEX('[1]ATTENDANCE DAILY'!$AN$4:$AN$663,$CC54)&amp;IF(INDEX('[1]ATTENDANCE DAILY'!$AO$4:$AO$663,$CC54)="",""," ("&amp;TEXT(INDEX('[1]ATTENDANCE DAILY'!$AO$4:$AO$663,$CC54),"mm-dd-yyyy")&amp;")")&amp;IF(INDEX('[1]ATTENDANCE DAILY'!$AP$4:$AP$663,$CC54)="",""," - "&amp;INDEX('[1]ATTENDANCE DAILY'!$AP$4:$AP$663,$CC54))))</f>
        <v/>
      </c>
      <c r="BQ54" s="106"/>
      <c r="BR54" s="106"/>
      <c r="BS54" s="106"/>
      <c r="BT54" s="106"/>
      <c r="BU54" s="106"/>
      <c r="BV54" s="106"/>
      <c r="BW54" s="106"/>
      <c r="BX54" s="106"/>
      <c r="BY54" s="106"/>
      <c r="BZ54" s="106"/>
      <c r="CA54" s="107"/>
      <c r="CC54">
        <f>IF(COUNTIFS('[1]ATTENDANCE DAILY'!$C$4:$C$663,$BN$11,'[1]ATTENDANCE DAILY'!$F$4:$F$663,"Female",'[1]ATTENDANCE DAILY'!$G$4:$G$663,1,'[1]ATTENDANCE DAILY'!$BA$4:$BA$663,11)=0,"",SUMIFS('[1]ATTENDANCE DAILY'!$A$4:$A$663,'[1]ATTENDANCE DAILY'!$C$4:$C$663,$BN$11,'[1]ATTENDANCE DAILY'!$F$4:$F$663,"Female",'[1]ATTENDANCE DAILY'!$G$4:$G$663,1,'[1]ATTENDANCE DAILY'!$BA$4:$BA$663,11))</f>
        <v>85</v>
      </c>
    </row>
    <row r="55" spans="1:81" ht="19.95" customHeight="1" thickTop="1" thickBot="1">
      <c r="A55" s="92">
        <v>12</v>
      </c>
      <c r="B55" s="93"/>
      <c r="C55" s="93"/>
      <c r="D55" s="93"/>
      <c r="E55" s="93"/>
      <c r="F55" s="94"/>
      <c r="G55" s="95" t="str">
        <f>IF($CC55="","",INDEX('[1]ATTENDANCE DAILY'!$E$4:$E$663,$CC55))</f>
        <v/>
      </c>
      <c r="H55" s="96"/>
      <c r="I55" s="96"/>
      <c r="J55" s="97"/>
      <c r="K55" s="98" t="str">
        <f>_xlfn.LET(_xlpm._r,_xlfn.SINGLE(IF(OR($CC55="",K$14="",K$14&lt;_xlfn.SINGLE(INDEX('[1]ATTENDANCE DAILY'!$AV$4:$AV$663,$CC55)),K$14&gt;_xlfn.SINGLE(INDEX('[1]ATTENDANCE DAILY'!$AW$4:$AW$663,$CC55))),"",IF(_xlfn.SINGLE(INDEX('[1]ATTENDANCE DAILY'!$I$4:$AM$663,$CC55,DAY(K$14)))="T-Late","T-L",IF(_xlfn.SINGLE(INDEX('[1]ATTENDANCE DAILY'!$I$4:$AM$663,$CC55,DAY(K$14)))="T-Cutting","T-C",INDEX('[1]ATTENDANCE DAILY'!$I$4:$AM$663,$CC55,DAY(K$14)))))),IFERROR(IF(_xlpm._r=0,"",_xlpm._r),""))</f>
        <v/>
      </c>
      <c r="L55" s="99"/>
      <c r="M55" s="100" t="str">
        <f>_xlfn.LET(_xlpm._r,_xlfn.SINGLE(IF(OR($CC55="",M$14="",M$14&lt;_xlfn.SINGLE(INDEX('[1]ATTENDANCE DAILY'!$AV$4:$AV$663,$CC55)),M$14&gt;_xlfn.SINGLE(INDEX('[1]ATTENDANCE DAILY'!$AW$4:$AW$663,$CC55))),"",IF(_xlfn.SINGLE(INDEX('[1]ATTENDANCE DAILY'!$I$4:$AM$663,$CC55,DAY(M$14)))="T-Late","T-L",IF(_xlfn.SINGLE(INDEX('[1]ATTENDANCE DAILY'!$I$4:$AM$663,$CC55,DAY(M$14)))="T-Cutting","T-C",INDEX('[1]ATTENDANCE DAILY'!$I$4:$AM$663,$CC55,DAY(M$14)))))),IFERROR(IF(_xlpm._r=0,"",_xlpm._r),""))</f>
        <v/>
      </c>
      <c r="N55" s="100" t="str">
        <f>_xlfn.LET(_xlpm._r,_xlfn.SINGLE(IF(OR($CC55="",N$14="",N$14&lt;_xlfn.SINGLE(INDEX('[1]ATTENDANCE DAILY'!$AV$4:$AV$663,$CC55)),N$14&gt;_xlfn.SINGLE(INDEX('[1]ATTENDANCE DAILY'!$AW$4:$AW$663,$CC55))),"",IF(_xlfn.SINGLE(INDEX('[1]ATTENDANCE DAILY'!$I$4:$AM$663,$CC55,DAY(N$14)))="T-Late","T-L",IF(_xlfn.SINGLE(INDEX('[1]ATTENDANCE DAILY'!$I$4:$AM$663,$CC55,DAY(N$14)))="T-Cutting","T-C",INDEX('[1]ATTENDANCE DAILY'!$I$4:$AM$663,$CC55,DAY(N$14)))))),IFERROR(IF(_xlpm._r=0,"",_xlpm._r),""))</f>
        <v/>
      </c>
      <c r="O55" s="101" t="str">
        <f>_xlfn.LET(_xlpm._r,_xlfn.SINGLE(IF(OR($CC55="",O$14="",O$14&lt;_xlfn.SINGLE(INDEX('[1]ATTENDANCE DAILY'!$AV$4:$AV$663,$CC55)),O$14&gt;_xlfn.SINGLE(INDEX('[1]ATTENDANCE DAILY'!$AW$4:$AW$663,$CC55))),"",IF(_xlfn.SINGLE(INDEX('[1]ATTENDANCE DAILY'!$I$4:$AM$663,$CC55,DAY(O$14)))="T-Late","T-L",IF(_xlfn.SINGLE(INDEX('[1]ATTENDANCE DAILY'!$I$4:$AM$663,$CC55,DAY(O$14)))="T-Cutting","T-C",INDEX('[1]ATTENDANCE DAILY'!$I$4:$AM$663,$CC55,DAY(O$14)))))),IFERROR(IF(_xlpm._r=0,"",_xlpm._r),""))</f>
        <v/>
      </c>
      <c r="P55" s="102"/>
      <c r="Q55" s="102"/>
      <c r="R55" s="99"/>
      <c r="S55" s="101" t="str">
        <f>_xlfn.LET(_xlpm._r,_xlfn.SINGLE(IF(OR($CC55="",S$14="",S$14&lt;_xlfn.SINGLE(INDEX('[1]ATTENDANCE DAILY'!$AV$4:$AV$663,$CC55)),S$14&gt;_xlfn.SINGLE(INDEX('[1]ATTENDANCE DAILY'!$AW$4:$AW$663,$CC55))),"",IF(_xlfn.SINGLE(INDEX('[1]ATTENDANCE DAILY'!$I$4:$AM$663,$CC55,DAY(S$14)))="T-Late","T-L",IF(_xlfn.SINGLE(INDEX('[1]ATTENDANCE DAILY'!$I$4:$AM$663,$CC55,DAY(S$14)))="T-Cutting","T-C",INDEX('[1]ATTENDANCE DAILY'!$I$4:$AM$663,$CC55,DAY(S$14)))))),IFERROR(IF(_xlpm._r=0,"",_xlpm._r),""))</f>
        <v/>
      </c>
      <c r="T55" s="102"/>
      <c r="U55" s="103"/>
      <c r="V55" s="100" t="str">
        <f>_xlfn.LET(_xlpm._r,_xlfn.SINGLE(IF(OR($CC55="",V$14="",V$14&lt;_xlfn.SINGLE(INDEX('[1]ATTENDANCE DAILY'!$AV$4:$AV$663,$CC55)),V$14&gt;_xlfn.SINGLE(INDEX('[1]ATTENDANCE DAILY'!$AW$4:$AW$663,$CC55))),"",IF(_xlfn.SINGLE(INDEX('[1]ATTENDANCE DAILY'!$I$4:$AM$663,$CC55,DAY(V$14)))="T-Late","T-L",IF(_xlfn.SINGLE(INDEX('[1]ATTENDANCE DAILY'!$I$4:$AM$663,$CC55,DAY(V$14)))="T-Cutting","T-C",INDEX('[1]ATTENDANCE DAILY'!$I$4:$AM$663,$CC55,DAY(V$14)))))),IFERROR(IF(_xlpm._r=0,"",_xlpm._r),""))</f>
        <v/>
      </c>
      <c r="W55" s="101" t="str">
        <f>_xlfn.LET(_xlpm._r,_xlfn.SINGLE(IF(OR($CC55="",W$14="",W$14&lt;_xlfn.SINGLE(INDEX('[1]ATTENDANCE DAILY'!$AV$4:$AV$663,$CC55)),W$14&gt;_xlfn.SINGLE(INDEX('[1]ATTENDANCE DAILY'!$AW$4:$AW$663,$CC55))),"",IF(_xlfn.SINGLE(INDEX('[1]ATTENDANCE DAILY'!$I$4:$AM$663,$CC55,DAY(W$14)))="T-Late","T-L",IF(_xlfn.SINGLE(INDEX('[1]ATTENDANCE DAILY'!$I$4:$AM$663,$CC55,DAY(W$14)))="T-Cutting","T-C",INDEX('[1]ATTENDANCE DAILY'!$I$4:$AM$663,$CC55,DAY(W$14)))))),IFERROR(IF(_xlpm._r=0,"",_xlpm._r),""))</f>
        <v/>
      </c>
      <c r="X55" s="102"/>
      <c r="Y55" s="99"/>
      <c r="Z55" s="100" t="str">
        <f>_xlfn.LET(_xlpm._r,_xlfn.SINGLE(IF(OR($CC55="",Z$14="",Z$14&lt;_xlfn.SINGLE(INDEX('[1]ATTENDANCE DAILY'!$AV$4:$AV$663,$CC55)),Z$14&gt;_xlfn.SINGLE(INDEX('[1]ATTENDANCE DAILY'!$AW$4:$AW$663,$CC55))),"",IF(_xlfn.SINGLE(INDEX('[1]ATTENDANCE DAILY'!$I$4:$AM$663,$CC55,DAY(Z$14)))="T-Late","T-L",IF(_xlfn.SINGLE(INDEX('[1]ATTENDANCE DAILY'!$I$4:$AM$663,$CC55,DAY(Z$14)))="T-Cutting","T-C",INDEX('[1]ATTENDANCE DAILY'!$I$4:$AM$663,$CC55,DAY(Z$14)))))),IFERROR(IF(_xlpm._r=0,"",_xlpm._r),""))</f>
        <v/>
      </c>
      <c r="AA55" s="100" t="str">
        <f>_xlfn.LET(_xlpm._r,_xlfn.SINGLE(IF(OR($CC55="",AA$14="",AA$14&lt;_xlfn.SINGLE(INDEX('[1]ATTENDANCE DAILY'!$AV$4:$AV$663,$CC55)),AA$14&gt;_xlfn.SINGLE(INDEX('[1]ATTENDANCE DAILY'!$AW$4:$AW$663,$CC55))),"",IF(_xlfn.SINGLE(INDEX('[1]ATTENDANCE DAILY'!$I$4:$AM$663,$CC55,DAY(AA$14)))="T-Late","T-L",IF(_xlfn.SINGLE(INDEX('[1]ATTENDANCE DAILY'!$I$4:$AM$663,$CC55,DAY(AA$14)))="T-Cutting","T-C",INDEX('[1]ATTENDANCE DAILY'!$I$4:$AM$663,$CC55,DAY(AA$14)))))),IFERROR(IF(_xlpm._r=0,"",_xlpm._r),""))</f>
        <v/>
      </c>
      <c r="AB55" s="101" t="str">
        <f>_xlfn.LET(_xlpm._r,_xlfn.SINGLE(IF(OR($CC55="",AB$14="",AB$14&lt;_xlfn.SINGLE(INDEX('[1]ATTENDANCE DAILY'!$AV$4:$AV$663,$CC55)),AB$14&gt;_xlfn.SINGLE(INDEX('[1]ATTENDANCE DAILY'!$AW$4:$AW$663,$CC55))),"",IF(_xlfn.SINGLE(INDEX('[1]ATTENDANCE DAILY'!$I$4:$AM$663,$CC55,DAY(AB$14)))="T-Late","T-L",IF(_xlfn.SINGLE(INDEX('[1]ATTENDANCE DAILY'!$I$4:$AM$663,$CC55,DAY(AB$14)))="T-Cutting","T-C",INDEX('[1]ATTENDANCE DAILY'!$I$4:$AM$663,$CC55,DAY(AB$14)))))),IFERROR(IF(_xlpm._r=0,"",_xlpm._r),""))</f>
        <v/>
      </c>
      <c r="AC55" s="102"/>
      <c r="AD55" s="103"/>
      <c r="AE55" s="101" t="str">
        <f>_xlfn.LET(_xlpm._r,_xlfn.SINGLE(IF(OR($CC55="",AE$14="",AE$14&lt;_xlfn.SINGLE(INDEX('[1]ATTENDANCE DAILY'!$AV$4:$AV$663,$CC55)),AE$14&gt;_xlfn.SINGLE(INDEX('[1]ATTENDANCE DAILY'!$AW$4:$AW$663,$CC55))),"",IF(_xlfn.SINGLE(INDEX('[1]ATTENDANCE DAILY'!$I$4:$AM$663,$CC55,DAY(AE$14)))="T-Late","T-L",IF(_xlfn.SINGLE(INDEX('[1]ATTENDANCE DAILY'!$I$4:$AM$663,$CC55,DAY(AE$14)))="T-Cutting","T-C",INDEX('[1]ATTENDANCE DAILY'!$I$4:$AM$663,$CC55,DAY(AE$14)))))),IFERROR(IF(_xlpm._r=0,"",_xlpm._r),""))</f>
        <v/>
      </c>
      <c r="AF55" s="102"/>
      <c r="AG55" s="99"/>
      <c r="AH55" s="100" t="str">
        <f>_xlfn.LET(_xlpm._r,_xlfn.SINGLE(IF(OR($CC55="",AH$14="",AH$14&lt;_xlfn.SINGLE(INDEX('[1]ATTENDANCE DAILY'!$AV$4:$AV$663,$CC55)),AH$14&gt;_xlfn.SINGLE(INDEX('[1]ATTENDANCE DAILY'!$AW$4:$AW$663,$CC55))),"",IF(_xlfn.SINGLE(INDEX('[1]ATTENDANCE DAILY'!$I$4:$AM$663,$CC55,DAY(AH$14)))="T-Late","T-L",IF(_xlfn.SINGLE(INDEX('[1]ATTENDANCE DAILY'!$I$4:$AM$663,$CC55,DAY(AH$14)))="T-Cutting","T-C",INDEX('[1]ATTENDANCE DAILY'!$I$4:$AM$663,$CC55,DAY(AH$14)))))),IFERROR(IF(_xlpm._r=0,"",_xlpm._r),""))</f>
        <v/>
      </c>
      <c r="AI55" s="101" t="str">
        <f>_xlfn.LET(_xlpm._r,_xlfn.SINGLE(IF(OR($CC55="",AI$14="",AI$14&lt;_xlfn.SINGLE(INDEX('[1]ATTENDANCE DAILY'!$AV$4:$AV$663,$CC55)),AI$14&gt;_xlfn.SINGLE(INDEX('[1]ATTENDANCE DAILY'!$AW$4:$AW$663,$CC55))),"",IF(_xlfn.SINGLE(INDEX('[1]ATTENDANCE DAILY'!$I$4:$AM$663,$CC55,DAY(AI$14)))="T-Late","T-L",IF(_xlfn.SINGLE(INDEX('[1]ATTENDANCE DAILY'!$I$4:$AM$663,$CC55,DAY(AI$14)))="T-Cutting","T-C",INDEX('[1]ATTENDANCE DAILY'!$I$4:$AM$663,$CC55,DAY(AI$14)))))),IFERROR(IF(_xlpm._r=0,"",_xlpm._r),""))</f>
        <v/>
      </c>
      <c r="AJ55" s="102"/>
      <c r="AK55" s="99"/>
      <c r="AL55" s="101" t="str">
        <f>_xlfn.LET(_xlpm._r,_xlfn.SINGLE(IF(OR($CC55="",AL$14="",AL$14&lt;_xlfn.SINGLE(INDEX('[1]ATTENDANCE DAILY'!$AV$4:$AV$663,$CC55)),AL$14&gt;_xlfn.SINGLE(INDEX('[1]ATTENDANCE DAILY'!$AW$4:$AW$663,$CC55))),"",IF(_xlfn.SINGLE(INDEX('[1]ATTENDANCE DAILY'!$I$4:$AM$663,$CC55,DAY(AL$14)))="T-Late","T-L",IF(_xlfn.SINGLE(INDEX('[1]ATTENDANCE DAILY'!$I$4:$AM$663,$CC55,DAY(AL$14)))="T-Cutting","T-C",INDEX('[1]ATTENDANCE DAILY'!$I$4:$AM$663,$CC55,DAY(AL$14)))))),IFERROR(IF(_xlpm._r=0,"",_xlpm._r),""))</f>
        <v/>
      </c>
      <c r="AM55" s="99"/>
      <c r="AN55" s="101" t="str">
        <f>_xlfn.LET(_xlpm._r,_xlfn.SINGLE(IF(OR($CC55="",AN$14="",AN$14&lt;_xlfn.SINGLE(INDEX('[1]ATTENDANCE DAILY'!$AV$4:$AV$663,$CC55)),AN$14&gt;_xlfn.SINGLE(INDEX('[1]ATTENDANCE DAILY'!$AW$4:$AW$663,$CC55))),"",IF(_xlfn.SINGLE(INDEX('[1]ATTENDANCE DAILY'!$I$4:$AM$663,$CC55,DAY(AN$14)))="T-Late","T-L",IF(_xlfn.SINGLE(INDEX('[1]ATTENDANCE DAILY'!$I$4:$AM$663,$CC55,DAY(AN$14)))="T-Cutting","T-C",INDEX('[1]ATTENDANCE DAILY'!$I$4:$AM$663,$CC55,DAY(AN$14)))))),IFERROR(IF(_xlpm._r=0,"",_xlpm._r),""))</f>
        <v/>
      </c>
      <c r="AO55" s="103"/>
      <c r="AP55" s="101" t="str">
        <f>_xlfn.LET(_xlpm._r,_xlfn.SINGLE(IF(OR($CC55="",AP$14="",AP$14&lt;_xlfn.SINGLE(INDEX('[1]ATTENDANCE DAILY'!$AV$4:$AV$663,$CC55)),AP$14&gt;_xlfn.SINGLE(INDEX('[1]ATTENDANCE DAILY'!$AW$4:$AW$663,$CC55))),"",IF(_xlfn.SINGLE(INDEX('[1]ATTENDANCE DAILY'!$I$4:$AM$663,$CC55,DAY(AP$14)))="T-Late","T-L",IF(_xlfn.SINGLE(INDEX('[1]ATTENDANCE DAILY'!$I$4:$AM$663,$CC55,DAY(AP$14)))="T-Cutting","T-C",INDEX('[1]ATTENDANCE DAILY'!$I$4:$AM$663,$CC55,DAY(AP$14)))))),IFERROR(IF(_xlpm._r=0,"",_xlpm._r),""))</f>
        <v/>
      </c>
      <c r="AQ55" s="99"/>
      <c r="AR55" s="100" t="str">
        <f>_xlfn.LET(_xlpm._r,_xlfn.SINGLE(IF(OR($CC55="",AR$14="",AR$14&lt;_xlfn.SINGLE(INDEX('[1]ATTENDANCE DAILY'!$AV$4:$AV$663,$CC55)),AR$14&gt;_xlfn.SINGLE(INDEX('[1]ATTENDANCE DAILY'!$AW$4:$AW$663,$CC55))),"",IF(_xlfn.SINGLE(INDEX('[1]ATTENDANCE DAILY'!$I$4:$AM$663,$CC55,DAY(AR$14)))="T-Late","T-L",IF(_xlfn.SINGLE(INDEX('[1]ATTENDANCE DAILY'!$I$4:$AM$663,$CC55,DAY(AR$14)))="T-Cutting","T-C",INDEX('[1]ATTENDANCE DAILY'!$I$4:$AM$663,$CC55,DAY(AR$14)))))),IFERROR(IF(_xlpm._r=0,"",_xlpm._r),""))</f>
        <v/>
      </c>
      <c r="AS55" s="101" t="str">
        <f>_xlfn.LET(_xlpm._r,_xlfn.SINGLE(IF(OR($CC55="",AS$14="",AS$14&lt;_xlfn.SINGLE(INDEX('[1]ATTENDANCE DAILY'!$AV$4:$AV$663,$CC55)),AS$14&gt;_xlfn.SINGLE(INDEX('[1]ATTENDANCE DAILY'!$AW$4:$AW$663,$CC55))),"",IF(_xlfn.SINGLE(INDEX('[1]ATTENDANCE DAILY'!$I$4:$AM$663,$CC55,DAY(AS$14)))="T-Late","T-L",IF(_xlfn.SINGLE(INDEX('[1]ATTENDANCE DAILY'!$I$4:$AM$663,$CC55,DAY(AS$14)))="T-Cutting","T-C",INDEX('[1]ATTENDANCE DAILY'!$I$4:$AM$663,$CC55,DAY(AS$14)))))),IFERROR(IF(_xlpm._r=0,"",_xlpm._r),""))</f>
        <v/>
      </c>
      <c r="AT55" s="99"/>
      <c r="AU55" s="100" t="str">
        <f>_xlfn.LET(_xlpm._r,_xlfn.SINGLE(IF(OR($CC55="",AU$14="",AU$14&lt;_xlfn.SINGLE(INDEX('[1]ATTENDANCE DAILY'!$AV$4:$AV$663,$CC55)),AU$14&gt;_xlfn.SINGLE(INDEX('[1]ATTENDANCE DAILY'!$AW$4:$AW$663,$CC55))),"",IF(_xlfn.SINGLE(INDEX('[1]ATTENDANCE DAILY'!$I$4:$AM$663,$CC55,DAY(AU$14)))="T-Late","T-L",IF(_xlfn.SINGLE(INDEX('[1]ATTENDANCE DAILY'!$I$4:$AM$663,$CC55,DAY(AU$14)))="T-Cutting","T-C",INDEX('[1]ATTENDANCE DAILY'!$I$4:$AM$663,$CC55,DAY(AU$14)))))),IFERROR(IF(_xlpm._r=0,"",_xlpm._r),""))</f>
        <v/>
      </c>
      <c r="AV55" s="104" t="str">
        <f>_xlfn.LET(_xlpm._r,_xlfn.SINGLE(IF(OR($CC55="",AV$14="",AV$14&lt;_xlfn.SINGLE(INDEX('[1]ATTENDANCE DAILY'!$AV$4:$AV$663,$CC55)),AV$14&gt;_xlfn.SINGLE(INDEX('[1]ATTENDANCE DAILY'!$AW$4:$AW$663,$CC55))),"",IF(_xlfn.SINGLE(INDEX('[1]ATTENDANCE DAILY'!$I$4:$AM$663,$CC55,DAY(AV$14)))="T-Late","T-L",IF(_xlfn.SINGLE(INDEX('[1]ATTENDANCE DAILY'!$I$4:$AM$663,$CC55,DAY(AV$14)))="T-Cutting","T-C",INDEX('[1]ATTENDANCE DAILY'!$I$4:$AM$663,$CC55,DAY(AV$14)))))),IFERROR(IF(_xlpm._r=0,"",_xlpm._r),""))</f>
        <v/>
      </c>
      <c r="AW55" s="101" t="str">
        <f>_xlfn.LET(_xlpm._r,_xlfn.SINGLE(IF(OR($CC55="",AW$14="",AW$14&lt;_xlfn.SINGLE(INDEX('[1]ATTENDANCE DAILY'!$AV$4:$AV$663,$CC55)),AW$14&gt;_xlfn.SINGLE(INDEX('[1]ATTENDANCE DAILY'!$AW$4:$AW$663,$CC55))),"",IF(_xlfn.SINGLE(INDEX('[1]ATTENDANCE DAILY'!$I$4:$AM$663,$CC55,DAY(AW$14)))="T-Late","T-L",IF(_xlfn.SINGLE(INDEX('[1]ATTENDANCE DAILY'!$I$4:$AM$663,$CC55,DAY(AW$14)))="T-Cutting","T-C",INDEX('[1]ATTENDANCE DAILY'!$I$4:$AM$663,$CC55,DAY(AW$14)))))),IFERROR(IF(_xlpm._r=0,"",_xlpm._r),""))</f>
        <v/>
      </c>
      <c r="AX55" s="99"/>
      <c r="AY55" s="101" t="str">
        <f>_xlfn.LET(_xlpm._r,_xlfn.SINGLE(IF(OR($CC55="",AY$14="",AY$14&lt;_xlfn.SINGLE(INDEX('[1]ATTENDANCE DAILY'!$AV$4:$AV$663,$CC55)),AY$14&gt;_xlfn.SINGLE(INDEX('[1]ATTENDANCE DAILY'!$AW$4:$AW$663,$CC55))),"",IF(_xlfn.SINGLE(INDEX('[1]ATTENDANCE DAILY'!$I$4:$AM$663,$CC55,DAY(AY$14)))="T-Late","T-L",IF(_xlfn.SINGLE(INDEX('[1]ATTENDANCE DAILY'!$I$4:$AM$663,$CC55,DAY(AY$14)))="T-Cutting","T-C",INDEX('[1]ATTENDANCE DAILY'!$I$4:$AM$663,$CC55,DAY(AY$14)))))),IFERROR(IF(_xlpm._r=0,"",_xlpm._r),""))</f>
        <v/>
      </c>
      <c r="AZ55" s="102"/>
      <c r="BA55" s="99"/>
      <c r="BB55" s="101" t="str">
        <f>_xlfn.LET(_xlpm._r,_xlfn.SINGLE(IF(OR($CC55="",BB$14="",BB$14&lt;_xlfn.SINGLE(INDEX('[1]ATTENDANCE DAILY'!$AV$4:$AV$663,$CC55)),BB$14&gt;_xlfn.SINGLE(INDEX('[1]ATTENDANCE DAILY'!$AW$4:$AW$663,$CC55))),"",IF(_xlfn.SINGLE(INDEX('[1]ATTENDANCE DAILY'!$I$4:$AM$663,$CC55,DAY(BB$14)))="T-Late","T-L",IF(_xlfn.SINGLE(INDEX('[1]ATTENDANCE DAILY'!$I$4:$AM$663,$CC55,DAY(BB$14)))="T-Cutting","T-C",INDEX('[1]ATTENDANCE DAILY'!$I$4:$AM$663,$CC55,DAY(BB$14)))))),IFERROR(IF(_xlpm._r=0,"",_xlpm._r),""))</f>
        <v/>
      </c>
      <c r="BC55" s="99"/>
      <c r="BD55" s="100" t="str">
        <f>_xlfn.LET(_xlpm._r,_xlfn.SINGLE(IF(OR($CC55="",BD$14="",BD$14&lt;_xlfn.SINGLE(INDEX('[1]ATTENDANCE DAILY'!$AV$4:$AV$663,$CC55)),BD$14&gt;_xlfn.SINGLE(INDEX('[1]ATTENDANCE DAILY'!$AW$4:$AW$663,$CC55))),"",IF(_xlfn.SINGLE(INDEX('[1]ATTENDANCE DAILY'!$I$4:$AM$663,$CC55,DAY(BD$14)))="T-Late","T-L",IF(_xlfn.SINGLE(INDEX('[1]ATTENDANCE DAILY'!$I$4:$AM$663,$CC55,DAY(BD$14)))="T-Cutting","T-C",INDEX('[1]ATTENDANCE DAILY'!$I$4:$AM$663,$CC55,DAY(BD$14)))))),IFERROR(IF(_xlpm._r=0,"",_xlpm._r),""))</f>
        <v/>
      </c>
      <c r="BE55" s="101" t="str">
        <f>_xlfn.LET(_xlpm._r,_xlfn.SINGLE(IF(OR($CC55="",BE$14="",BE$14&lt;_xlfn.SINGLE(INDEX('[1]ATTENDANCE DAILY'!$AV$4:$AV$663,$CC55)),BE$14&gt;_xlfn.SINGLE(INDEX('[1]ATTENDANCE DAILY'!$AW$4:$AW$663,$CC55))),"",IF(_xlfn.SINGLE(INDEX('[1]ATTENDANCE DAILY'!$I$4:$AM$663,$CC55,DAY(BE$14)))="T-Late","T-L",IF(_xlfn.SINGLE(INDEX('[1]ATTENDANCE DAILY'!$I$4:$AM$663,$CC55,DAY(BE$14)))="T-Cutting","T-C",INDEX('[1]ATTENDANCE DAILY'!$I$4:$AM$663,$CC55,DAY(BE$14)))))),IFERROR(IF(_xlpm._r=0,"",_xlpm._r),""))</f>
        <v/>
      </c>
      <c r="BF55" s="102"/>
      <c r="BG55" s="102"/>
      <c r="BH55" s="103"/>
      <c r="BI55" s="105" t="str">
        <f>IF($CC55="","",INDEX('[1]ATTENDANCE DAILY'!$AR$4:$AR$663,$CC55))</f>
        <v/>
      </c>
      <c r="BJ55" s="106"/>
      <c r="BK55" s="107"/>
      <c r="BL55" s="105" t="str">
        <f>IF($CC55="","",INDEX('[1]ATTENDANCE DAILY'!$AS$4:$AS$663,$CC55))</f>
        <v/>
      </c>
      <c r="BM55" s="106"/>
      <c r="BN55" s="106"/>
      <c r="BO55" s="107"/>
      <c r="BP55" s="105" t="str">
        <f>IF($CC55="","",IF(INDEX('[1]ATTENDANCE DAILY'!$AN$4:$AN$663,$CC55)="","",INDEX('[1]ATTENDANCE DAILY'!$AN$4:$AN$663,$CC55)&amp;IF(INDEX('[1]ATTENDANCE DAILY'!$AO$4:$AO$663,$CC55)="",""," ("&amp;TEXT(INDEX('[1]ATTENDANCE DAILY'!$AO$4:$AO$663,$CC55),"mm-dd-yyyy")&amp;")")&amp;IF(INDEX('[1]ATTENDANCE DAILY'!$AP$4:$AP$663,$CC55)="",""," - "&amp;INDEX('[1]ATTENDANCE DAILY'!$AP$4:$AP$663,$CC55))))</f>
        <v/>
      </c>
      <c r="BQ55" s="106"/>
      <c r="BR55" s="106"/>
      <c r="BS55" s="106"/>
      <c r="BT55" s="106"/>
      <c r="BU55" s="106"/>
      <c r="BV55" s="106"/>
      <c r="BW55" s="106"/>
      <c r="BX55" s="106"/>
      <c r="BY55" s="106"/>
      <c r="BZ55" s="106"/>
      <c r="CA55" s="107"/>
      <c r="CC55" t="str">
        <f>IF(COUNTIFS('[1]ATTENDANCE DAILY'!$C$4:$C$663,$BN$11,'[1]ATTENDANCE DAILY'!$F$4:$F$663,"Female",'[1]ATTENDANCE DAILY'!$G$4:$G$663,1,'[1]ATTENDANCE DAILY'!$BA$4:$BA$663,12)=0,"",SUMIFS('[1]ATTENDANCE DAILY'!$A$4:$A$663,'[1]ATTENDANCE DAILY'!$C$4:$C$663,$BN$11,'[1]ATTENDANCE DAILY'!$F$4:$F$663,"Female",'[1]ATTENDANCE DAILY'!$G$4:$G$663,1,'[1]ATTENDANCE DAILY'!$BA$4:$BA$663,12))</f>
        <v/>
      </c>
    </row>
    <row r="56" spans="1:81" ht="19.95" customHeight="1" thickTop="1" thickBot="1">
      <c r="A56" s="92">
        <v>13</v>
      </c>
      <c r="B56" s="93"/>
      <c r="C56" s="93"/>
      <c r="D56" s="93"/>
      <c r="E56" s="93"/>
      <c r="F56" s="94"/>
      <c r="G56" s="95" t="str">
        <f>IF($CC56="","",INDEX('[1]ATTENDANCE DAILY'!$E$4:$E$663,$CC56))</f>
        <v/>
      </c>
      <c r="H56" s="96"/>
      <c r="I56" s="96"/>
      <c r="J56" s="97"/>
      <c r="K56" s="98" t="str">
        <f>_xlfn.LET(_xlpm._r,_xlfn.SINGLE(IF(OR($CC56="",K$14="",K$14&lt;_xlfn.SINGLE(INDEX('[1]ATTENDANCE DAILY'!$AV$4:$AV$663,$CC56)),K$14&gt;_xlfn.SINGLE(INDEX('[1]ATTENDANCE DAILY'!$AW$4:$AW$663,$CC56))),"",IF(_xlfn.SINGLE(INDEX('[1]ATTENDANCE DAILY'!$I$4:$AM$663,$CC56,DAY(K$14)))="T-Late","T-L",IF(_xlfn.SINGLE(INDEX('[1]ATTENDANCE DAILY'!$I$4:$AM$663,$CC56,DAY(K$14)))="T-Cutting","T-C",INDEX('[1]ATTENDANCE DAILY'!$I$4:$AM$663,$CC56,DAY(K$14)))))),IFERROR(IF(_xlpm._r=0,"",_xlpm._r),""))</f>
        <v/>
      </c>
      <c r="L56" s="99"/>
      <c r="M56" s="100" t="str">
        <f>_xlfn.LET(_xlpm._r,_xlfn.SINGLE(IF(OR($CC56="",M$14="",M$14&lt;_xlfn.SINGLE(INDEX('[1]ATTENDANCE DAILY'!$AV$4:$AV$663,$CC56)),M$14&gt;_xlfn.SINGLE(INDEX('[1]ATTENDANCE DAILY'!$AW$4:$AW$663,$CC56))),"",IF(_xlfn.SINGLE(INDEX('[1]ATTENDANCE DAILY'!$I$4:$AM$663,$CC56,DAY(M$14)))="T-Late","T-L",IF(_xlfn.SINGLE(INDEX('[1]ATTENDANCE DAILY'!$I$4:$AM$663,$CC56,DAY(M$14)))="T-Cutting","T-C",INDEX('[1]ATTENDANCE DAILY'!$I$4:$AM$663,$CC56,DAY(M$14)))))),IFERROR(IF(_xlpm._r=0,"",_xlpm._r),""))</f>
        <v/>
      </c>
      <c r="N56" s="100" t="str">
        <f>_xlfn.LET(_xlpm._r,_xlfn.SINGLE(IF(OR($CC56="",N$14="",N$14&lt;_xlfn.SINGLE(INDEX('[1]ATTENDANCE DAILY'!$AV$4:$AV$663,$CC56)),N$14&gt;_xlfn.SINGLE(INDEX('[1]ATTENDANCE DAILY'!$AW$4:$AW$663,$CC56))),"",IF(_xlfn.SINGLE(INDEX('[1]ATTENDANCE DAILY'!$I$4:$AM$663,$CC56,DAY(N$14)))="T-Late","T-L",IF(_xlfn.SINGLE(INDEX('[1]ATTENDANCE DAILY'!$I$4:$AM$663,$CC56,DAY(N$14)))="T-Cutting","T-C",INDEX('[1]ATTENDANCE DAILY'!$I$4:$AM$663,$CC56,DAY(N$14)))))),IFERROR(IF(_xlpm._r=0,"",_xlpm._r),""))</f>
        <v/>
      </c>
      <c r="O56" s="101" t="str">
        <f>_xlfn.LET(_xlpm._r,_xlfn.SINGLE(IF(OR($CC56="",O$14="",O$14&lt;_xlfn.SINGLE(INDEX('[1]ATTENDANCE DAILY'!$AV$4:$AV$663,$CC56)),O$14&gt;_xlfn.SINGLE(INDEX('[1]ATTENDANCE DAILY'!$AW$4:$AW$663,$CC56))),"",IF(_xlfn.SINGLE(INDEX('[1]ATTENDANCE DAILY'!$I$4:$AM$663,$CC56,DAY(O$14)))="T-Late","T-L",IF(_xlfn.SINGLE(INDEX('[1]ATTENDANCE DAILY'!$I$4:$AM$663,$CC56,DAY(O$14)))="T-Cutting","T-C",INDEX('[1]ATTENDANCE DAILY'!$I$4:$AM$663,$CC56,DAY(O$14)))))),IFERROR(IF(_xlpm._r=0,"",_xlpm._r),""))</f>
        <v/>
      </c>
      <c r="P56" s="102"/>
      <c r="Q56" s="102"/>
      <c r="R56" s="99"/>
      <c r="S56" s="101" t="str">
        <f>_xlfn.LET(_xlpm._r,_xlfn.SINGLE(IF(OR($CC56="",S$14="",S$14&lt;_xlfn.SINGLE(INDEX('[1]ATTENDANCE DAILY'!$AV$4:$AV$663,$CC56)),S$14&gt;_xlfn.SINGLE(INDEX('[1]ATTENDANCE DAILY'!$AW$4:$AW$663,$CC56))),"",IF(_xlfn.SINGLE(INDEX('[1]ATTENDANCE DAILY'!$I$4:$AM$663,$CC56,DAY(S$14)))="T-Late","T-L",IF(_xlfn.SINGLE(INDEX('[1]ATTENDANCE DAILY'!$I$4:$AM$663,$CC56,DAY(S$14)))="T-Cutting","T-C",INDEX('[1]ATTENDANCE DAILY'!$I$4:$AM$663,$CC56,DAY(S$14)))))),IFERROR(IF(_xlpm._r=0,"",_xlpm._r),""))</f>
        <v/>
      </c>
      <c r="T56" s="102"/>
      <c r="U56" s="103"/>
      <c r="V56" s="100" t="str">
        <f>_xlfn.LET(_xlpm._r,_xlfn.SINGLE(IF(OR($CC56="",V$14="",V$14&lt;_xlfn.SINGLE(INDEX('[1]ATTENDANCE DAILY'!$AV$4:$AV$663,$CC56)),V$14&gt;_xlfn.SINGLE(INDEX('[1]ATTENDANCE DAILY'!$AW$4:$AW$663,$CC56))),"",IF(_xlfn.SINGLE(INDEX('[1]ATTENDANCE DAILY'!$I$4:$AM$663,$CC56,DAY(V$14)))="T-Late","T-L",IF(_xlfn.SINGLE(INDEX('[1]ATTENDANCE DAILY'!$I$4:$AM$663,$CC56,DAY(V$14)))="T-Cutting","T-C",INDEX('[1]ATTENDANCE DAILY'!$I$4:$AM$663,$CC56,DAY(V$14)))))),IFERROR(IF(_xlpm._r=0,"",_xlpm._r),""))</f>
        <v/>
      </c>
      <c r="W56" s="101" t="str">
        <f>_xlfn.LET(_xlpm._r,_xlfn.SINGLE(IF(OR($CC56="",W$14="",W$14&lt;_xlfn.SINGLE(INDEX('[1]ATTENDANCE DAILY'!$AV$4:$AV$663,$CC56)),W$14&gt;_xlfn.SINGLE(INDEX('[1]ATTENDANCE DAILY'!$AW$4:$AW$663,$CC56))),"",IF(_xlfn.SINGLE(INDEX('[1]ATTENDANCE DAILY'!$I$4:$AM$663,$CC56,DAY(W$14)))="T-Late","T-L",IF(_xlfn.SINGLE(INDEX('[1]ATTENDANCE DAILY'!$I$4:$AM$663,$CC56,DAY(W$14)))="T-Cutting","T-C",INDEX('[1]ATTENDANCE DAILY'!$I$4:$AM$663,$CC56,DAY(W$14)))))),IFERROR(IF(_xlpm._r=0,"",_xlpm._r),""))</f>
        <v/>
      </c>
      <c r="X56" s="102"/>
      <c r="Y56" s="99"/>
      <c r="Z56" s="100" t="str">
        <f>_xlfn.LET(_xlpm._r,_xlfn.SINGLE(IF(OR($CC56="",Z$14="",Z$14&lt;_xlfn.SINGLE(INDEX('[1]ATTENDANCE DAILY'!$AV$4:$AV$663,$CC56)),Z$14&gt;_xlfn.SINGLE(INDEX('[1]ATTENDANCE DAILY'!$AW$4:$AW$663,$CC56))),"",IF(_xlfn.SINGLE(INDEX('[1]ATTENDANCE DAILY'!$I$4:$AM$663,$CC56,DAY(Z$14)))="T-Late","T-L",IF(_xlfn.SINGLE(INDEX('[1]ATTENDANCE DAILY'!$I$4:$AM$663,$CC56,DAY(Z$14)))="T-Cutting","T-C",INDEX('[1]ATTENDANCE DAILY'!$I$4:$AM$663,$CC56,DAY(Z$14)))))),IFERROR(IF(_xlpm._r=0,"",_xlpm._r),""))</f>
        <v/>
      </c>
      <c r="AA56" s="100" t="str">
        <f>_xlfn.LET(_xlpm._r,_xlfn.SINGLE(IF(OR($CC56="",AA$14="",AA$14&lt;_xlfn.SINGLE(INDEX('[1]ATTENDANCE DAILY'!$AV$4:$AV$663,$CC56)),AA$14&gt;_xlfn.SINGLE(INDEX('[1]ATTENDANCE DAILY'!$AW$4:$AW$663,$CC56))),"",IF(_xlfn.SINGLE(INDEX('[1]ATTENDANCE DAILY'!$I$4:$AM$663,$CC56,DAY(AA$14)))="T-Late","T-L",IF(_xlfn.SINGLE(INDEX('[1]ATTENDANCE DAILY'!$I$4:$AM$663,$CC56,DAY(AA$14)))="T-Cutting","T-C",INDEX('[1]ATTENDANCE DAILY'!$I$4:$AM$663,$CC56,DAY(AA$14)))))),IFERROR(IF(_xlpm._r=0,"",_xlpm._r),""))</f>
        <v/>
      </c>
      <c r="AB56" s="101" t="str">
        <f>_xlfn.LET(_xlpm._r,_xlfn.SINGLE(IF(OR($CC56="",AB$14="",AB$14&lt;_xlfn.SINGLE(INDEX('[1]ATTENDANCE DAILY'!$AV$4:$AV$663,$CC56)),AB$14&gt;_xlfn.SINGLE(INDEX('[1]ATTENDANCE DAILY'!$AW$4:$AW$663,$CC56))),"",IF(_xlfn.SINGLE(INDEX('[1]ATTENDANCE DAILY'!$I$4:$AM$663,$CC56,DAY(AB$14)))="T-Late","T-L",IF(_xlfn.SINGLE(INDEX('[1]ATTENDANCE DAILY'!$I$4:$AM$663,$CC56,DAY(AB$14)))="T-Cutting","T-C",INDEX('[1]ATTENDANCE DAILY'!$I$4:$AM$663,$CC56,DAY(AB$14)))))),IFERROR(IF(_xlpm._r=0,"",_xlpm._r),""))</f>
        <v/>
      </c>
      <c r="AC56" s="102"/>
      <c r="AD56" s="103"/>
      <c r="AE56" s="101" t="str">
        <f>_xlfn.LET(_xlpm._r,_xlfn.SINGLE(IF(OR($CC56="",AE$14="",AE$14&lt;_xlfn.SINGLE(INDEX('[1]ATTENDANCE DAILY'!$AV$4:$AV$663,$CC56)),AE$14&gt;_xlfn.SINGLE(INDEX('[1]ATTENDANCE DAILY'!$AW$4:$AW$663,$CC56))),"",IF(_xlfn.SINGLE(INDEX('[1]ATTENDANCE DAILY'!$I$4:$AM$663,$CC56,DAY(AE$14)))="T-Late","T-L",IF(_xlfn.SINGLE(INDEX('[1]ATTENDANCE DAILY'!$I$4:$AM$663,$CC56,DAY(AE$14)))="T-Cutting","T-C",INDEX('[1]ATTENDANCE DAILY'!$I$4:$AM$663,$CC56,DAY(AE$14)))))),IFERROR(IF(_xlpm._r=0,"",_xlpm._r),""))</f>
        <v/>
      </c>
      <c r="AF56" s="102"/>
      <c r="AG56" s="99"/>
      <c r="AH56" s="100" t="str">
        <f>_xlfn.LET(_xlpm._r,_xlfn.SINGLE(IF(OR($CC56="",AH$14="",AH$14&lt;_xlfn.SINGLE(INDEX('[1]ATTENDANCE DAILY'!$AV$4:$AV$663,$CC56)),AH$14&gt;_xlfn.SINGLE(INDEX('[1]ATTENDANCE DAILY'!$AW$4:$AW$663,$CC56))),"",IF(_xlfn.SINGLE(INDEX('[1]ATTENDANCE DAILY'!$I$4:$AM$663,$CC56,DAY(AH$14)))="T-Late","T-L",IF(_xlfn.SINGLE(INDEX('[1]ATTENDANCE DAILY'!$I$4:$AM$663,$CC56,DAY(AH$14)))="T-Cutting","T-C",INDEX('[1]ATTENDANCE DAILY'!$I$4:$AM$663,$CC56,DAY(AH$14)))))),IFERROR(IF(_xlpm._r=0,"",_xlpm._r),""))</f>
        <v/>
      </c>
      <c r="AI56" s="101" t="str">
        <f>_xlfn.LET(_xlpm._r,_xlfn.SINGLE(IF(OR($CC56="",AI$14="",AI$14&lt;_xlfn.SINGLE(INDEX('[1]ATTENDANCE DAILY'!$AV$4:$AV$663,$CC56)),AI$14&gt;_xlfn.SINGLE(INDEX('[1]ATTENDANCE DAILY'!$AW$4:$AW$663,$CC56))),"",IF(_xlfn.SINGLE(INDEX('[1]ATTENDANCE DAILY'!$I$4:$AM$663,$CC56,DAY(AI$14)))="T-Late","T-L",IF(_xlfn.SINGLE(INDEX('[1]ATTENDANCE DAILY'!$I$4:$AM$663,$CC56,DAY(AI$14)))="T-Cutting","T-C",INDEX('[1]ATTENDANCE DAILY'!$I$4:$AM$663,$CC56,DAY(AI$14)))))),IFERROR(IF(_xlpm._r=0,"",_xlpm._r),""))</f>
        <v/>
      </c>
      <c r="AJ56" s="102"/>
      <c r="AK56" s="99"/>
      <c r="AL56" s="101" t="str">
        <f>_xlfn.LET(_xlpm._r,_xlfn.SINGLE(IF(OR($CC56="",AL$14="",AL$14&lt;_xlfn.SINGLE(INDEX('[1]ATTENDANCE DAILY'!$AV$4:$AV$663,$CC56)),AL$14&gt;_xlfn.SINGLE(INDEX('[1]ATTENDANCE DAILY'!$AW$4:$AW$663,$CC56))),"",IF(_xlfn.SINGLE(INDEX('[1]ATTENDANCE DAILY'!$I$4:$AM$663,$CC56,DAY(AL$14)))="T-Late","T-L",IF(_xlfn.SINGLE(INDEX('[1]ATTENDANCE DAILY'!$I$4:$AM$663,$CC56,DAY(AL$14)))="T-Cutting","T-C",INDEX('[1]ATTENDANCE DAILY'!$I$4:$AM$663,$CC56,DAY(AL$14)))))),IFERROR(IF(_xlpm._r=0,"",_xlpm._r),""))</f>
        <v/>
      </c>
      <c r="AM56" s="99"/>
      <c r="AN56" s="101" t="str">
        <f>_xlfn.LET(_xlpm._r,_xlfn.SINGLE(IF(OR($CC56="",AN$14="",AN$14&lt;_xlfn.SINGLE(INDEX('[1]ATTENDANCE DAILY'!$AV$4:$AV$663,$CC56)),AN$14&gt;_xlfn.SINGLE(INDEX('[1]ATTENDANCE DAILY'!$AW$4:$AW$663,$CC56))),"",IF(_xlfn.SINGLE(INDEX('[1]ATTENDANCE DAILY'!$I$4:$AM$663,$CC56,DAY(AN$14)))="T-Late","T-L",IF(_xlfn.SINGLE(INDEX('[1]ATTENDANCE DAILY'!$I$4:$AM$663,$CC56,DAY(AN$14)))="T-Cutting","T-C",INDEX('[1]ATTENDANCE DAILY'!$I$4:$AM$663,$CC56,DAY(AN$14)))))),IFERROR(IF(_xlpm._r=0,"",_xlpm._r),""))</f>
        <v/>
      </c>
      <c r="AO56" s="103"/>
      <c r="AP56" s="101" t="str">
        <f>_xlfn.LET(_xlpm._r,_xlfn.SINGLE(IF(OR($CC56="",AP$14="",AP$14&lt;_xlfn.SINGLE(INDEX('[1]ATTENDANCE DAILY'!$AV$4:$AV$663,$CC56)),AP$14&gt;_xlfn.SINGLE(INDEX('[1]ATTENDANCE DAILY'!$AW$4:$AW$663,$CC56))),"",IF(_xlfn.SINGLE(INDEX('[1]ATTENDANCE DAILY'!$I$4:$AM$663,$CC56,DAY(AP$14)))="T-Late","T-L",IF(_xlfn.SINGLE(INDEX('[1]ATTENDANCE DAILY'!$I$4:$AM$663,$CC56,DAY(AP$14)))="T-Cutting","T-C",INDEX('[1]ATTENDANCE DAILY'!$I$4:$AM$663,$CC56,DAY(AP$14)))))),IFERROR(IF(_xlpm._r=0,"",_xlpm._r),""))</f>
        <v/>
      </c>
      <c r="AQ56" s="99"/>
      <c r="AR56" s="100" t="str">
        <f>_xlfn.LET(_xlpm._r,_xlfn.SINGLE(IF(OR($CC56="",AR$14="",AR$14&lt;_xlfn.SINGLE(INDEX('[1]ATTENDANCE DAILY'!$AV$4:$AV$663,$CC56)),AR$14&gt;_xlfn.SINGLE(INDEX('[1]ATTENDANCE DAILY'!$AW$4:$AW$663,$CC56))),"",IF(_xlfn.SINGLE(INDEX('[1]ATTENDANCE DAILY'!$I$4:$AM$663,$CC56,DAY(AR$14)))="T-Late","T-L",IF(_xlfn.SINGLE(INDEX('[1]ATTENDANCE DAILY'!$I$4:$AM$663,$CC56,DAY(AR$14)))="T-Cutting","T-C",INDEX('[1]ATTENDANCE DAILY'!$I$4:$AM$663,$CC56,DAY(AR$14)))))),IFERROR(IF(_xlpm._r=0,"",_xlpm._r),""))</f>
        <v/>
      </c>
      <c r="AS56" s="101" t="str">
        <f>_xlfn.LET(_xlpm._r,_xlfn.SINGLE(IF(OR($CC56="",AS$14="",AS$14&lt;_xlfn.SINGLE(INDEX('[1]ATTENDANCE DAILY'!$AV$4:$AV$663,$CC56)),AS$14&gt;_xlfn.SINGLE(INDEX('[1]ATTENDANCE DAILY'!$AW$4:$AW$663,$CC56))),"",IF(_xlfn.SINGLE(INDEX('[1]ATTENDANCE DAILY'!$I$4:$AM$663,$CC56,DAY(AS$14)))="T-Late","T-L",IF(_xlfn.SINGLE(INDEX('[1]ATTENDANCE DAILY'!$I$4:$AM$663,$CC56,DAY(AS$14)))="T-Cutting","T-C",INDEX('[1]ATTENDANCE DAILY'!$I$4:$AM$663,$CC56,DAY(AS$14)))))),IFERROR(IF(_xlpm._r=0,"",_xlpm._r),""))</f>
        <v/>
      </c>
      <c r="AT56" s="99"/>
      <c r="AU56" s="100" t="str">
        <f>_xlfn.LET(_xlpm._r,_xlfn.SINGLE(IF(OR($CC56="",AU$14="",AU$14&lt;_xlfn.SINGLE(INDEX('[1]ATTENDANCE DAILY'!$AV$4:$AV$663,$CC56)),AU$14&gt;_xlfn.SINGLE(INDEX('[1]ATTENDANCE DAILY'!$AW$4:$AW$663,$CC56))),"",IF(_xlfn.SINGLE(INDEX('[1]ATTENDANCE DAILY'!$I$4:$AM$663,$CC56,DAY(AU$14)))="T-Late","T-L",IF(_xlfn.SINGLE(INDEX('[1]ATTENDANCE DAILY'!$I$4:$AM$663,$CC56,DAY(AU$14)))="T-Cutting","T-C",INDEX('[1]ATTENDANCE DAILY'!$I$4:$AM$663,$CC56,DAY(AU$14)))))),IFERROR(IF(_xlpm._r=0,"",_xlpm._r),""))</f>
        <v/>
      </c>
      <c r="AV56" s="104" t="str">
        <f>_xlfn.LET(_xlpm._r,_xlfn.SINGLE(IF(OR($CC56="",AV$14="",AV$14&lt;_xlfn.SINGLE(INDEX('[1]ATTENDANCE DAILY'!$AV$4:$AV$663,$CC56)),AV$14&gt;_xlfn.SINGLE(INDEX('[1]ATTENDANCE DAILY'!$AW$4:$AW$663,$CC56))),"",IF(_xlfn.SINGLE(INDEX('[1]ATTENDANCE DAILY'!$I$4:$AM$663,$CC56,DAY(AV$14)))="T-Late","T-L",IF(_xlfn.SINGLE(INDEX('[1]ATTENDANCE DAILY'!$I$4:$AM$663,$CC56,DAY(AV$14)))="T-Cutting","T-C",INDEX('[1]ATTENDANCE DAILY'!$I$4:$AM$663,$CC56,DAY(AV$14)))))),IFERROR(IF(_xlpm._r=0,"",_xlpm._r),""))</f>
        <v/>
      </c>
      <c r="AW56" s="101" t="str">
        <f>_xlfn.LET(_xlpm._r,_xlfn.SINGLE(IF(OR($CC56="",AW$14="",AW$14&lt;_xlfn.SINGLE(INDEX('[1]ATTENDANCE DAILY'!$AV$4:$AV$663,$CC56)),AW$14&gt;_xlfn.SINGLE(INDEX('[1]ATTENDANCE DAILY'!$AW$4:$AW$663,$CC56))),"",IF(_xlfn.SINGLE(INDEX('[1]ATTENDANCE DAILY'!$I$4:$AM$663,$CC56,DAY(AW$14)))="T-Late","T-L",IF(_xlfn.SINGLE(INDEX('[1]ATTENDANCE DAILY'!$I$4:$AM$663,$CC56,DAY(AW$14)))="T-Cutting","T-C",INDEX('[1]ATTENDANCE DAILY'!$I$4:$AM$663,$CC56,DAY(AW$14)))))),IFERROR(IF(_xlpm._r=0,"",_xlpm._r),""))</f>
        <v/>
      </c>
      <c r="AX56" s="99"/>
      <c r="AY56" s="101" t="str">
        <f>_xlfn.LET(_xlpm._r,_xlfn.SINGLE(IF(OR($CC56="",AY$14="",AY$14&lt;_xlfn.SINGLE(INDEX('[1]ATTENDANCE DAILY'!$AV$4:$AV$663,$CC56)),AY$14&gt;_xlfn.SINGLE(INDEX('[1]ATTENDANCE DAILY'!$AW$4:$AW$663,$CC56))),"",IF(_xlfn.SINGLE(INDEX('[1]ATTENDANCE DAILY'!$I$4:$AM$663,$CC56,DAY(AY$14)))="T-Late","T-L",IF(_xlfn.SINGLE(INDEX('[1]ATTENDANCE DAILY'!$I$4:$AM$663,$CC56,DAY(AY$14)))="T-Cutting","T-C",INDEX('[1]ATTENDANCE DAILY'!$I$4:$AM$663,$CC56,DAY(AY$14)))))),IFERROR(IF(_xlpm._r=0,"",_xlpm._r),""))</f>
        <v/>
      </c>
      <c r="AZ56" s="102"/>
      <c r="BA56" s="99"/>
      <c r="BB56" s="101" t="str">
        <f>_xlfn.LET(_xlpm._r,_xlfn.SINGLE(IF(OR($CC56="",BB$14="",BB$14&lt;_xlfn.SINGLE(INDEX('[1]ATTENDANCE DAILY'!$AV$4:$AV$663,$CC56)),BB$14&gt;_xlfn.SINGLE(INDEX('[1]ATTENDANCE DAILY'!$AW$4:$AW$663,$CC56))),"",IF(_xlfn.SINGLE(INDEX('[1]ATTENDANCE DAILY'!$I$4:$AM$663,$CC56,DAY(BB$14)))="T-Late","T-L",IF(_xlfn.SINGLE(INDEX('[1]ATTENDANCE DAILY'!$I$4:$AM$663,$CC56,DAY(BB$14)))="T-Cutting","T-C",INDEX('[1]ATTENDANCE DAILY'!$I$4:$AM$663,$CC56,DAY(BB$14)))))),IFERROR(IF(_xlpm._r=0,"",_xlpm._r),""))</f>
        <v/>
      </c>
      <c r="BC56" s="99"/>
      <c r="BD56" s="100" t="str">
        <f>_xlfn.LET(_xlpm._r,_xlfn.SINGLE(IF(OR($CC56="",BD$14="",BD$14&lt;_xlfn.SINGLE(INDEX('[1]ATTENDANCE DAILY'!$AV$4:$AV$663,$CC56)),BD$14&gt;_xlfn.SINGLE(INDEX('[1]ATTENDANCE DAILY'!$AW$4:$AW$663,$CC56))),"",IF(_xlfn.SINGLE(INDEX('[1]ATTENDANCE DAILY'!$I$4:$AM$663,$CC56,DAY(BD$14)))="T-Late","T-L",IF(_xlfn.SINGLE(INDEX('[1]ATTENDANCE DAILY'!$I$4:$AM$663,$CC56,DAY(BD$14)))="T-Cutting","T-C",INDEX('[1]ATTENDANCE DAILY'!$I$4:$AM$663,$CC56,DAY(BD$14)))))),IFERROR(IF(_xlpm._r=0,"",_xlpm._r),""))</f>
        <v/>
      </c>
      <c r="BE56" s="101" t="str">
        <f>_xlfn.LET(_xlpm._r,_xlfn.SINGLE(IF(OR($CC56="",BE$14="",BE$14&lt;_xlfn.SINGLE(INDEX('[1]ATTENDANCE DAILY'!$AV$4:$AV$663,$CC56)),BE$14&gt;_xlfn.SINGLE(INDEX('[1]ATTENDANCE DAILY'!$AW$4:$AW$663,$CC56))),"",IF(_xlfn.SINGLE(INDEX('[1]ATTENDANCE DAILY'!$I$4:$AM$663,$CC56,DAY(BE$14)))="T-Late","T-L",IF(_xlfn.SINGLE(INDEX('[1]ATTENDANCE DAILY'!$I$4:$AM$663,$CC56,DAY(BE$14)))="T-Cutting","T-C",INDEX('[1]ATTENDANCE DAILY'!$I$4:$AM$663,$CC56,DAY(BE$14)))))),IFERROR(IF(_xlpm._r=0,"",_xlpm._r),""))</f>
        <v/>
      </c>
      <c r="BF56" s="102"/>
      <c r="BG56" s="102"/>
      <c r="BH56" s="103"/>
      <c r="BI56" s="105" t="str">
        <f>IF($CC56="","",INDEX('[1]ATTENDANCE DAILY'!$AR$4:$AR$663,$CC56))</f>
        <v/>
      </c>
      <c r="BJ56" s="106"/>
      <c r="BK56" s="107"/>
      <c r="BL56" s="105" t="str">
        <f>IF($CC56="","",INDEX('[1]ATTENDANCE DAILY'!$AS$4:$AS$663,$CC56))</f>
        <v/>
      </c>
      <c r="BM56" s="106"/>
      <c r="BN56" s="106"/>
      <c r="BO56" s="107"/>
      <c r="BP56" s="105" t="str">
        <f>IF($CC56="","",IF(INDEX('[1]ATTENDANCE DAILY'!$AN$4:$AN$663,$CC56)="","",INDEX('[1]ATTENDANCE DAILY'!$AN$4:$AN$663,$CC56)&amp;IF(INDEX('[1]ATTENDANCE DAILY'!$AO$4:$AO$663,$CC56)="",""," ("&amp;TEXT(INDEX('[1]ATTENDANCE DAILY'!$AO$4:$AO$663,$CC56),"mm-dd-yyyy")&amp;")")&amp;IF(INDEX('[1]ATTENDANCE DAILY'!$AP$4:$AP$663,$CC56)="",""," - "&amp;INDEX('[1]ATTENDANCE DAILY'!$AP$4:$AP$663,$CC56))))</f>
        <v/>
      </c>
      <c r="BQ56" s="106"/>
      <c r="BR56" s="106"/>
      <c r="BS56" s="106"/>
      <c r="BT56" s="106"/>
      <c r="BU56" s="106"/>
      <c r="BV56" s="106"/>
      <c r="BW56" s="106"/>
      <c r="BX56" s="106"/>
      <c r="BY56" s="106"/>
      <c r="BZ56" s="106"/>
      <c r="CA56" s="107"/>
      <c r="CC56" t="str">
        <f>IF(COUNTIFS('[1]ATTENDANCE DAILY'!$C$4:$C$663,$BN$11,'[1]ATTENDANCE DAILY'!$F$4:$F$663,"Female",'[1]ATTENDANCE DAILY'!$G$4:$G$663,1,'[1]ATTENDANCE DAILY'!$BA$4:$BA$663,13)=0,"",SUMIFS('[1]ATTENDANCE DAILY'!$A$4:$A$663,'[1]ATTENDANCE DAILY'!$C$4:$C$663,$BN$11,'[1]ATTENDANCE DAILY'!$F$4:$F$663,"Female",'[1]ATTENDANCE DAILY'!$G$4:$G$663,1,'[1]ATTENDANCE DAILY'!$BA$4:$BA$663,13))</f>
        <v/>
      </c>
    </row>
    <row r="57" spans="1:81" ht="19.95" customHeight="1" thickTop="1" thickBot="1">
      <c r="A57" s="92">
        <v>14</v>
      </c>
      <c r="B57" s="93"/>
      <c r="C57" s="93"/>
      <c r="D57" s="93"/>
      <c r="E57" s="93"/>
      <c r="F57" s="94"/>
      <c r="G57" s="95" t="str">
        <f>IF($CC57="","",INDEX('[1]ATTENDANCE DAILY'!$E$4:$E$663,$CC57))</f>
        <v/>
      </c>
      <c r="H57" s="96"/>
      <c r="I57" s="96"/>
      <c r="J57" s="97"/>
      <c r="K57" s="98" t="str">
        <f>_xlfn.LET(_xlpm._r,_xlfn.SINGLE(IF(OR($CC57="",K$14="",K$14&lt;_xlfn.SINGLE(INDEX('[1]ATTENDANCE DAILY'!$AV$4:$AV$663,$CC57)),K$14&gt;_xlfn.SINGLE(INDEX('[1]ATTENDANCE DAILY'!$AW$4:$AW$663,$CC57))),"",IF(_xlfn.SINGLE(INDEX('[1]ATTENDANCE DAILY'!$I$4:$AM$663,$CC57,DAY(K$14)))="T-Late","T-L",IF(_xlfn.SINGLE(INDEX('[1]ATTENDANCE DAILY'!$I$4:$AM$663,$CC57,DAY(K$14)))="T-Cutting","T-C",INDEX('[1]ATTENDANCE DAILY'!$I$4:$AM$663,$CC57,DAY(K$14)))))),IFERROR(IF(_xlpm._r=0,"",_xlpm._r),""))</f>
        <v/>
      </c>
      <c r="L57" s="99"/>
      <c r="M57" s="100" t="str">
        <f>_xlfn.LET(_xlpm._r,_xlfn.SINGLE(IF(OR($CC57="",M$14="",M$14&lt;_xlfn.SINGLE(INDEX('[1]ATTENDANCE DAILY'!$AV$4:$AV$663,$CC57)),M$14&gt;_xlfn.SINGLE(INDEX('[1]ATTENDANCE DAILY'!$AW$4:$AW$663,$CC57))),"",IF(_xlfn.SINGLE(INDEX('[1]ATTENDANCE DAILY'!$I$4:$AM$663,$CC57,DAY(M$14)))="T-Late","T-L",IF(_xlfn.SINGLE(INDEX('[1]ATTENDANCE DAILY'!$I$4:$AM$663,$CC57,DAY(M$14)))="T-Cutting","T-C",INDEX('[1]ATTENDANCE DAILY'!$I$4:$AM$663,$CC57,DAY(M$14)))))),IFERROR(IF(_xlpm._r=0,"",_xlpm._r),""))</f>
        <v/>
      </c>
      <c r="N57" s="100" t="str">
        <f>_xlfn.LET(_xlpm._r,_xlfn.SINGLE(IF(OR($CC57="",N$14="",N$14&lt;_xlfn.SINGLE(INDEX('[1]ATTENDANCE DAILY'!$AV$4:$AV$663,$CC57)),N$14&gt;_xlfn.SINGLE(INDEX('[1]ATTENDANCE DAILY'!$AW$4:$AW$663,$CC57))),"",IF(_xlfn.SINGLE(INDEX('[1]ATTENDANCE DAILY'!$I$4:$AM$663,$CC57,DAY(N$14)))="T-Late","T-L",IF(_xlfn.SINGLE(INDEX('[1]ATTENDANCE DAILY'!$I$4:$AM$663,$CC57,DAY(N$14)))="T-Cutting","T-C",INDEX('[1]ATTENDANCE DAILY'!$I$4:$AM$663,$CC57,DAY(N$14)))))),IFERROR(IF(_xlpm._r=0,"",_xlpm._r),""))</f>
        <v/>
      </c>
      <c r="O57" s="101" t="str">
        <f>_xlfn.LET(_xlpm._r,_xlfn.SINGLE(IF(OR($CC57="",O$14="",O$14&lt;_xlfn.SINGLE(INDEX('[1]ATTENDANCE DAILY'!$AV$4:$AV$663,$CC57)),O$14&gt;_xlfn.SINGLE(INDEX('[1]ATTENDANCE DAILY'!$AW$4:$AW$663,$CC57))),"",IF(_xlfn.SINGLE(INDEX('[1]ATTENDANCE DAILY'!$I$4:$AM$663,$CC57,DAY(O$14)))="T-Late","T-L",IF(_xlfn.SINGLE(INDEX('[1]ATTENDANCE DAILY'!$I$4:$AM$663,$CC57,DAY(O$14)))="T-Cutting","T-C",INDEX('[1]ATTENDANCE DAILY'!$I$4:$AM$663,$CC57,DAY(O$14)))))),IFERROR(IF(_xlpm._r=0,"",_xlpm._r),""))</f>
        <v/>
      </c>
      <c r="P57" s="102"/>
      <c r="Q57" s="102"/>
      <c r="R57" s="99"/>
      <c r="S57" s="101" t="str">
        <f>_xlfn.LET(_xlpm._r,_xlfn.SINGLE(IF(OR($CC57="",S$14="",S$14&lt;_xlfn.SINGLE(INDEX('[1]ATTENDANCE DAILY'!$AV$4:$AV$663,$CC57)),S$14&gt;_xlfn.SINGLE(INDEX('[1]ATTENDANCE DAILY'!$AW$4:$AW$663,$CC57))),"",IF(_xlfn.SINGLE(INDEX('[1]ATTENDANCE DAILY'!$I$4:$AM$663,$CC57,DAY(S$14)))="T-Late","T-L",IF(_xlfn.SINGLE(INDEX('[1]ATTENDANCE DAILY'!$I$4:$AM$663,$CC57,DAY(S$14)))="T-Cutting","T-C",INDEX('[1]ATTENDANCE DAILY'!$I$4:$AM$663,$CC57,DAY(S$14)))))),IFERROR(IF(_xlpm._r=0,"",_xlpm._r),""))</f>
        <v/>
      </c>
      <c r="T57" s="102"/>
      <c r="U57" s="103"/>
      <c r="V57" s="100" t="str">
        <f>_xlfn.LET(_xlpm._r,_xlfn.SINGLE(IF(OR($CC57="",V$14="",V$14&lt;_xlfn.SINGLE(INDEX('[1]ATTENDANCE DAILY'!$AV$4:$AV$663,$CC57)),V$14&gt;_xlfn.SINGLE(INDEX('[1]ATTENDANCE DAILY'!$AW$4:$AW$663,$CC57))),"",IF(_xlfn.SINGLE(INDEX('[1]ATTENDANCE DAILY'!$I$4:$AM$663,$CC57,DAY(V$14)))="T-Late","T-L",IF(_xlfn.SINGLE(INDEX('[1]ATTENDANCE DAILY'!$I$4:$AM$663,$CC57,DAY(V$14)))="T-Cutting","T-C",INDEX('[1]ATTENDANCE DAILY'!$I$4:$AM$663,$CC57,DAY(V$14)))))),IFERROR(IF(_xlpm._r=0,"",_xlpm._r),""))</f>
        <v/>
      </c>
      <c r="W57" s="101" t="str">
        <f>_xlfn.LET(_xlpm._r,_xlfn.SINGLE(IF(OR($CC57="",W$14="",W$14&lt;_xlfn.SINGLE(INDEX('[1]ATTENDANCE DAILY'!$AV$4:$AV$663,$CC57)),W$14&gt;_xlfn.SINGLE(INDEX('[1]ATTENDANCE DAILY'!$AW$4:$AW$663,$CC57))),"",IF(_xlfn.SINGLE(INDEX('[1]ATTENDANCE DAILY'!$I$4:$AM$663,$CC57,DAY(W$14)))="T-Late","T-L",IF(_xlfn.SINGLE(INDEX('[1]ATTENDANCE DAILY'!$I$4:$AM$663,$CC57,DAY(W$14)))="T-Cutting","T-C",INDEX('[1]ATTENDANCE DAILY'!$I$4:$AM$663,$CC57,DAY(W$14)))))),IFERROR(IF(_xlpm._r=0,"",_xlpm._r),""))</f>
        <v/>
      </c>
      <c r="X57" s="102"/>
      <c r="Y57" s="99"/>
      <c r="Z57" s="100" t="str">
        <f>_xlfn.LET(_xlpm._r,_xlfn.SINGLE(IF(OR($CC57="",Z$14="",Z$14&lt;_xlfn.SINGLE(INDEX('[1]ATTENDANCE DAILY'!$AV$4:$AV$663,$CC57)),Z$14&gt;_xlfn.SINGLE(INDEX('[1]ATTENDANCE DAILY'!$AW$4:$AW$663,$CC57))),"",IF(_xlfn.SINGLE(INDEX('[1]ATTENDANCE DAILY'!$I$4:$AM$663,$CC57,DAY(Z$14)))="T-Late","T-L",IF(_xlfn.SINGLE(INDEX('[1]ATTENDANCE DAILY'!$I$4:$AM$663,$CC57,DAY(Z$14)))="T-Cutting","T-C",INDEX('[1]ATTENDANCE DAILY'!$I$4:$AM$663,$CC57,DAY(Z$14)))))),IFERROR(IF(_xlpm._r=0,"",_xlpm._r),""))</f>
        <v/>
      </c>
      <c r="AA57" s="100" t="str">
        <f>_xlfn.LET(_xlpm._r,_xlfn.SINGLE(IF(OR($CC57="",AA$14="",AA$14&lt;_xlfn.SINGLE(INDEX('[1]ATTENDANCE DAILY'!$AV$4:$AV$663,$CC57)),AA$14&gt;_xlfn.SINGLE(INDEX('[1]ATTENDANCE DAILY'!$AW$4:$AW$663,$CC57))),"",IF(_xlfn.SINGLE(INDEX('[1]ATTENDANCE DAILY'!$I$4:$AM$663,$CC57,DAY(AA$14)))="T-Late","T-L",IF(_xlfn.SINGLE(INDEX('[1]ATTENDANCE DAILY'!$I$4:$AM$663,$CC57,DAY(AA$14)))="T-Cutting","T-C",INDEX('[1]ATTENDANCE DAILY'!$I$4:$AM$663,$CC57,DAY(AA$14)))))),IFERROR(IF(_xlpm._r=0,"",_xlpm._r),""))</f>
        <v/>
      </c>
      <c r="AB57" s="101" t="str">
        <f>_xlfn.LET(_xlpm._r,_xlfn.SINGLE(IF(OR($CC57="",AB$14="",AB$14&lt;_xlfn.SINGLE(INDEX('[1]ATTENDANCE DAILY'!$AV$4:$AV$663,$CC57)),AB$14&gt;_xlfn.SINGLE(INDEX('[1]ATTENDANCE DAILY'!$AW$4:$AW$663,$CC57))),"",IF(_xlfn.SINGLE(INDEX('[1]ATTENDANCE DAILY'!$I$4:$AM$663,$CC57,DAY(AB$14)))="T-Late","T-L",IF(_xlfn.SINGLE(INDEX('[1]ATTENDANCE DAILY'!$I$4:$AM$663,$CC57,DAY(AB$14)))="T-Cutting","T-C",INDEX('[1]ATTENDANCE DAILY'!$I$4:$AM$663,$CC57,DAY(AB$14)))))),IFERROR(IF(_xlpm._r=0,"",_xlpm._r),""))</f>
        <v/>
      </c>
      <c r="AC57" s="102"/>
      <c r="AD57" s="103"/>
      <c r="AE57" s="101" t="str">
        <f>_xlfn.LET(_xlpm._r,_xlfn.SINGLE(IF(OR($CC57="",AE$14="",AE$14&lt;_xlfn.SINGLE(INDEX('[1]ATTENDANCE DAILY'!$AV$4:$AV$663,$CC57)),AE$14&gt;_xlfn.SINGLE(INDEX('[1]ATTENDANCE DAILY'!$AW$4:$AW$663,$CC57))),"",IF(_xlfn.SINGLE(INDEX('[1]ATTENDANCE DAILY'!$I$4:$AM$663,$CC57,DAY(AE$14)))="T-Late","T-L",IF(_xlfn.SINGLE(INDEX('[1]ATTENDANCE DAILY'!$I$4:$AM$663,$CC57,DAY(AE$14)))="T-Cutting","T-C",INDEX('[1]ATTENDANCE DAILY'!$I$4:$AM$663,$CC57,DAY(AE$14)))))),IFERROR(IF(_xlpm._r=0,"",_xlpm._r),""))</f>
        <v/>
      </c>
      <c r="AF57" s="102"/>
      <c r="AG57" s="99"/>
      <c r="AH57" s="100" t="str">
        <f>_xlfn.LET(_xlpm._r,_xlfn.SINGLE(IF(OR($CC57="",AH$14="",AH$14&lt;_xlfn.SINGLE(INDEX('[1]ATTENDANCE DAILY'!$AV$4:$AV$663,$CC57)),AH$14&gt;_xlfn.SINGLE(INDEX('[1]ATTENDANCE DAILY'!$AW$4:$AW$663,$CC57))),"",IF(_xlfn.SINGLE(INDEX('[1]ATTENDANCE DAILY'!$I$4:$AM$663,$CC57,DAY(AH$14)))="T-Late","T-L",IF(_xlfn.SINGLE(INDEX('[1]ATTENDANCE DAILY'!$I$4:$AM$663,$CC57,DAY(AH$14)))="T-Cutting","T-C",INDEX('[1]ATTENDANCE DAILY'!$I$4:$AM$663,$CC57,DAY(AH$14)))))),IFERROR(IF(_xlpm._r=0,"",_xlpm._r),""))</f>
        <v/>
      </c>
      <c r="AI57" s="101" t="str">
        <f>_xlfn.LET(_xlpm._r,_xlfn.SINGLE(IF(OR($CC57="",AI$14="",AI$14&lt;_xlfn.SINGLE(INDEX('[1]ATTENDANCE DAILY'!$AV$4:$AV$663,$CC57)),AI$14&gt;_xlfn.SINGLE(INDEX('[1]ATTENDANCE DAILY'!$AW$4:$AW$663,$CC57))),"",IF(_xlfn.SINGLE(INDEX('[1]ATTENDANCE DAILY'!$I$4:$AM$663,$CC57,DAY(AI$14)))="T-Late","T-L",IF(_xlfn.SINGLE(INDEX('[1]ATTENDANCE DAILY'!$I$4:$AM$663,$CC57,DAY(AI$14)))="T-Cutting","T-C",INDEX('[1]ATTENDANCE DAILY'!$I$4:$AM$663,$CC57,DAY(AI$14)))))),IFERROR(IF(_xlpm._r=0,"",_xlpm._r),""))</f>
        <v/>
      </c>
      <c r="AJ57" s="102"/>
      <c r="AK57" s="99"/>
      <c r="AL57" s="101" t="str">
        <f>_xlfn.LET(_xlpm._r,_xlfn.SINGLE(IF(OR($CC57="",AL$14="",AL$14&lt;_xlfn.SINGLE(INDEX('[1]ATTENDANCE DAILY'!$AV$4:$AV$663,$CC57)),AL$14&gt;_xlfn.SINGLE(INDEX('[1]ATTENDANCE DAILY'!$AW$4:$AW$663,$CC57))),"",IF(_xlfn.SINGLE(INDEX('[1]ATTENDANCE DAILY'!$I$4:$AM$663,$CC57,DAY(AL$14)))="T-Late","T-L",IF(_xlfn.SINGLE(INDEX('[1]ATTENDANCE DAILY'!$I$4:$AM$663,$CC57,DAY(AL$14)))="T-Cutting","T-C",INDEX('[1]ATTENDANCE DAILY'!$I$4:$AM$663,$CC57,DAY(AL$14)))))),IFERROR(IF(_xlpm._r=0,"",_xlpm._r),""))</f>
        <v/>
      </c>
      <c r="AM57" s="99"/>
      <c r="AN57" s="101" t="str">
        <f>_xlfn.LET(_xlpm._r,_xlfn.SINGLE(IF(OR($CC57="",AN$14="",AN$14&lt;_xlfn.SINGLE(INDEX('[1]ATTENDANCE DAILY'!$AV$4:$AV$663,$CC57)),AN$14&gt;_xlfn.SINGLE(INDEX('[1]ATTENDANCE DAILY'!$AW$4:$AW$663,$CC57))),"",IF(_xlfn.SINGLE(INDEX('[1]ATTENDANCE DAILY'!$I$4:$AM$663,$CC57,DAY(AN$14)))="T-Late","T-L",IF(_xlfn.SINGLE(INDEX('[1]ATTENDANCE DAILY'!$I$4:$AM$663,$CC57,DAY(AN$14)))="T-Cutting","T-C",INDEX('[1]ATTENDANCE DAILY'!$I$4:$AM$663,$CC57,DAY(AN$14)))))),IFERROR(IF(_xlpm._r=0,"",_xlpm._r),""))</f>
        <v/>
      </c>
      <c r="AO57" s="103"/>
      <c r="AP57" s="101" t="str">
        <f>_xlfn.LET(_xlpm._r,_xlfn.SINGLE(IF(OR($CC57="",AP$14="",AP$14&lt;_xlfn.SINGLE(INDEX('[1]ATTENDANCE DAILY'!$AV$4:$AV$663,$CC57)),AP$14&gt;_xlfn.SINGLE(INDEX('[1]ATTENDANCE DAILY'!$AW$4:$AW$663,$CC57))),"",IF(_xlfn.SINGLE(INDEX('[1]ATTENDANCE DAILY'!$I$4:$AM$663,$CC57,DAY(AP$14)))="T-Late","T-L",IF(_xlfn.SINGLE(INDEX('[1]ATTENDANCE DAILY'!$I$4:$AM$663,$CC57,DAY(AP$14)))="T-Cutting","T-C",INDEX('[1]ATTENDANCE DAILY'!$I$4:$AM$663,$CC57,DAY(AP$14)))))),IFERROR(IF(_xlpm._r=0,"",_xlpm._r),""))</f>
        <v/>
      </c>
      <c r="AQ57" s="99"/>
      <c r="AR57" s="100" t="str">
        <f>_xlfn.LET(_xlpm._r,_xlfn.SINGLE(IF(OR($CC57="",AR$14="",AR$14&lt;_xlfn.SINGLE(INDEX('[1]ATTENDANCE DAILY'!$AV$4:$AV$663,$CC57)),AR$14&gt;_xlfn.SINGLE(INDEX('[1]ATTENDANCE DAILY'!$AW$4:$AW$663,$CC57))),"",IF(_xlfn.SINGLE(INDEX('[1]ATTENDANCE DAILY'!$I$4:$AM$663,$CC57,DAY(AR$14)))="T-Late","T-L",IF(_xlfn.SINGLE(INDEX('[1]ATTENDANCE DAILY'!$I$4:$AM$663,$CC57,DAY(AR$14)))="T-Cutting","T-C",INDEX('[1]ATTENDANCE DAILY'!$I$4:$AM$663,$CC57,DAY(AR$14)))))),IFERROR(IF(_xlpm._r=0,"",_xlpm._r),""))</f>
        <v/>
      </c>
      <c r="AS57" s="101" t="str">
        <f>_xlfn.LET(_xlpm._r,_xlfn.SINGLE(IF(OR($CC57="",AS$14="",AS$14&lt;_xlfn.SINGLE(INDEX('[1]ATTENDANCE DAILY'!$AV$4:$AV$663,$CC57)),AS$14&gt;_xlfn.SINGLE(INDEX('[1]ATTENDANCE DAILY'!$AW$4:$AW$663,$CC57))),"",IF(_xlfn.SINGLE(INDEX('[1]ATTENDANCE DAILY'!$I$4:$AM$663,$CC57,DAY(AS$14)))="T-Late","T-L",IF(_xlfn.SINGLE(INDEX('[1]ATTENDANCE DAILY'!$I$4:$AM$663,$CC57,DAY(AS$14)))="T-Cutting","T-C",INDEX('[1]ATTENDANCE DAILY'!$I$4:$AM$663,$CC57,DAY(AS$14)))))),IFERROR(IF(_xlpm._r=0,"",_xlpm._r),""))</f>
        <v/>
      </c>
      <c r="AT57" s="99"/>
      <c r="AU57" s="100" t="str">
        <f>_xlfn.LET(_xlpm._r,_xlfn.SINGLE(IF(OR($CC57="",AU$14="",AU$14&lt;_xlfn.SINGLE(INDEX('[1]ATTENDANCE DAILY'!$AV$4:$AV$663,$CC57)),AU$14&gt;_xlfn.SINGLE(INDEX('[1]ATTENDANCE DAILY'!$AW$4:$AW$663,$CC57))),"",IF(_xlfn.SINGLE(INDEX('[1]ATTENDANCE DAILY'!$I$4:$AM$663,$CC57,DAY(AU$14)))="T-Late","T-L",IF(_xlfn.SINGLE(INDEX('[1]ATTENDANCE DAILY'!$I$4:$AM$663,$CC57,DAY(AU$14)))="T-Cutting","T-C",INDEX('[1]ATTENDANCE DAILY'!$I$4:$AM$663,$CC57,DAY(AU$14)))))),IFERROR(IF(_xlpm._r=0,"",_xlpm._r),""))</f>
        <v/>
      </c>
      <c r="AV57" s="104" t="str">
        <f>_xlfn.LET(_xlpm._r,_xlfn.SINGLE(IF(OR($CC57="",AV$14="",AV$14&lt;_xlfn.SINGLE(INDEX('[1]ATTENDANCE DAILY'!$AV$4:$AV$663,$CC57)),AV$14&gt;_xlfn.SINGLE(INDEX('[1]ATTENDANCE DAILY'!$AW$4:$AW$663,$CC57))),"",IF(_xlfn.SINGLE(INDEX('[1]ATTENDANCE DAILY'!$I$4:$AM$663,$CC57,DAY(AV$14)))="T-Late","T-L",IF(_xlfn.SINGLE(INDEX('[1]ATTENDANCE DAILY'!$I$4:$AM$663,$CC57,DAY(AV$14)))="T-Cutting","T-C",INDEX('[1]ATTENDANCE DAILY'!$I$4:$AM$663,$CC57,DAY(AV$14)))))),IFERROR(IF(_xlpm._r=0,"",_xlpm._r),""))</f>
        <v/>
      </c>
      <c r="AW57" s="101" t="str">
        <f>_xlfn.LET(_xlpm._r,_xlfn.SINGLE(IF(OR($CC57="",AW$14="",AW$14&lt;_xlfn.SINGLE(INDEX('[1]ATTENDANCE DAILY'!$AV$4:$AV$663,$CC57)),AW$14&gt;_xlfn.SINGLE(INDEX('[1]ATTENDANCE DAILY'!$AW$4:$AW$663,$CC57))),"",IF(_xlfn.SINGLE(INDEX('[1]ATTENDANCE DAILY'!$I$4:$AM$663,$CC57,DAY(AW$14)))="T-Late","T-L",IF(_xlfn.SINGLE(INDEX('[1]ATTENDANCE DAILY'!$I$4:$AM$663,$CC57,DAY(AW$14)))="T-Cutting","T-C",INDEX('[1]ATTENDANCE DAILY'!$I$4:$AM$663,$CC57,DAY(AW$14)))))),IFERROR(IF(_xlpm._r=0,"",_xlpm._r),""))</f>
        <v/>
      </c>
      <c r="AX57" s="99"/>
      <c r="AY57" s="101" t="str">
        <f>_xlfn.LET(_xlpm._r,_xlfn.SINGLE(IF(OR($CC57="",AY$14="",AY$14&lt;_xlfn.SINGLE(INDEX('[1]ATTENDANCE DAILY'!$AV$4:$AV$663,$CC57)),AY$14&gt;_xlfn.SINGLE(INDEX('[1]ATTENDANCE DAILY'!$AW$4:$AW$663,$CC57))),"",IF(_xlfn.SINGLE(INDEX('[1]ATTENDANCE DAILY'!$I$4:$AM$663,$CC57,DAY(AY$14)))="T-Late","T-L",IF(_xlfn.SINGLE(INDEX('[1]ATTENDANCE DAILY'!$I$4:$AM$663,$CC57,DAY(AY$14)))="T-Cutting","T-C",INDEX('[1]ATTENDANCE DAILY'!$I$4:$AM$663,$CC57,DAY(AY$14)))))),IFERROR(IF(_xlpm._r=0,"",_xlpm._r),""))</f>
        <v/>
      </c>
      <c r="AZ57" s="102"/>
      <c r="BA57" s="99"/>
      <c r="BB57" s="101" t="str">
        <f>_xlfn.LET(_xlpm._r,_xlfn.SINGLE(IF(OR($CC57="",BB$14="",BB$14&lt;_xlfn.SINGLE(INDEX('[1]ATTENDANCE DAILY'!$AV$4:$AV$663,$CC57)),BB$14&gt;_xlfn.SINGLE(INDEX('[1]ATTENDANCE DAILY'!$AW$4:$AW$663,$CC57))),"",IF(_xlfn.SINGLE(INDEX('[1]ATTENDANCE DAILY'!$I$4:$AM$663,$CC57,DAY(BB$14)))="T-Late","T-L",IF(_xlfn.SINGLE(INDEX('[1]ATTENDANCE DAILY'!$I$4:$AM$663,$CC57,DAY(BB$14)))="T-Cutting","T-C",INDEX('[1]ATTENDANCE DAILY'!$I$4:$AM$663,$CC57,DAY(BB$14)))))),IFERROR(IF(_xlpm._r=0,"",_xlpm._r),""))</f>
        <v/>
      </c>
      <c r="BC57" s="99"/>
      <c r="BD57" s="100" t="str">
        <f>_xlfn.LET(_xlpm._r,_xlfn.SINGLE(IF(OR($CC57="",BD$14="",BD$14&lt;_xlfn.SINGLE(INDEX('[1]ATTENDANCE DAILY'!$AV$4:$AV$663,$CC57)),BD$14&gt;_xlfn.SINGLE(INDEX('[1]ATTENDANCE DAILY'!$AW$4:$AW$663,$CC57))),"",IF(_xlfn.SINGLE(INDEX('[1]ATTENDANCE DAILY'!$I$4:$AM$663,$CC57,DAY(BD$14)))="T-Late","T-L",IF(_xlfn.SINGLE(INDEX('[1]ATTENDANCE DAILY'!$I$4:$AM$663,$CC57,DAY(BD$14)))="T-Cutting","T-C",INDEX('[1]ATTENDANCE DAILY'!$I$4:$AM$663,$CC57,DAY(BD$14)))))),IFERROR(IF(_xlpm._r=0,"",_xlpm._r),""))</f>
        <v/>
      </c>
      <c r="BE57" s="101" t="str">
        <f>_xlfn.LET(_xlpm._r,_xlfn.SINGLE(IF(OR($CC57="",BE$14="",BE$14&lt;_xlfn.SINGLE(INDEX('[1]ATTENDANCE DAILY'!$AV$4:$AV$663,$CC57)),BE$14&gt;_xlfn.SINGLE(INDEX('[1]ATTENDANCE DAILY'!$AW$4:$AW$663,$CC57))),"",IF(_xlfn.SINGLE(INDEX('[1]ATTENDANCE DAILY'!$I$4:$AM$663,$CC57,DAY(BE$14)))="T-Late","T-L",IF(_xlfn.SINGLE(INDEX('[1]ATTENDANCE DAILY'!$I$4:$AM$663,$CC57,DAY(BE$14)))="T-Cutting","T-C",INDEX('[1]ATTENDANCE DAILY'!$I$4:$AM$663,$CC57,DAY(BE$14)))))),IFERROR(IF(_xlpm._r=0,"",_xlpm._r),""))</f>
        <v/>
      </c>
      <c r="BF57" s="102"/>
      <c r="BG57" s="102"/>
      <c r="BH57" s="103"/>
      <c r="BI57" s="105" t="str">
        <f>IF($CC57="","",INDEX('[1]ATTENDANCE DAILY'!$AR$4:$AR$663,$CC57))</f>
        <v/>
      </c>
      <c r="BJ57" s="106"/>
      <c r="BK57" s="107"/>
      <c r="BL57" s="105" t="str">
        <f>IF($CC57="","",INDEX('[1]ATTENDANCE DAILY'!$AS$4:$AS$663,$CC57))</f>
        <v/>
      </c>
      <c r="BM57" s="106"/>
      <c r="BN57" s="106"/>
      <c r="BO57" s="107"/>
      <c r="BP57" s="105" t="str">
        <f>IF($CC57="","",IF(INDEX('[1]ATTENDANCE DAILY'!$AN$4:$AN$663,$CC57)="","",INDEX('[1]ATTENDANCE DAILY'!$AN$4:$AN$663,$CC57)&amp;IF(INDEX('[1]ATTENDANCE DAILY'!$AO$4:$AO$663,$CC57)="",""," ("&amp;TEXT(INDEX('[1]ATTENDANCE DAILY'!$AO$4:$AO$663,$CC57),"mm-dd-yyyy")&amp;")")&amp;IF(INDEX('[1]ATTENDANCE DAILY'!$AP$4:$AP$663,$CC57)="",""," - "&amp;INDEX('[1]ATTENDANCE DAILY'!$AP$4:$AP$663,$CC57))))</f>
        <v/>
      </c>
      <c r="BQ57" s="106"/>
      <c r="BR57" s="106"/>
      <c r="BS57" s="106"/>
      <c r="BT57" s="106"/>
      <c r="BU57" s="106"/>
      <c r="BV57" s="106"/>
      <c r="BW57" s="106"/>
      <c r="BX57" s="106"/>
      <c r="BY57" s="106"/>
      <c r="BZ57" s="106"/>
      <c r="CA57" s="107"/>
      <c r="CC57" t="str">
        <f>IF(COUNTIFS('[1]ATTENDANCE DAILY'!$C$4:$C$663,$BN$11,'[1]ATTENDANCE DAILY'!$F$4:$F$663,"Female",'[1]ATTENDANCE DAILY'!$G$4:$G$663,1,'[1]ATTENDANCE DAILY'!$BA$4:$BA$663,14)=0,"",SUMIFS('[1]ATTENDANCE DAILY'!$A$4:$A$663,'[1]ATTENDANCE DAILY'!$C$4:$C$663,$BN$11,'[1]ATTENDANCE DAILY'!$F$4:$F$663,"Female",'[1]ATTENDANCE DAILY'!$G$4:$G$663,1,'[1]ATTENDANCE DAILY'!$BA$4:$BA$663,14))</f>
        <v/>
      </c>
    </row>
    <row r="58" spans="1:81" ht="19.95" customHeight="1" thickTop="1" thickBot="1">
      <c r="A58" s="92">
        <v>15</v>
      </c>
      <c r="B58" s="93"/>
      <c r="C58" s="93"/>
      <c r="D58" s="93"/>
      <c r="E58" s="93"/>
      <c r="F58" s="94"/>
      <c r="G58" s="95" t="str">
        <f>IF($CC58="","",INDEX('[1]ATTENDANCE DAILY'!$E$4:$E$663,$CC58))</f>
        <v/>
      </c>
      <c r="H58" s="96"/>
      <c r="I58" s="96"/>
      <c r="J58" s="97"/>
      <c r="K58" s="98" t="str">
        <f>_xlfn.LET(_xlpm._r,_xlfn.SINGLE(IF(OR($CC58="",K$14="",K$14&lt;_xlfn.SINGLE(INDEX('[1]ATTENDANCE DAILY'!$AV$4:$AV$663,$CC58)),K$14&gt;_xlfn.SINGLE(INDEX('[1]ATTENDANCE DAILY'!$AW$4:$AW$663,$CC58))),"",IF(_xlfn.SINGLE(INDEX('[1]ATTENDANCE DAILY'!$I$4:$AM$663,$CC58,DAY(K$14)))="T-Late","T-L",IF(_xlfn.SINGLE(INDEX('[1]ATTENDANCE DAILY'!$I$4:$AM$663,$CC58,DAY(K$14)))="T-Cutting","T-C",INDEX('[1]ATTENDANCE DAILY'!$I$4:$AM$663,$CC58,DAY(K$14)))))),IFERROR(IF(_xlpm._r=0,"",_xlpm._r),""))</f>
        <v/>
      </c>
      <c r="L58" s="99"/>
      <c r="M58" s="100" t="str">
        <f>_xlfn.LET(_xlpm._r,_xlfn.SINGLE(IF(OR($CC58="",M$14="",M$14&lt;_xlfn.SINGLE(INDEX('[1]ATTENDANCE DAILY'!$AV$4:$AV$663,$CC58)),M$14&gt;_xlfn.SINGLE(INDEX('[1]ATTENDANCE DAILY'!$AW$4:$AW$663,$CC58))),"",IF(_xlfn.SINGLE(INDEX('[1]ATTENDANCE DAILY'!$I$4:$AM$663,$CC58,DAY(M$14)))="T-Late","T-L",IF(_xlfn.SINGLE(INDEX('[1]ATTENDANCE DAILY'!$I$4:$AM$663,$CC58,DAY(M$14)))="T-Cutting","T-C",INDEX('[1]ATTENDANCE DAILY'!$I$4:$AM$663,$CC58,DAY(M$14)))))),IFERROR(IF(_xlpm._r=0,"",_xlpm._r),""))</f>
        <v/>
      </c>
      <c r="N58" s="100" t="str">
        <f>_xlfn.LET(_xlpm._r,_xlfn.SINGLE(IF(OR($CC58="",N$14="",N$14&lt;_xlfn.SINGLE(INDEX('[1]ATTENDANCE DAILY'!$AV$4:$AV$663,$CC58)),N$14&gt;_xlfn.SINGLE(INDEX('[1]ATTENDANCE DAILY'!$AW$4:$AW$663,$CC58))),"",IF(_xlfn.SINGLE(INDEX('[1]ATTENDANCE DAILY'!$I$4:$AM$663,$CC58,DAY(N$14)))="T-Late","T-L",IF(_xlfn.SINGLE(INDEX('[1]ATTENDANCE DAILY'!$I$4:$AM$663,$CC58,DAY(N$14)))="T-Cutting","T-C",INDEX('[1]ATTENDANCE DAILY'!$I$4:$AM$663,$CC58,DAY(N$14)))))),IFERROR(IF(_xlpm._r=0,"",_xlpm._r),""))</f>
        <v/>
      </c>
      <c r="O58" s="101" t="str">
        <f>_xlfn.LET(_xlpm._r,_xlfn.SINGLE(IF(OR($CC58="",O$14="",O$14&lt;_xlfn.SINGLE(INDEX('[1]ATTENDANCE DAILY'!$AV$4:$AV$663,$CC58)),O$14&gt;_xlfn.SINGLE(INDEX('[1]ATTENDANCE DAILY'!$AW$4:$AW$663,$CC58))),"",IF(_xlfn.SINGLE(INDEX('[1]ATTENDANCE DAILY'!$I$4:$AM$663,$CC58,DAY(O$14)))="T-Late","T-L",IF(_xlfn.SINGLE(INDEX('[1]ATTENDANCE DAILY'!$I$4:$AM$663,$CC58,DAY(O$14)))="T-Cutting","T-C",INDEX('[1]ATTENDANCE DAILY'!$I$4:$AM$663,$CC58,DAY(O$14)))))),IFERROR(IF(_xlpm._r=0,"",_xlpm._r),""))</f>
        <v/>
      </c>
      <c r="P58" s="102"/>
      <c r="Q58" s="102"/>
      <c r="R58" s="99"/>
      <c r="S58" s="101" t="str">
        <f>_xlfn.LET(_xlpm._r,_xlfn.SINGLE(IF(OR($CC58="",S$14="",S$14&lt;_xlfn.SINGLE(INDEX('[1]ATTENDANCE DAILY'!$AV$4:$AV$663,$CC58)),S$14&gt;_xlfn.SINGLE(INDEX('[1]ATTENDANCE DAILY'!$AW$4:$AW$663,$CC58))),"",IF(_xlfn.SINGLE(INDEX('[1]ATTENDANCE DAILY'!$I$4:$AM$663,$CC58,DAY(S$14)))="T-Late","T-L",IF(_xlfn.SINGLE(INDEX('[1]ATTENDANCE DAILY'!$I$4:$AM$663,$CC58,DAY(S$14)))="T-Cutting","T-C",INDEX('[1]ATTENDANCE DAILY'!$I$4:$AM$663,$CC58,DAY(S$14)))))),IFERROR(IF(_xlpm._r=0,"",_xlpm._r),""))</f>
        <v/>
      </c>
      <c r="T58" s="102"/>
      <c r="U58" s="103"/>
      <c r="V58" s="100" t="str">
        <f>_xlfn.LET(_xlpm._r,_xlfn.SINGLE(IF(OR($CC58="",V$14="",V$14&lt;_xlfn.SINGLE(INDEX('[1]ATTENDANCE DAILY'!$AV$4:$AV$663,$CC58)),V$14&gt;_xlfn.SINGLE(INDEX('[1]ATTENDANCE DAILY'!$AW$4:$AW$663,$CC58))),"",IF(_xlfn.SINGLE(INDEX('[1]ATTENDANCE DAILY'!$I$4:$AM$663,$CC58,DAY(V$14)))="T-Late","T-L",IF(_xlfn.SINGLE(INDEX('[1]ATTENDANCE DAILY'!$I$4:$AM$663,$CC58,DAY(V$14)))="T-Cutting","T-C",INDEX('[1]ATTENDANCE DAILY'!$I$4:$AM$663,$CC58,DAY(V$14)))))),IFERROR(IF(_xlpm._r=0,"",_xlpm._r),""))</f>
        <v/>
      </c>
      <c r="W58" s="101" t="str">
        <f>_xlfn.LET(_xlpm._r,_xlfn.SINGLE(IF(OR($CC58="",W$14="",W$14&lt;_xlfn.SINGLE(INDEX('[1]ATTENDANCE DAILY'!$AV$4:$AV$663,$CC58)),W$14&gt;_xlfn.SINGLE(INDEX('[1]ATTENDANCE DAILY'!$AW$4:$AW$663,$CC58))),"",IF(_xlfn.SINGLE(INDEX('[1]ATTENDANCE DAILY'!$I$4:$AM$663,$CC58,DAY(W$14)))="T-Late","T-L",IF(_xlfn.SINGLE(INDEX('[1]ATTENDANCE DAILY'!$I$4:$AM$663,$CC58,DAY(W$14)))="T-Cutting","T-C",INDEX('[1]ATTENDANCE DAILY'!$I$4:$AM$663,$CC58,DAY(W$14)))))),IFERROR(IF(_xlpm._r=0,"",_xlpm._r),""))</f>
        <v/>
      </c>
      <c r="X58" s="102"/>
      <c r="Y58" s="99"/>
      <c r="Z58" s="100" t="str">
        <f>_xlfn.LET(_xlpm._r,_xlfn.SINGLE(IF(OR($CC58="",Z$14="",Z$14&lt;_xlfn.SINGLE(INDEX('[1]ATTENDANCE DAILY'!$AV$4:$AV$663,$CC58)),Z$14&gt;_xlfn.SINGLE(INDEX('[1]ATTENDANCE DAILY'!$AW$4:$AW$663,$CC58))),"",IF(_xlfn.SINGLE(INDEX('[1]ATTENDANCE DAILY'!$I$4:$AM$663,$CC58,DAY(Z$14)))="T-Late","T-L",IF(_xlfn.SINGLE(INDEX('[1]ATTENDANCE DAILY'!$I$4:$AM$663,$CC58,DAY(Z$14)))="T-Cutting","T-C",INDEX('[1]ATTENDANCE DAILY'!$I$4:$AM$663,$CC58,DAY(Z$14)))))),IFERROR(IF(_xlpm._r=0,"",_xlpm._r),""))</f>
        <v/>
      </c>
      <c r="AA58" s="100" t="str">
        <f>_xlfn.LET(_xlpm._r,_xlfn.SINGLE(IF(OR($CC58="",AA$14="",AA$14&lt;_xlfn.SINGLE(INDEX('[1]ATTENDANCE DAILY'!$AV$4:$AV$663,$CC58)),AA$14&gt;_xlfn.SINGLE(INDEX('[1]ATTENDANCE DAILY'!$AW$4:$AW$663,$CC58))),"",IF(_xlfn.SINGLE(INDEX('[1]ATTENDANCE DAILY'!$I$4:$AM$663,$CC58,DAY(AA$14)))="T-Late","T-L",IF(_xlfn.SINGLE(INDEX('[1]ATTENDANCE DAILY'!$I$4:$AM$663,$CC58,DAY(AA$14)))="T-Cutting","T-C",INDEX('[1]ATTENDANCE DAILY'!$I$4:$AM$663,$CC58,DAY(AA$14)))))),IFERROR(IF(_xlpm._r=0,"",_xlpm._r),""))</f>
        <v/>
      </c>
      <c r="AB58" s="101" t="str">
        <f>_xlfn.LET(_xlpm._r,_xlfn.SINGLE(IF(OR($CC58="",AB$14="",AB$14&lt;_xlfn.SINGLE(INDEX('[1]ATTENDANCE DAILY'!$AV$4:$AV$663,$CC58)),AB$14&gt;_xlfn.SINGLE(INDEX('[1]ATTENDANCE DAILY'!$AW$4:$AW$663,$CC58))),"",IF(_xlfn.SINGLE(INDEX('[1]ATTENDANCE DAILY'!$I$4:$AM$663,$CC58,DAY(AB$14)))="T-Late","T-L",IF(_xlfn.SINGLE(INDEX('[1]ATTENDANCE DAILY'!$I$4:$AM$663,$CC58,DAY(AB$14)))="T-Cutting","T-C",INDEX('[1]ATTENDANCE DAILY'!$I$4:$AM$663,$CC58,DAY(AB$14)))))),IFERROR(IF(_xlpm._r=0,"",_xlpm._r),""))</f>
        <v/>
      </c>
      <c r="AC58" s="102"/>
      <c r="AD58" s="103"/>
      <c r="AE58" s="101" t="str">
        <f>_xlfn.LET(_xlpm._r,_xlfn.SINGLE(IF(OR($CC58="",AE$14="",AE$14&lt;_xlfn.SINGLE(INDEX('[1]ATTENDANCE DAILY'!$AV$4:$AV$663,$CC58)),AE$14&gt;_xlfn.SINGLE(INDEX('[1]ATTENDANCE DAILY'!$AW$4:$AW$663,$CC58))),"",IF(_xlfn.SINGLE(INDEX('[1]ATTENDANCE DAILY'!$I$4:$AM$663,$CC58,DAY(AE$14)))="T-Late","T-L",IF(_xlfn.SINGLE(INDEX('[1]ATTENDANCE DAILY'!$I$4:$AM$663,$CC58,DAY(AE$14)))="T-Cutting","T-C",INDEX('[1]ATTENDANCE DAILY'!$I$4:$AM$663,$CC58,DAY(AE$14)))))),IFERROR(IF(_xlpm._r=0,"",_xlpm._r),""))</f>
        <v/>
      </c>
      <c r="AF58" s="102"/>
      <c r="AG58" s="99"/>
      <c r="AH58" s="100" t="str">
        <f>_xlfn.LET(_xlpm._r,_xlfn.SINGLE(IF(OR($CC58="",AH$14="",AH$14&lt;_xlfn.SINGLE(INDEX('[1]ATTENDANCE DAILY'!$AV$4:$AV$663,$CC58)),AH$14&gt;_xlfn.SINGLE(INDEX('[1]ATTENDANCE DAILY'!$AW$4:$AW$663,$CC58))),"",IF(_xlfn.SINGLE(INDEX('[1]ATTENDANCE DAILY'!$I$4:$AM$663,$CC58,DAY(AH$14)))="T-Late","T-L",IF(_xlfn.SINGLE(INDEX('[1]ATTENDANCE DAILY'!$I$4:$AM$663,$CC58,DAY(AH$14)))="T-Cutting","T-C",INDEX('[1]ATTENDANCE DAILY'!$I$4:$AM$663,$CC58,DAY(AH$14)))))),IFERROR(IF(_xlpm._r=0,"",_xlpm._r),""))</f>
        <v/>
      </c>
      <c r="AI58" s="101" t="str">
        <f>_xlfn.LET(_xlpm._r,_xlfn.SINGLE(IF(OR($CC58="",AI$14="",AI$14&lt;_xlfn.SINGLE(INDEX('[1]ATTENDANCE DAILY'!$AV$4:$AV$663,$CC58)),AI$14&gt;_xlfn.SINGLE(INDEX('[1]ATTENDANCE DAILY'!$AW$4:$AW$663,$CC58))),"",IF(_xlfn.SINGLE(INDEX('[1]ATTENDANCE DAILY'!$I$4:$AM$663,$CC58,DAY(AI$14)))="T-Late","T-L",IF(_xlfn.SINGLE(INDEX('[1]ATTENDANCE DAILY'!$I$4:$AM$663,$CC58,DAY(AI$14)))="T-Cutting","T-C",INDEX('[1]ATTENDANCE DAILY'!$I$4:$AM$663,$CC58,DAY(AI$14)))))),IFERROR(IF(_xlpm._r=0,"",_xlpm._r),""))</f>
        <v/>
      </c>
      <c r="AJ58" s="102"/>
      <c r="AK58" s="99"/>
      <c r="AL58" s="101" t="str">
        <f>_xlfn.LET(_xlpm._r,_xlfn.SINGLE(IF(OR($CC58="",AL$14="",AL$14&lt;_xlfn.SINGLE(INDEX('[1]ATTENDANCE DAILY'!$AV$4:$AV$663,$CC58)),AL$14&gt;_xlfn.SINGLE(INDEX('[1]ATTENDANCE DAILY'!$AW$4:$AW$663,$CC58))),"",IF(_xlfn.SINGLE(INDEX('[1]ATTENDANCE DAILY'!$I$4:$AM$663,$CC58,DAY(AL$14)))="T-Late","T-L",IF(_xlfn.SINGLE(INDEX('[1]ATTENDANCE DAILY'!$I$4:$AM$663,$CC58,DAY(AL$14)))="T-Cutting","T-C",INDEX('[1]ATTENDANCE DAILY'!$I$4:$AM$663,$CC58,DAY(AL$14)))))),IFERROR(IF(_xlpm._r=0,"",_xlpm._r),""))</f>
        <v/>
      </c>
      <c r="AM58" s="99"/>
      <c r="AN58" s="101" t="str">
        <f>_xlfn.LET(_xlpm._r,_xlfn.SINGLE(IF(OR($CC58="",AN$14="",AN$14&lt;_xlfn.SINGLE(INDEX('[1]ATTENDANCE DAILY'!$AV$4:$AV$663,$CC58)),AN$14&gt;_xlfn.SINGLE(INDEX('[1]ATTENDANCE DAILY'!$AW$4:$AW$663,$CC58))),"",IF(_xlfn.SINGLE(INDEX('[1]ATTENDANCE DAILY'!$I$4:$AM$663,$CC58,DAY(AN$14)))="T-Late","T-L",IF(_xlfn.SINGLE(INDEX('[1]ATTENDANCE DAILY'!$I$4:$AM$663,$CC58,DAY(AN$14)))="T-Cutting","T-C",INDEX('[1]ATTENDANCE DAILY'!$I$4:$AM$663,$CC58,DAY(AN$14)))))),IFERROR(IF(_xlpm._r=0,"",_xlpm._r),""))</f>
        <v/>
      </c>
      <c r="AO58" s="103"/>
      <c r="AP58" s="101" t="str">
        <f>_xlfn.LET(_xlpm._r,_xlfn.SINGLE(IF(OR($CC58="",AP$14="",AP$14&lt;_xlfn.SINGLE(INDEX('[1]ATTENDANCE DAILY'!$AV$4:$AV$663,$CC58)),AP$14&gt;_xlfn.SINGLE(INDEX('[1]ATTENDANCE DAILY'!$AW$4:$AW$663,$CC58))),"",IF(_xlfn.SINGLE(INDEX('[1]ATTENDANCE DAILY'!$I$4:$AM$663,$CC58,DAY(AP$14)))="T-Late","T-L",IF(_xlfn.SINGLE(INDEX('[1]ATTENDANCE DAILY'!$I$4:$AM$663,$CC58,DAY(AP$14)))="T-Cutting","T-C",INDEX('[1]ATTENDANCE DAILY'!$I$4:$AM$663,$CC58,DAY(AP$14)))))),IFERROR(IF(_xlpm._r=0,"",_xlpm._r),""))</f>
        <v/>
      </c>
      <c r="AQ58" s="99"/>
      <c r="AR58" s="100" t="str">
        <f>_xlfn.LET(_xlpm._r,_xlfn.SINGLE(IF(OR($CC58="",AR$14="",AR$14&lt;_xlfn.SINGLE(INDEX('[1]ATTENDANCE DAILY'!$AV$4:$AV$663,$CC58)),AR$14&gt;_xlfn.SINGLE(INDEX('[1]ATTENDANCE DAILY'!$AW$4:$AW$663,$CC58))),"",IF(_xlfn.SINGLE(INDEX('[1]ATTENDANCE DAILY'!$I$4:$AM$663,$CC58,DAY(AR$14)))="T-Late","T-L",IF(_xlfn.SINGLE(INDEX('[1]ATTENDANCE DAILY'!$I$4:$AM$663,$CC58,DAY(AR$14)))="T-Cutting","T-C",INDEX('[1]ATTENDANCE DAILY'!$I$4:$AM$663,$CC58,DAY(AR$14)))))),IFERROR(IF(_xlpm._r=0,"",_xlpm._r),""))</f>
        <v/>
      </c>
      <c r="AS58" s="101" t="str">
        <f>_xlfn.LET(_xlpm._r,_xlfn.SINGLE(IF(OR($CC58="",AS$14="",AS$14&lt;_xlfn.SINGLE(INDEX('[1]ATTENDANCE DAILY'!$AV$4:$AV$663,$CC58)),AS$14&gt;_xlfn.SINGLE(INDEX('[1]ATTENDANCE DAILY'!$AW$4:$AW$663,$CC58))),"",IF(_xlfn.SINGLE(INDEX('[1]ATTENDANCE DAILY'!$I$4:$AM$663,$CC58,DAY(AS$14)))="T-Late","T-L",IF(_xlfn.SINGLE(INDEX('[1]ATTENDANCE DAILY'!$I$4:$AM$663,$CC58,DAY(AS$14)))="T-Cutting","T-C",INDEX('[1]ATTENDANCE DAILY'!$I$4:$AM$663,$CC58,DAY(AS$14)))))),IFERROR(IF(_xlpm._r=0,"",_xlpm._r),""))</f>
        <v/>
      </c>
      <c r="AT58" s="99"/>
      <c r="AU58" s="100" t="str">
        <f>_xlfn.LET(_xlpm._r,_xlfn.SINGLE(IF(OR($CC58="",AU$14="",AU$14&lt;_xlfn.SINGLE(INDEX('[1]ATTENDANCE DAILY'!$AV$4:$AV$663,$CC58)),AU$14&gt;_xlfn.SINGLE(INDEX('[1]ATTENDANCE DAILY'!$AW$4:$AW$663,$CC58))),"",IF(_xlfn.SINGLE(INDEX('[1]ATTENDANCE DAILY'!$I$4:$AM$663,$CC58,DAY(AU$14)))="T-Late","T-L",IF(_xlfn.SINGLE(INDEX('[1]ATTENDANCE DAILY'!$I$4:$AM$663,$CC58,DAY(AU$14)))="T-Cutting","T-C",INDEX('[1]ATTENDANCE DAILY'!$I$4:$AM$663,$CC58,DAY(AU$14)))))),IFERROR(IF(_xlpm._r=0,"",_xlpm._r),""))</f>
        <v/>
      </c>
      <c r="AV58" s="104" t="str">
        <f>_xlfn.LET(_xlpm._r,_xlfn.SINGLE(IF(OR($CC58="",AV$14="",AV$14&lt;_xlfn.SINGLE(INDEX('[1]ATTENDANCE DAILY'!$AV$4:$AV$663,$CC58)),AV$14&gt;_xlfn.SINGLE(INDEX('[1]ATTENDANCE DAILY'!$AW$4:$AW$663,$CC58))),"",IF(_xlfn.SINGLE(INDEX('[1]ATTENDANCE DAILY'!$I$4:$AM$663,$CC58,DAY(AV$14)))="T-Late","T-L",IF(_xlfn.SINGLE(INDEX('[1]ATTENDANCE DAILY'!$I$4:$AM$663,$CC58,DAY(AV$14)))="T-Cutting","T-C",INDEX('[1]ATTENDANCE DAILY'!$I$4:$AM$663,$CC58,DAY(AV$14)))))),IFERROR(IF(_xlpm._r=0,"",_xlpm._r),""))</f>
        <v/>
      </c>
      <c r="AW58" s="101" t="str">
        <f>_xlfn.LET(_xlpm._r,_xlfn.SINGLE(IF(OR($CC58="",AW$14="",AW$14&lt;_xlfn.SINGLE(INDEX('[1]ATTENDANCE DAILY'!$AV$4:$AV$663,$CC58)),AW$14&gt;_xlfn.SINGLE(INDEX('[1]ATTENDANCE DAILY'!$AW$4:$AW$663,$CC58))),"",IF(_xlfn.SINGLE(INDEX('[1]ATTENDANCE DAILY'!$I$4:$AM$663,$CC58,DAY(AW$14)))="T-Late","T-L",IF(_xlfn.SINGLE(INDEX('[1]ATTENDANCE DAILY'!$I$4:$AM$663,$CC58,DAY(AW$14)))="T-Cutting","T-C",INDEX('[1]ATTENDANCE DAILY'!$I$4:$AM$663,$CC58,DAY(AW$14)))))),IFERROR(IF(_xlpm._r=0,"",_xlpm._r),""))</f>
        <v/>
      </c>
      <c r="AX58" s="99"/>
      <c r="AY58" s="101" t="str">
        <f>_xlfn.LET(_xlpm._r,_xlfn.SINGLE(IF(OR($CC58="",AY$14="",AY$14&lt;_xlfn.SINGLE(INDEX('[1]ATTENDANCE DAILY'!$AV$4:$AV$663,$CC58)),AY$14&gt;_xlfn.SINGLE(INDEX('[1]ATTENDANCE DAILY'!$AW$4:$AW$663,$CC58))),"",IF(_xlfn.SINGLE(INDEX('[1]ATTENDANCE DAILY'!$I$4:$AM$663,$CC58,DAY(AY$14)))="T-Late","T-L",IF(_xlfn.SINGLE(INDEX('[1]ATTENDANCE DAILY'!$I$4:$AM$663,$CC58,DAY(AY$14)))="T-Cutting","T-C",INDEX('[1]ATTENDANCE DAILY'!$I$4:$AM$663,$CC58,DAY(AY$14)))))),IFERROR(IF(_xlpm._r=0,"",_xlpm._r),""))</f>
        <v/>
      </c>
      <c r="AZ58" s="102"/>
      <c r="BA58" s="99"/>
      <c r="BB58" s="101" t="str">
        <f>_xlfn.LET(_xlpm._r,_xlfn.SINGLE(IF(OR($CC58="",BB$14="",BB$14&lt;_xlfn.SINGLE(INDEX('[1]ATTENDANCE DAILY'!$AV$4:$AV$663,$CC58)),BB$14&gt;_xlfn.SINGLE(INDEX('[1]ATTENDANCE DAILY'!$AW$4:$AW$663,$CC58))),"",IF(_xlfn.SINGLE(INDEX('[1]ATTENDANCE DAILY'!$I$4:$AM$663,$CC58,DAY(BB$14)))="T-Late","T-L",IF(_xlfn.SINGLE(INDEX('[1]ATTENDANCE DAILY'!$I$4:$AM$663,$CC58,DAY(BB$14)))="T-Cutting","T-C",INDEX('[1]ATTENDANCE DAILY'!$I$4:$AM$663,$CC58,DAY(BB$14)))))),IFERROR(IF(_xlpm._r=0,"",_xlpm._r),""))</f>
        <v/>
      </c>
      <c r="BC58" s="99"/>
      <c r="BD58" s="100" t="str">
        <f>_xlfn.LET(_xlpm._r,_xlfn.SINGLE(IF(OR($CC58="",BD$14="",BD$14&lt;_xlfn.SINGLE(INDEX('[1]ATTENDANCE DAILY'!$AV$4:$AV$663,$CC58)),BD$14&gt;_xlfn.SINGLE(INDEX('[1]ATTENDANCE DAILY'!$AW$4:$AW$663,$CC58))),"",IF(_xlfn.SINGLE(INDEX('[1]ATTENDANCE DAILY'!$I$4:$AM$663,$CC58,DAY(BD$14)))="T-Late","T-L",IF(_xlfn.SINGLE(INDEX('[1]ATTENDANCE DAILY'!$I$4:$AM$663,$CC58,DAY(BD$14)))="T-Cutting","T-C",INDEX('[1]ATTENDANCE DAILY'!$I$4:$AM$663,$CC58,DAY(BD$14)))))),IFERROR(IF(_xlpm._r=0,"",_xlpm._r),""))</f>
        <v/>
      </c>
      <c r="BE58" s="101" t="str">
        <f>_xlfn.LET(_xlpm._r,_xlfn.SINGLE(IF(OR($CC58="",BE$14="",BE$14&lt;_xlfn.SINGLE(INDEX('[1]ATTENDANCE DAILY'!$AV$4:$AV$663,$CC58)),BE$14&gt;_xlfn.SINGLE(INDEX('[1]ATTENDANCE DAILY'!$AW$4:$AW$663,$CC58))),"",IF(_xlfn.SINGLE(INDEX('[1]ATTENDANCE DAILY'!$I$4:$AM$663,$CC58,DAY(BE$14)))="T-Late","T-L",IF(_xlfn.SINGLE(INDEX('[1]ATTENDANCE DAILY'!$I$4:$AM$663,$CC58,DAY(BE$14)))="T-Cutting","T-C",INDEX('[1]ATTENDANCE DAILY'!$I$4:$AM$663,$CC58,DAY(BE$14)))))),IFERROR(IF(_xlpm._r=0,"",_xlpm._r),""))</f>
        <v/>
      </c>
      <c r="BF58" s="102"/>
      <c r="BG58" s="102"/>
      <c r="BH58" s="103"/>
      <c r="BI58" s="105" t="str">
        <f>IF($CC58="","",INDEX('[1]ATTENDANCE DAILY'!$AR$4:$AR$663,$CC58))</f>
        <v/>
      </c>
      <c r="BJ58" s="106"/>
      <c r="BK58" s="107"/>
      <c r="BL58" s="105" t="str">
        <f>IF($CC58="","",INDEX('[1]ATTENDANCE DAILY'!$AS$4:$AS$663,$CC58))</f>
        <v/>
      </c>
      <c r="BM58" s="106"/>
      <c r="BN58" s="106"/>
      <c r="BO58" s="107"/>
      <c r="BP58" s="105" t="str">
        <f>IF($CC58="","",IF(INDEX('[1]ATTENDANCE DAILY'!$AN$4:$AN$663,$CC58)="","",INDEX('[1]ATTENDANCE DAILY'!$AN$4:$AN$663,$CC58)&amp;IF(INDEX('[1]ATTENDANCE DAILY'!$AO$4:$AO$663,$CC58)="",""," ("&amp;TEXT(INDEX('[1]ATTENDANCE DAILY'!$AO$4:$AO$663,$CC58),"mm-dd-yyyy")&amp;")")&amp;IF(INDEX('[1]ATTENDANCE DAILY'!$AP$4:$AP$663,$CC58)="",""," - "&amp;INDEX('[1]ATTENDANCE DAILY'!$AP$4:$AP$663,$CC58))))</f>
        <v/>
      </c>
      <c r="BQ58" s="106"/>
      <c r="BR58" s="106"/>
      <c r="BS58" s="106"/>
      <c r="BT58" s="106"/>
      <c r="BU58" s="106"/>
      <c r="BV58" s="106"/>
      <c r="BW58" s="106"/>
      <c r="BX58" s="106"/>
      <c r="BY58" s="106"/>
      <c r="BZ58" s="106"/>
      <c r="CA58" s="107"/>
      <c r="CC58" t="str">
        <f>IF(COUNTIFS('[1]ATTENDANCE DAILY'!$C$4:$C$663,$BN$11,'[1]ATTENDANCE DAILY'!$F$4:$F$663,"Female",'[1]ATTENDANCE DAILY'!$G$4:$G$663,1,'[1]ATTENDANCE DAILY'!$BA$4:$BA$663,15)=0,"",SUMIFS('[1]ATTENDANCE DAILY'!$A$4:$A$663,'[1]ATTENDANCE DAILY'!$C$4:$C$663,$BN$11,'[1]ATTENDANCE DAILY'!$F$4:$F$663,"Female",'[1]ATTENDANCE DAILY'!$G$4:$G$663,1,'[1]ATTENDANCE DAILY'!$BA$4:$BA$663,15))</f>
        <v/>
      </c>
    </row>
    <row r="59" spans="1:81" ht="19.95" customHeight="1" thickTop="1" thickBot="1">
      <c r="A59" s="92">
        <v>16</v>
      </c>
      <c r="B59" s="93"/>
      <c r="C59" s="93"/>
      <c r="D59" s="93"/>
      <c r="E59" s="93"/>
      <c r="F59" s="94"/>
      <c r="G59" s="95" t="str">
        <f>IF($CC59="","",INDEX('[1]ATTENDANCE DAILY'!$E$4:$E$663,$CC59))</f>
        <v/>
      </c>
      <c r="H59" s="96"/>
      <c r="I59" s="96"/>
      <c r="J59" s="97"/>
      <c r="K59" s="98" t="str">
        <f>_xlfn.LET(_xlpm._r,_xlfn.SINGLE(IF(OR($CC59="",K$14="",K$14&lt;_xlfn.SINGLE(INDEX('[1]ATTENDANCE DAILY'!$AV$4:$AV$663,$CC59)),K$14&gt;_xlfn.SINGLE(INDEX('[1]ATTENDANCE DAILY'!$AW$4:$AW$663,$CC59))),"",IF(_xlfn.SINGLE(INDEX('[1]ATTENDANCE DAILY'!$I$4:$AM$663,$CC59,DAY(K$14)))="T-Late","T-L",IF(_xlfn.SINGLE(INDEX('[1]ATTENDANCE DAILY'!$I$4:$AM$663,$CC59,DAY(K$14)))="T-Cutting","T-C",INDEX('[1]ATTENDANCE DAILY'!$I$4:$AM$663,$CC59,DAY(K$14)))))),IFERROR(IF(_xlpm._r=0,"",_xlpm._r),""))</f>
        <v/>
      </c>
      <c r="L59" s="99"/>
      <c r="M59" s="100" t="str">
        <f>_xlfn.LET(_xlpm._r,_xlfn.SINGLE(IF(OR($CC59="",M$14="",M$14&lt;_xlfn.SINGLE(INDEX('[1]ATTENDANCE DAILY'!$AV$4:$AV$663,$CC59)),M$14&gt;_xlfn.SINGLE(INDEX('[1]ATTENDANCE DAILY'!$AW$4:$AW$663,$CC59))),"",IF(_xlfn.SINGLE(INDEX('[1]ATTENDANCE DAILY'!$I$4:$AM$663,$CC59,DAY(M$14)))="T-Late","T-L",IF(_xlfn.SINGLE(INDEX('[1]ATTENDANCE DAILY'!$I$4:$AM$663,$CC59,DAY(M$14)))="T-Cutting","T-C",INDEX('[1]ATTENDANCE DAILY'!$I$4:$AM$663,$CC59,DAY(M$14)))))),IFERROR(IF(_xlpm._r=0,"",_xlpm._r),""))</f>
        <v/>
      </c>
      <c r="N59" s="100" t="str">
        <f>_xlfn.LET(_xlpm._r,_xlfn.SINGLE(IF(OR($CC59="",N$14="",N$14&lt;_xlfn.SINGLE(INDEX('[1]ATTENDANCE DAILY'!$AV$4:$AV$663,$CC59)),N$14&gt;_xlfn.SINGLE(INDEX('[1]ATTENDANCE DAILY'!$AW$4:$AW$663,$CC59))),"",IF(_xlfn.SINGLE(INDEX('[1]ATTENDANCE DAILY'!$I$4:$AM$663,$CC59,DAY(N$14)))="T-Late","T-L",IF(_xlfn.SINGLE(INDEX('[1]ATTENDANCE DAILY'!$I$4:$AM$663,$CC59,DAY(N$14)))="T-Cutting","T-C",INDEX('[1]ATTENDANCE DAILY'!$I$4:$AM$663,$CC59,DAY(N$14)))))),IFERROR(IF(_xlpm._r=0,"",_xlpm._r),""))</f>
        <v/>
      </c>
      <c r="O59" s="101" t="str">
        <f>_xlfn.LET(_xlpm._r,_xlfn.SINGLE(IF(OR($CC59="",O$14="",O$14&lt;_xlfn.SINGLE(INDEX('[1]ATTENDANCE DAILY'!$AV$4:$AV$663,$CC59)),O$14&gt;_xlfn.SINGLE(INDEX('[1]ATTENDANCE DAILY'!$AW$4:$AW$663,$CC59))),"",IF(_xlfn.SINGLE(INDEX('[1]ATTENDANCE DAILY'!$I$4:$AM$663,$CC59,DAY(O$14)))="T-Late","T-L",IF(_xlfn.SINGLE(INDEX('[1]ATTENDANCE DAILY'!$I$4:$AM$663,$CC59,DAY(O$14)))="T-Cutting","T-C",INDEX('[1]ATTENDANCE DAILY'!$I$4:$AM$663,$CC59,DAY(O$14)))))),IFERROR(IF(_xlpm._r=0,"",_xlpm._r),""))</f>
        <v/>
      </c>
      <c r="P59" s="102"/>
      <c r="Q59" s="102"/>
      <c r="R59" s="99"/>
      <c r="S59" s="101" t="str">
        <f>_xlfn.LET(_xlpm._r,_xlfn.SINGLE(IF(OR($CC59="",S$14="",S$14&lt;_xlfn.SINGLE(INDEX('[1]ATTENDANCE DAILY'!$AV$4:$AV$663,$CC59)),S$14&gt;_xlfn.SINGLE(INDEX('[1]ATTENDANCE DAILY'!$AW$4:$AW$663,$CC59))),"",IF(_xlfn.SINGLE(INDEX('[1]ATTENDANCE DAILY'!$I$4:$AM$663,$CC59,DAY(S$14)))="T-Late","T-L",IF(_xlfn.SINGLE(INDEX('[1]ATTENDANCE DAILY'!$I$4:$AM$663,$CC59,DAY(S$14)))="T-Cutting","T-C",INDEX('[1]ATTENDANCE DAILY'!$I$4:$AM$663,$CC59,DAY(S$14)))))),IFERROR(IF(_xlpm._r=0,"",_xlpm._r),""))</f>
        <v/>
      </c>
      <c r="T59" s="102"/>
      <c r="U59" s="103"/>
      <c r="V59" s="100" t="str">
        <f>_xlfn.LET(_xlpm._r,_xlfn.SINGLE(IF(OR($CC59="",V$14="",V$14&lt;_xlfn.SINGLE(INDEX('[1]ATTENDANCE DAILY'!$AV$4:$AV$663,$CC59)),V$14&gt;_xlfn.SINGLE(INDEX('[1]ATTENDANCE DAILY'!$AW$4:$AW$663,$CC59))),"",IF(_xlfn.SINGLE(INDEX('[1]ATTENDANCE DAILY'!$I$4:$AM$663,$CC59,DAY(V$14)))="T-Late","T-L",IF(_xlfn.SINGLE(INDEX('[1]ATTENDANCE DAILY'!$I$4:$AM$663,$CC59,DAY(V$14)))="T-Cutting","T-C",INDEX('[1]ATTENDANCE DAILY'!$I$4:$AM$663,$CC59,DAY(V$14)))))),IFERROR(IF(_xlpm._r=0,"",_xlpm._r),""))</f>
        <v/>
      </c>
      <c r="W59" s="101" t="str">
        <f>_xlfn.LET(_xlpm._r,_xlfn.SINGLE(IF(OR($CC59="",W$14="",W$14&lt;_xlfn.SINGLE(INDEX('[1]ATTENDANCE DAILY'!$AV$4:$AV$663,$CC59)),W$14&gt;_xlfn.SINGLE(INDEX('[1]ATTENDANCE DAILY'!$AW$4:$AW$663,$CC59))),"",IF(_xlfn.SINGLE(INDEX('[1]ATTENDANCE DAILY'!$I$4:$AM$663,$CC59,DAY(W$14)))="T-Late","T-L",IF(_xlfn.SINGLE(INDEX('[1]ATTENDANCE DAILY'!$I$4:$AM$663,$CC59,DAY(W$14)))="T-Cutting","T-C",INDEX('[1]ATTENDANCE DAILY'!$I$4:$AM$663,$CC59,DAY(W$14)))))),IFERROR(IF(_xlpm._r=0,"",_xlpm._r),""))</f>
        <v/>
      </c>
      <c r="X59" s="102"/>
      <c r="Y59" s="99"/>
      <c r="Z59" s="100" t="str">
        <f>_xlfn.LET(_xlpm._r,_xlfn.SINGLE(IF(OR($CC59="",Z$14="",Z$14&lt;_xlfn.SINGLE(INDEX('[1]ATTENDANCE DAILY'!$AV$4:$AV$663,$CC59)),Z$14&gt;_xlfn.SINGLE(INDEX('[1]ATTENDANCE DAILY'!$AW$4:$AW$663,$CC59))),"",IF(_xlfn.SINGLE(INDEX('[1]ATTENDANCE DAILY'!$I$4:$AM$663,$CC59,DAY(Z$14)))="T-Late","T-L",IF(_xlfn.SINGLE(INDEX('[1]ATTENDANCE DAILY'!$I$4:$AM$663,$CC59,DAY(Z$14)))="T-Cutting","T-C",INDEX('[1]ATTENDANCE DAILY'!$I$4:$AM$663,$CC59,DAY(Z$14)))))),IFERROR(IF(_xlpm._r=0,"",_xlpm._r),""))</f>
        <v/>
      </c>
      <c r="AA59" s="100" t="str">
        <f>_xlfn.LET(_xlpm._r,_xlfn.SINGLE(IF(OR($CC59="",AA$14="",AA$14&lt;_xlfn.SINGLE(INDEX('[1]ATTENDANCE DAILY'!$AV$4:$AV$663,$CC59)),AA$14&gt;_xlfn.SINGLE(INDEX('[1]ATTENDANCE DAILY'!$AW$4:$AW$663,$CC59))),"",IF(_xlfn.SINGLE(INDEX('[1]ATTENDANCE DAILY'!$I$4:$AM$663,$CC59,DAY(AA$14)))="T-Late","T-L",IF(_xlfn.SINGLE(INDEX('[1]ATTENDANCE DAILY'!$I$4:$AM$663,$CC59,DAY(AA$14)))="T-Cutting","T-C",INDEX('[1]ATTENDANCE DAILY'!$I$4:$AM$663,$CC59,DAY(AA$14)))))),IFERROR(IF(_xlpm._r=0,"",_xlpm._r),""))</f>
        <v/>
      </c>
      <c r="AB59" s="101" t="str">
        <f>_xlfn.LET(_xlpm._r,_xlfn.SINGLE(IF(OR($CC59="",AB$14="",AB$14&lt;_xlfn.SINGLE(INDEX('[1]ATTENDANCE DAILY'!$AV$4:$AV$663,$CC59)),AB$14&gt;_xlfn.SINGLE(INDEX('[1]ATTENDANCE DAILY'!$AW$4:$AW$663,$CC59))),"",IF(_xlfn.SINGLE(INDEX('[1]ATTENDANCE DAILY'!$I$4:$AM$663,$CC59,DAY(AB$14)))="T-Late","T-L",IF(_xlfn.SINGLE(INDEX('[1]ATTENDANCE DAILY'!$I$4:$AM$663,$CC59,DAY(AB$14)))="T-Cutting","T-C",INDEX('[1]ATTENDANCE DAILY'!$I$4:$AM$663,$CC59,DAY(AB$14)))))),IFERROR(IF(_xlpm._r=0,"",_xlpm._r),""))</f>
        <v/>
      </c>
      <c r="AC59" s="102"/>
      <c r="AD59" s="103"/>
      <c r="AE59" s="101" t="str">
        <f>_xlfn.LET(_xlpm._r,_xlfn.SINGLE(IF(OR($CC59="",AE$14="",AE$14&lt;_xlfn.SINGLE(INDEX('[1]ATTENDANCE DAILY'!$AV$4:$AV$663,$CC59)),AE$14&gt;_xlfn.SINGLE(INDEX('[1]ATTENDANCE DAILY'!$AW$4:$AW$663,$CC59))),"",IF(_xlfn.SINGLE(INDEX('[1]ATTENDANCE DAILY'!$I$4:$AM$663,$CC59,DAY(AE$14)))="T-Late","T-L",IF(_xlfn.SINGLE(INDEX('[1]ATTENDANCE DAILY'!$I$4:$AM$663,$CC59,DAY(AE$14)))="T-Cutting","T-C",INDEX('[1]ATTENDANCE DAILY'!$I$4:$AM$663,$CC59,DAY(AE$14)))))),IFERROR(IF(_xlpm._r=0,"",_xlpm._r),""))</f>
        <v/>
      </c>
      <c r="AF59" s="102"/>
      <c r="AG59" s="99"/>
      <c r="AH59" s="100" t="str">
        <f>_xlfn.LET(_xlpm._r,_xlfn.SINGLE(IF(OR($CC59="",AH$14="",AH$14&lt;_xlfn.SINGLE(INDEX('[1]ATTENDANCE DAILY'!$AV$4:$AV$663,$CC59)),AH$14&gt;_xlfn.SINGLE(INDEX('[1]ATTENDANCE DAILY'!$AW$4:$AW$663,$CC59))),"",IF(_xlfn.SINGLE(INDEX('[1]ATTENDANCE DAILY'!$I$4:$AM$663,$CC59,DAY(AH$14)))="T-Late","T-L",IF(_xlfn.SINGLE(INDEX('[1]ATTENDANCE DAILY'!$I$4:$AM$663,$CC59,DAY(AH$14)))="T-Cutting","T-C",INDEX('[1]ATTENDANCE DAILY'!$I$4:$AM$663,$CC59,DAY(AH$14)))))),IFERROR(IF(_xlpm._r=0,"",_xlpm._r),""))</f>
        <v/>
      </c>
      <c r="AI59" s="101" t="str">
        <f>_xlfn.LET(_xlpm._r,_xlfn.SINGLE(IF(OR($CC59="",AI$14="",AI$14&lt;_xlfn.SINGLE(INDEX('[1]ATTENDANCE DAILY'!$AV$4:$AV$663,$CC59)),AI$14&gt;_xlfn.SINGLE(INDEX('[1]ATTENDANCE DAILY'!$AW$4:$AW$663,$CC59))),"",IF(_xlfn.SINGLE(INDEX('[1]ATTENDANCE DAILY'!$I$4:$AM$663,$CC59,DAY(AI$14)))="T-Late","T-L",IF(_xlfn.SINGLE(INDEX('[1]ATTENDANCE DAILY'!$I$4:$AM$663,$CC59,DAY(AI$14)))="T-Cutting","T-C",INDEX('[1]ATTENDANCE DAILY'!$I$4:$AM$663,$CC59,DAY(AI$14)))))),IFERROR(IF(_xlpm._r=0,"",_xlpm._r),""))</f>
        <v/>
      </c>
      <c r="AJ59" s="102"/>
      <c r="AK59" s="99"/>
      <c r="AL59" s="101" t="str">
        <f>_xlfn.LET(_xlpm._r,_xlfn.SINGLE(IF(OR($CC59="",AL$14="",AL$14&lt;_xlfn.SINGLE(INDEX('[1]ATTENDANCE DAILY'!$AV$4:$AV$663,$CC59)),AL$14&gt;_xlfn.SINGLE(INDEX('[1]ATTENDANCE DAILY'!$AW$4:$AW$663,$CC59))),"",IF(_xlfn.SINGLE(INDEX('[1]ATTENDANCE DAILY'!$I$4:$AM$663,$CC59,DAY(AL$14)))="T-Late","T-L",IF(_xlfn.SINGLE(INDEX('[1]ATTENDANCE DAILY'!$I$4:$AM$663,$CC59,DAY(AL$14)))="T-Cutting","T-C",INDEX('[1]ATTENDANCE DAILY'!$I$4:$AM$663,$CC59,DAY(AL$14)))))),IFERROR(IF(_xlpm._r=0,"",_xlpm._r),""))</f>
        <v/>
      </c>
      <c r="AM59" s="99"/>
      <c r="AN59" s="101" t="str">
        <f>_xlfn.LET(_xlpm._r,_xlfn.SINGLE(IF(OR($CC59="",AN$14="",AN$14&lt;_xlfn.SINGLE(INDEX('[1]ATTENDANCE DAILY'!$AV$4:$AV$663,$CC59)),AN$14&gt;_xlfn.SINGLE(INDEX('[1]ATTENDANCE DAILY'!$AW$4:$AW$663,$CC59))),"",IF(_xlfn.SINGLE(INDEX('[1]ATTENDANCE DAILY'!$I$4:$AM$663,$CC59,DAY(AN$14)))="T-Late","T-L",IF(_xlfn.SINGLE(INDEX('[1]ATTENDANCE DAILY'!$I$4:$AM$663,$CC59,DAY(AN$14)))="T-Cutting","T-C",INDEX('[1]ATTENDANCE DAILY'!$I$4:$AM$663,$CC59,DAY(AN$14)))))),IFERROR(IF(_xlpm._r=0,"",_xlpm._r),""))</f>
        <v/>
      </c>
      <c r="AO59" s="103"/>
      <c r="AP59" s="101" t="str">
        <f>_xlfn.LET(_xlpm._r,_xlfn.SINGLE(IF(OR($CC59="",AP$14="",AP$14&lt;_xlfn.SINGLE(INDEX('[1]ATTENDANCE DAILY'!$AV$4:$AV$663,$CC59)),AP$14&gt;_xlfn.SINGLE(INDEX('[1]ATTENDANCE DAILY'!$AW$4:$AW$663,$CC59))),"",IF(_xlfn.SINGLE(INDEX('[1]ATTENDANCE DAILY'!$I$4:$AM$663,$CC59,DAY(AP$14)))="T-Late","T-L",IF(_xlfn.SINGLE(INDEX('[1]ATTENDANCE DAILY'!$I$4:$AM$663,$CC59,DAY(AP$14)))="T-Cutting","T-C",INDEX('[1]ATTENDANCE DAILY'!$I$4:$AM$663,$CC59,DAY(AP$14)))))),IFERROR(IF(_xlpm._r=0,"",_xlpm._r),""))</f>
        <v/>
      </c>
      <c r="AQ59" s="99"/>
      <c r="AR59" s="100" t="str">
        <f>_xlfn.LET(_xlpm._r,_xlfn.SINGLE(IF(OR($CC59="",AR$14="",AR$14&lt;_xlfn.SINGLE(INDEX('[1]ATTENDANCE DAILY'!$AV$4:$AV$663,$CC59)),AR$14&gt;_xlfn.SINGLE(INDEX('[1]ATTENDANCE DAILY'!$AW$4:$AW$663,$CC59))),"",IF(_xlfn.SINGLE(INDEX('[1]ATTENDANCE DAILY'!$I$4:$AM$663,$CC59,DAY(AR$14)))="T-Late","T-L",IF(_xlfn.SINGLE(INDEX('[1]ATTENDANCE DAILY'!$I$4:$AM$663,$CC59,DAY(AR$14)))="T-Cutting","T-C",INDEX('[1]ATTENDANCE DAILY'!$I$4:$AM$663,$CC59,DAY(AR$14)))))),IFERROR(IF(_xlpm._r=0,"",_xlpm._r),""))</f>
        <v/>
      </c>
      <c r="AS59" s="101" t="str">
        <f>_xlfn.LET(_xlpm._r,_xlfn.SINGLE(IF(OR($CC59="",AS$14="",AS$14&lt;_xlfn.SINGLE(INDEX('[1]ATTENDANCE DAILY'!$AV$4:$AV$663,$CC59)),AS$14&gt;_xlfn.SINGLE(INDEX('[1]ATTENDANCE DAILY'!$AW$4:$AW$663,$CC59))),"",IF(_xlfn.SINGLE(INDEX('[1]ATTENDANCE DAILY'!$I$4:$AM$663,$CC59,DAY(AS$14)))="T-Late","T-L",IF(_xlfn.SINGLE(INDEX('[1]ATTENDANCE DAILY'!$I$4:$AM$663,$CC59,DAY(AS$14)))="T-Cutting","T-C",INDEX('[1]ATTENDANCE DAILY'!$I$4:$AM$663,$CC59,DAY(AS$14)))))),IFERROR(IF(_xlpm._r=0,"",_xlpm._r),""))</f>
        <v/>
      </c>
      <c r="AT59" s="99"/>
      <c r="AU59" s="100" t="str">
        <f>_xlfn.LET(_xlpm._r,_xlfn.SINGLE(IF(OR($CC59="",AU$14="",AU$14&lt;_xlfn.SINGLE(INDEX('[1]ATTENDANCE DAILY'!$AV$4:$AV$663,$CC59)),AU$14&gt;_xlfn.SINGLE(INDEX('[1]ATTENDANCE DAILY'!$AW$4:$AW$663,$CC59))),"",IF(_xlfn.SINGLE(INDEX('[1]ATTENDANCE DAILY'!$I$4:$AM$663,$CC59,DAY(AU$14)))="T-Late","T-L",IF(_xlfn.SINGLE(INDEX('[1]ATTENDANCE DAILY'!$I$4:$AM$663,$CC59,DAY(AU$14)))="T-Cutting","T-C",INDEX('[1]ATTENDANCE DAILY'!$I$4:$AM$663,$CC59,DAY(AU$14)))))),IFERROR(IF(_xlpm._r=0,"",_xlpm._r),""))</f>
        <v/>
      </c>
      <c r="AV59" s="104" t="str">
        <f>_xlfn.LET(_xlpm._r,_xlfn.SINGLE(IF(OR($CC59="",AV$14="",AV$14&lt;_xlfn.SINGLE(INDEX('[1]ATTENDANCE DAILY'!$AV$4:$AV$663,$CC59)),AV$14&gt;_xlfn.SINGLE(INDEX('[1]ATTENDANCE DAILY'!$AW$4:$AW$663,$CC59))),"",IF(_xlfn.SINGLE(INDEX('[1]ATTENDANCE DAILY'!$I$4:$AM$663,$CC59,DAY(AV$14)))="T-Late","T-L",IF(_xlfn.SINGLE(INDEX('[1]ATTENDANCE DAILY'!$I$4:$AM$663,$CC59,DAY(AV$14)))="T-Cutting","T-C",INDEX('[1]ATTENDANCE DAILY'!$I$4:$AM$663,$CC59,DAY(AV$14)))))),IFERROR(IF(_xlpm._r=0,"",_xlpm._r),""))</f>
        <v/>
      </c>
      <c r="AW59" s="101" t="str">
        <f>_xlfn.LET(_xlpm._r,_xlfn.SINGLE(IF(OR($CC59="",AW$14="",AW$14&lt;_xlfn.SINGLE(INDEX('[1]ATTENDANCE DAILY'!$AV$4:$AV$663,$CC59)),AW$14&gt;_xlfn.SINGLE(INDEX('[1]ATTENDANCE DAILY'!$AW$4:$AW$663,$CC59))),"",IF(_xlfn.SINGLE(INDEX('[1]ATTENDANCE DAILY'!$I$4:$AM$663,$CC59,DAY(AW$14)))="T-Late","T-L",IF(_xlfn.SINGLE(INDEX('[1]ATTENDANCE DAILY'!$I$4:$AM$663,$CC59,DAY(AW$14)))="T-Cutting","T-C",INDEX('[1]ATTENDANCE DAILY'!$I$4:$AM$663,$CC59,DAY(AW$14)))))),IFERROR(IF(_xlpm._r=0,"",_xlpm._r),""))</f>
        <v/>
      </c>
      <c r="AX59" s="99"/>
      <c r="AY59" s="101" t="str">
        <f>_xlfn.LET(_xlpm._r,_xlfn.SINGLE(IF(OR($CC59="",AY$14="",AY$14&lt;_xlfn.SINGLE(INDEX('[1]ATTENDANCE DAILY'!$AV$4:$AV$663,$CC59)),AY$14&gt;_xlfn.SINGLE(INDEX('[1]ATTENDANCE DAILY'!$AW$4:$AW$663,$CC59))),"",IF(_xlfn.SINGLE(INDEX('[1]ATTENDANCE DAILY'!$I$4:$AM$663,$CC59,DAY(AY$14)))="T-Late","T-L",IF(_xlfn.SINGLE(INDEX('[1]ATTENDANCE DAILY'!$I$4:$AM$663,$CC59,DAY(AY$14)))="T-Cutting","T-C",INDEX('[1]ATTENDANCE DAILY'!$I$4:$AM$663,$CC59,DAY(AY$14)))))),IFERROR(IF(_xlpm._r=0,"",_xlpm._r),""))</f>
        <v/>
      </c>
      <c r="AZ59" s="102"/>
      <c r="BA59" s="99"/>
      <c r="BB59" s="101" t="str">
        <f>_xlfn.LET(_xlpm._r,_xlfn.SINGLE(IF(OR($CC59="",BB$14="",BB$14&lt;_xlfn.SINGLE(INDEX('[1]ATTENDANCE DAILY'!$AV$4:$AV$663,$CC59)),BB$14&gt;_xlfn.SINGLE(INDEX('[1]ATTENDANCE DAILY'!$AW$4:$AW$663,$CC59))),"",IF(_xlfn.SINGLE(INDEX('[1]ATTENDANCE DAILY'!$I$4:$AM$663,$CC59,DAY(BB$14)))="T-Late","T-L",IF(_xlfn.SINGLE(INDEX('[1]ATTENDANCE DAILY'!$I$4:$AM$663,$CC59,DAY(BB$14)))="T-Cutting","T-C",INDEX('[1]ATTENDANCE DAILY'!$I$4:$AM$663,$CC59,DAY(BB$14)))))),IFERROR(IF(_xlpm._r=0,"",_xlpm._r),""))</f>
        <v/>
      </c>
      <c r="BC59" s="99"/>
      <c r="BD59" s="100" t="str">
        <f>_xlfn.LET(_xlpm._r,_xlfn.SINGLE(IF(OR($CC59="",BD$14="",BD$14&lt;_xlfn.SINGLE(INDEX('[1]ATTENDANCE DAILY'!$AV$4:$AV$663,$CC59)),BD$14&gt;_xlfn.SINGLE(INDEX('[1]ATTENDANCE DAILY'!$AW$4:$AW$663,$CC59))),"",IF(_xlfn.SINGLE(INDEX('[1]ATTENDANCE DAILY'!$I$4:$AM$663,$CC59,DAY(BD$14)))="T-Late","T-L",IF(_xlfn.SINGLE(INDEX('[1]ATTENDANCE DAILY'!$I$4:$AM$663,$CC59,DAY(BD$14)))="T-Cutting","T-C",INDEX('[1]ATTENDANCE DAILY'!$I$4:$AM$663,$CC59,DAY(BD$14)))))),IFERROR(IF(_xlpm._r=0,"",_xlpm._r),""))</f>
        <v/>
      </c>
      <c r="BE59" s="101" t="str">
        <f>_xlfn.LET(_xlpm._r,_xlfn.SINGLE(IF(OR($CC59="",BE$14="",BE$14&lt;_xlfn.SINGLE(INDEX('[1]ATTENDANCE DAILY'!$AV$4:$AV$663,$CC59)),BE$14&gt;_xlfn.SINGLE(INDEX('[1]ATTENDANCE DAILY'!$AW$4:$AW$663,$CC59))),"",IF(_xlfn.SINGLE(INDEX('[1]ATTENDANCE DAILY'!$I$4:$AM$663,$CC59,DAY(BE$14)))="T-Late","T-L",IF(_xlfn.SINGLE(INDEX('[1]ATTENDANCE DAILY'!$I$4:$AM$663,$CC59,DAY(BE$14)))="T-Cutting","T-C",INDEX('[1]ATTENDANCE DAILY'!$I$4:$AM$663,$CC59,DAY(BE$14)))))),IFERROR(IF(_xlpm._r=0,"",_xlpm._r),""))</f>
        <v/>
      </c>
      <c r="BF59" s="102"/>
      <c r="BG59" s="102"/>
      <c r="BH59" s="103"/>
      <c r="BI59" s="105" t="str">
        <f>IF($CC59="","",INDEX('[1]ATTENDANCE DAILY'!$AR$4:$AR$663,$CC59))</f>
        <v/>
      </c>
      <c r="BJ59" s="106"/>
      <c r="BK59" s="107"/>
      <c r="BL59" s="105" t="str">
        <f>IF($CC59="","",INDEX('[1]ATTENDANCE DAILY'!$AS$4:$AS$663,$CC59))</f>
        <v/>
      </c>
      <c r="BM59" s="106"/>
      <c r="BN59" s="106"/>
      <c r="BO59" s="107"/>
      <c r="BP59" s="105" t="str">
        <f>IF($CC59="","",IF(INDEX('[1]ATTENDANCE DAILY'!$AN$4:$AN$663,$CC59)="","",INDEX('[1]ATTENDANCE DAILY'!$AN$4:$AN$663,$CC59)&amp;IF(INDEX('[1]ATTENDANCE DAILY'!$AO$4:$AO$663,$CC59)="",""," ("&amp;TEXT(INDEX('[1]ATTENDANCE DAILY'!$AO$4:$AO$663,$CC59),"mm-dd-yyyy")&amp;")")&amp;IF(INDEX('[1]ATTENDANCE DAILY'!$AP$4:$AP$663,$CC59)="",""," - "&amp;INDEX('[1]ATTENDANCE DAILY'!$AP$4:$AP$663,$CC59))))</f>
        <v/>
      </c>
      <c r="BQ59" s="106"/>
      <c r="BR59" s="106"/>
      <c r="BS59" s="106"/>
      <c r="BT59" s="106"/>
      <c r="BU59" s="106"/>
      <c r="BV59" s="106"/>
      <c r="BW59" s="106"/>
      <c r="BX59" s="106"/>
      <c r="BY59" s="106"/>
      <c r="BZ59" s="106"/>
      <c r="CA59" s="107"/>
      <c r="CC59" t="str">
        <f>IF(COUNTIFS('[1]ATTENDANCE DAILY'!$C$4:$C$663,$BN$11,'[1]ATTENDANCE DAILY'!$F$4:$F$663,"Female",'[1]ATTENDANCE DAILY'!$G$4:$G$663,1,'[1]ATTENDANCE DAILY'!$BA$4:$BA$663,16)=0,"",SUMIFS('[1]ATTENDANCE DAILY'!$A$4:$A$663,'[1]ATTENDANCE DAILY'!$C$4:$C$663,$BN$11,'[1]ATTENDANCE DAILY'!$F$4:$F$663,"Female",'[1]ATTENDANCE DAILY'!$G$4:$G$663,1,'[1]ATTENDANCE DAILY'!$BA$4:$BA$663,16))</f>
        <v/>
      </c>
    </row>
    <row r="60" spans="1:81" ht="19.95" customHeight="1" thickTop="1" thickBot="1">
      <c r="A60" s="92">
        <v>17</v>
      </c>
      <c r="B60" s="93"/>
      <c r="C60" s="93"/>
      <c r="D60" s="93"/>
      <c r="E60" s="93"/>
      <c r="F60" s="94"/>
      <c r="G60" s="95" t="str">
        <f>IF($CC60="","",INDEX('[1]ATTENDANCE DAILY'!$E$4:$E$663,$CC60))</f>
        <v/>
      </c>
      <c r="H60" s="96"/>
      <c r="I60" s="96"/>
      <c r="J60" s="97"/>
      <c r="K60" s="98" t="str">
        <f>_xlfn.LET(_xlpm._r,_xlfn.SINGLE(IF(OR($CC60="",K$14="",K$14&lt;_xlfn.SINGLE(INDEX('[1]ATTENDANCE DAILY'!$AV$4:$AV$663,$CC60)),K$14&gt;_xlfn.SINGLE(INDEX('[1]ATTENDANCE DAILY'!$AW$4:$AW$663,$CC60))),"",IF(_xlfn.SINGLE(INDEX('[1]ATTENDANCE DAILY'!$I$4:$AM$663,$CC60,DAY(K$14)))="T-Late","T-L",IF(_xlfn.SINGLE(INDEX('[1]ATTENDANCE DAILY'!$I$4:$AM$663,$CC60,DAY(K$14)))="T-Cutting","T-C",INDEX('[1]ATTENDANCE DAILY'!$I$4:$AM$663,$CC60,DAY(K$14)))))),IFERROR(IF(_xlpm._r=0,"",_xlpm._r),""))</f>
        <v/>
      </c>
      <c r="L60" s="99"/>
      <c r="M60" s="100" t="str">
        <f>_xlfn.LET(_xlpm._r,_xlfn.SINGLE(IF(OR($CC60="",M$14="",M$14&lt;_xlfn.SINGLE(INDEX('[1]ATTENDANCE DAILY'!$AV$4:$AV$663,$CC60)),M$14&gt;_xlfn.SINGLE(INDEX('[1]ATTENDANCE DAILY'!$AW$4:$AW$663,$CC60))),"",IF(_xlfn.SINGLE(INDEX('[1]ATTENDANCE DAILY'!$I$4:$AM$663,$CC60,DAY(M$14)))="T-Late","T-L",IF(_xlfn.SINGLE(INDEX('[1]ATTENDANCE DAILY'!$I$4:$AM$663,$CC60,DAY(M$14)))="T-Cutting","T-C",INDEX('[1]ATTENDANCE DAILY'!$I$4:$AM$663,$CC60,DAY(M$14)))))),IFERROR(IF(_xlpm._r=0,"",_xlpm._r),""))</f>
        <v/>
      </c>
      <c r="N60" s="100" t="str">
        <f>_xlfn.LET(_xlpm._r,_xlfn.SINGLE(IF(OR($CC60="",N$14="",N$14&lt;_xlfn.SINGLE(INDEX('[1]ATTENDANCE DAILY'!$AV$4:$AV$663,$CC60)),N$14&gt;_xlfn.SINGLE(INDEX('[1]ATTENDANCE DAILY'!$AW$4:$AW$663,$CC60))),"",IF(_xlfn.SINGLE(INDEX('[1]ATTENDANCE DAILY'!$I$4:$AM$663,$CC60,DAY(N$14)))="T-Late","T-L",IF(_xlfn.SINGLE(INDEX('[1]ATTENDANCE DAILY'!$I$4:$AM$663,$CC60,DAY(N$14)))="T-Cutting","T-C",INDEX('[1]ATTENDANCE DAILY'!$I$4:$AM$663,$CC60,DAY(N$14)))))),IFERROR(IF(_xlpm._r=0,"",_xlpm._r),""))</f>
        <v/>
      </c>
      <c r="O60" s="101" t="str">
        <f>_xlfn.LET(_xlpm._r,_xlfn.SINGLE(IF(OR($CC60="",O$14="",O$14&lt;_xlfn.SINGLE(INDEX('[1]ATTENDANCE DAILY'!$AV$4:$AV$663,$CC60)),O$14&gt;_xlfn.SINGLE(INDEX('[1]ATTENDANCE DAILY'!$AW$4:$AW$663,$CC60))),"",IF(_xlfn.SINGLE(INDEX('[1]ATTENDANCE DAILY'!$I$4:$AM$663,$CC60,DAY(O$14)))="T-Late","T-L",IF(_xlfn.SINGLE(INDEX('[1]ATTENDANCE DAILY'!$I$4:$AM$663,$CC60,DAY(O$14)))="T-Cutting","T-C",INDEX('[1]ATTENDANCE DAILY'!$I$4:$AM$663,$CC60,DAY(O$14)))))),IFERROR(IF(_xlpm._r=0,"",_xlpm._r),""))</f>
        <v/>
      </c>
      <c r="P60" s="102"/>
      <c r="Q60" s="102"/>
      <c r="R60" s="99"/>
      <c r="S60" s="101" t="str">
        <f>_xlfn.LET(_xlpm._r,_xlfn.SINGLE(IF(OR($CC60="",S$14="",S$14&lt;_xlfn.SINGLE(INDEX('[1]ATTENDANCE DAILY'!$AV$4:$AV$663,$CC60)),S$14&gt;_xlfn.SINGLE(INDEX('[1]ATTENDANCE DAILY'!$AW$4:$AW$663,$CC60))),"",IF(_xlfn.SINGLE(INDEX('[1]ATTENDANCE DAILY'!$I$4:$AM$663,$CC60,DAY(S$14)))="T-Late","T-L",IF(_xlfn.SINGLE(INDEX('[1]ATTENDANCE DAILY'!$I$4:$AM$663,$CC60,DAY(S$14)))="T-Cutting","T-C",INDEX('[1]ATTENDANCE DAILY'!$I$4:$AM$663,$CC60,DAY(S$14)))))),IFERROR(IF(_xlpm._r=0,"",_xlpm._r),""))</f>
        <v/>
      </c>
      <c r="T60" s="102"/>
      <c r="U60" s="103"/>
      <c r="V60" s="100" t="str">
        <f>_xlfn.LET(_xlpm._r,_xlfn.SINGLE(IF(OR($CC60="",V$14="",V$14&lt;_xlfn.SINGLE(INDEX('[1]ATTENDANCE DAILY'!$AV$4:$AV$663,$CC60)),V$14&gt;_xlfn.SINGLE(INDEX('[1]ATTENDANCE DAILY'!$AW$4:$AW$663,$CC60))),"",IF(_xlfn.SINGLE(INDEX('[1]ATTENDANCE DAILY'!$I$4:$AM$663,$CC60,DAY(V$14)))="T-Late","T-L",IF(_xlfn.SINGLE(INDEX('[1]ATTENDANCE DAILY'!$I$4:$AM$663,$CC60,DAY(V$14)))="T-Cutting","T-C",INDEX('[1]ATTENDANCE DAILY'!$I$4:$AM$663,$CC60,DAY(V$14)))))),IFERROR(IF(_xlpm._r=0,"",_xlpm._r),""))</f>
        <v/>
      </c>
      <c r="W60" s="101" t="str">
        <f>_xlfn.LET(_xlpm._r,_xlfn.SINGLE(IF(OR($CC60="",W$14="",W$14&lt;_xlfn.SINGLE(INDEX('[1]ATTENDANCE DAILY'!$AV$4:$AV$663,$CC60)),W$14&gt;_xlfn.SINGLE(INDEX('[1]ATTENDANCE DAILY'!$AW$4:$AW$663,$CC60))),"",IF(_xlfn.SINGLE(INDEX('[1]ATTENDANCE DAILY'!$I$4:$AM$663,$CC60,DAY(W$14)))="T-Late","T-L",IF(_xlfn.SINGLE(INDEX('[1]ATTENDANCE DAILY'!$I$4:$AM$663,$CC60,DAY(W$14)))="T-Cutting","T-C",INDEX('[1]ATTENDANCE DAILY'!$I$4:$AM$663,$CC60,DAY(W$14)))))),IFERROR(IF(_xlpm._r=0,"",_xlpm._r),""))</f>
        <v/>
      </c>
      <c r="X60" s="102"/>
      <c r="Y60" s="99"/>
      <c r="Z60" s="100" t="str">
        <f>_xlfn.LET(_xlpm._r,_xlfn.SINGLE(IF(OR($CC60="",Z$14="",Z$14&lt;_xlfn.SINGLE(INDEX('[1]ATTENDANCE DAILY'!$AV$4:$AV$663,$CC60)),Z$14&gt;_xlfn.SINGLE(INDEX('[1]ATTENDANCE DAILY'!$AW$4:$AW$663,$CC60))),"",IF(_xlfn.SINGLE(INDEX('[1]ATTENDANCE DAILY'!$I$4:$AM$663,$CC60,DAY(Z$14)))="T-Late","T-L",IF(_xlfn.SINGLE(INDEX('[1]ATTENDANCE DAILY'!$I$4:$AM$663,$CC60,DAY(Z$14)))="T-Cutting","T-C",INDEX('[1]ATTENDANCE DAILY'!$I$4:$AM$663,$CC60,DAY(Z$14)))))),IFERROR(IF(_xlpm._r=0,"",_xlpm._r),""))</f>
        <v/>
      </c>
      <c r="AA60" s="100" t="str">
        <f>_xlfn.LET(_xlpm._r,_xlfn.SINGLE(IF(OR($CC60="",AA$14="",AA$14&lt;_xlfn.SINGLE(INDEX('[1]ATTENDANCE DAILY'!$AV$4:$AV$663,$CC60)),AA$14&gt;_xlfn.SINGLE(INDEX('[1]ATTENDANCE DAILY'!$AW$4:$AW$663,$CC60))),"",IF(_xlfn.SINGLE(INDEX('[1]ATTENDANCE DAILY'!$I$4:$AM$663,$CC60,DAY(AA$14)))="T-Late","T-L",IF(_xlfn.SINGLE(INDEX('[1]ATTENDANCE DAILY'!$I$4:$AM$663,$CC60,DAY(AA$14)))="T-Cutting","T-C",INDEX('[1]ATTENDANCE DAILY'!$I$4:$AM$663,$CC60,DAY(AA$14)))))),IFERROR(IF(_xlpm._r=0,"",_xlpm._r),""))</f>
        <v/>
      </c>
      <c r="AB60" s="101" t="str">
        <f>_xlfn.LET(_xlpm._r,_xlfn.SINGLE(IF(OR($CC60="",AB$14="",AB$14&lt;_xlfn.SINGLE(INDEX('[1]ATTENDANCE DAILY'!$AV$4:$AV$663,$CC60)),AB$14&gt;_xlfn.SINGLE(INDEX('[1]ATTENDANCE DAILY'!$AW$4:$AW$663,$CC60))),"",IF(_xlfn.SINGLE(INDEX('[1]ATTENDANCE DAILY'!$I$4:$AM$663,$CC60,DAY(AB$14)))="T-Late","T-L",IF(_xlfn.SINGLE(INDEX('[1]ATTENDANCE DAILY'!$I$4:$AM$663,$CC60,DAY(AB$14)))="T-Cutting","T-C",INDEX('[1]ATTENDANCE DAILY'!$I$4:$AM$663,$CC60,DAY(AB$14)))))),IFERROR(IF(_xlpm._r=0,"",_xlpm._r),""))</f>
        <v/>
      </c>
      <c r="AC60" s="102"/>
      <c r="AD60" s="103"/>
      <c r="AE60" s="101" t="str">
        <f>_xlfn.LET(_xlpm._r,_xlfn.SINGLE(IF(OR($CC60="",AE$14="",AE$14&lt;_xlfn.SINGLE(INDEX('[1]ATTENDANCE DAILY'!$AV$4:$AV$663,$CC60)),AE$14&gt;_xlfn.SINGLE(INDEX('[1]ATTENDANCE DAILY'!$AW$4:$AW$663,$CC60))),"",IF(_xlfn.SINGLE(INDEX('[1]ATTENDANCE DAILY'!$I$4:$AM$663,$CC60,DAY(AE$14)))="T-Late","T-L",IF(_xlfn.SINGLE(INDEX('[1]ATTENDANCE DAILY'!$I$4:$AM$663,$CC60,DAY(AE$14)))="T-Cutting","T-C",INDEX('[1]ATTENDANCE DAILY'!$I$4:$AM$663,$CC60,DAY(AE$14)))))),IFERROR(IF(_xlpm._r=0,"",_xlpm._r),""))</f>
        <v/>
      </c>
      <c r="AF60" s="102"/>
      <c r="AG60" s="99"/>
      <c r="AH60" s="100" t="str">
        <f>_xlfn.LET(_xlpm._r,_xlfn.SINGLE(IF(OR($CC60="",AH$14="",AH$14&lt;_xlfn.SINGLE(INDEX('[1]ATTENDANCE DAILY'!$AV$4:$AV$663,$CC60)),AH$14&gt;_xlfn.SINGLE(INDEX('[1]ATTENDANCE DAILY'!$AW$4:$AW$663,$CC60))),"",IF(_xlfn.SINGLE(INDEX('[1]ATTENDANCE DAILY'!$I$4:$AM$663,$CC60,DAY(AH$14)))="T-Late","T-L",IF(_xlfn.SINGLE(INDEX('[1]ATTENDANCE DAILY'!$I$4:$AM$663,$CC60,DAY(AH$14)))="T-Cutting","T-C",INDEX('[1]ATTENDANCE DAILY'!$I$4:$AM$663,$CC60,DAY(AH$14)))))),IFERROR(IF(_xlpm._r=0,"",_xlpm._r),""))</f>
        <v/>
      </c>
      <c r="AI60" s="101" t="str">
        <f>_xlfn.LET(_xlpm._r,_xlfn.SINGLE(IF(OR($CC60="",AI$14="",AI$14&lt;_xlfn.SINGLE(INDEX('[1]ATTENDANCE DAILY'!$AV$4:$AV$663,$CC60)),AI$14&gt;_xlfn.SINGLE(INDEX('[1]ATTENDANCE DAILY'!$AW$4:$AW$663,$CC60))),"",IF(_xlfn.SINGLE(INDEX('[1]ATTENDANCE DAILY'!$I$4:$AM$663,$CC60,DAY(AI$14)))="T-Late","T-L",IF(_xlfn.SINGLE(INDEX('[1]ATTENDANCE DAILY'!$I$4:$AM$663,$CC60,DAY(AI$14)))="T-Cutting","T-C",INDEX('[1]ATTENDANCE DAILY'!$I$4:$AM$663,$CC60,DAY(AI$14)))))),IFERROR(IF(_xlpm._r=0,"",_xlpm._r),""))</f>
        <v/>
      </c>
      <c r="AJ60" s="102"/>
      <c r="AK60" s="99"/>
      <c r="AL60" s="101" t="str">
        <f>_xlfn.LET(_xlpm._r,_xlfn.SINGLE(IF(OR($CC60="",AL$14="",AL$14&lt;_xlfn.SINGLE(INDEX('[1]ATTENDANCE DAILY'!$AV$4:$AV$663,$CC60)),AL$14&gt;_xlfn.SINGLE(INDEX('[1]ATTENDANCE DAILY'!$AW$4:$AW$663,$CC60))),"",IF(_xlfn.SINGLE(INDEX('[1]ATTENDANCE DAILY'!$I$4:$AM$663,$CC60,DAY(AL$14)))="T-Late","T-L",IF(_xlfn.SINGLE(INDEX('[1]ATTENDANCE DAILY'!$I$4:$AM$663,$CC60,DAY(AL$14)))="T-Cutting","T-C",INDEX('[1]ATTENDANCE DAILY'!$I$4:$AM$663,$CC60,DAY(AL$14)))))),IFERROR(IF(_xlpm._r=0,"",_xlpm._r),""))</f>
        <v/>
      </c>
      <c r="AM60" s="99"/>
      <c r="AN60" s="101" t="str">
        <f>_xlfn.LET(_xlpm._r,_xlfn.SINGLE(IF(OR($CC60="",AN$14="",AN$14&lt;_xlfn.SINGLE(INDEX('[1]ATTENDANCE DAILY'!$AV$4:$AV$663,$CC60)),AN$14&gt;_xlfn.SINGLE(INDEX('[1]ATTENDANCE DAILY'!$AW$4:$AW$663,$CC60))),"",IF(_xlfn.SINGLE(INDEX('[1]ATTENDANCE DAILY'!$I$4:$AM$663,$CC60,DAY(AN$14)))="T-Late","T-L",IF(_xlfn.SINGLE(INDEX('[1]ATTENDANCE DAILY'!$I$4:$AM$663,$CC60,DAY(AN$14)))="T-Cutting","T-C",INDEX('[1]ATTENDANCE DAILY'!$I$4:$AM$663,$CC60,DAY(AN$14)))))),IFERROR(IF(_xlpm._r=0,"",_xlpm._r),""))</f>
        <v/>
      </c>
      <c r="AO60" s="103"/>
      <c r="AP60" s="101" t="str">
        <f>_xlfn.LET(_xlpm._r,_xlfn.SINGLE(IF(OR($CC60="",AP$14="",AP$14&lt;_xlfn.SINGLE(INDEX('[1]ATTENDANCE DAILY'!$AV$4:$AV$663,$CC60)),AP$14&gt;_xlfn.SINGLE(INDEX('[1]ATTENDANCE DAILY'!$AW$4:$AW$663,$CC60))),"",IF(_xlfn.SINGLE(INDEX('[1]ATTENDANCE DAILY'!$I$4:$AM$663,$CC60,DAY(AP$14)))="T-Late","T-L",IF(_xlfn.SINGLE(INDEX('[1]ATTENDANCE DAILY'!$I$4:$AM$663,$CC60,DAY(AP$14)))="T-Cutting","T-C",INDEX('[1]ATTENDANCE DAILY'!$I$4:$AM$663,$CC60,DAY(AP$14)))))),IFERROR(IF(_xlpm._r=0,"",_xlpm._r),""))</f>
        <v/>
      </c>
      <c r="AQ60" s="99"/>
      <c r="AR60" s="100" t="str">
        <f>_xlfn.LET(_xlpm._r,_xlfn.SINGLE(IF(OR($CC60="",AR$14="",AR$14&lt;_xlfn.SINGLE(INDEX('[1]ATTENDANCE DAILY'!$AV$4:$AV$663,$CC60)),AR$14&gt;_xlfn.SINGLE(INDEX('[1]ATTENDANCE DAILY'!$AW$4:$AW$663,$CC60))),"",IF(_xlfn.SINGLE(INDEX('[1]ATTENDANCE DAILY'!$I$4:$AM$663,$CC60,DAY(AR$14)))="T-Late","T-L",IF(_xlfn.SINGLE(INDEX('[1]ATTENDANCE DAILY'!$I$4:$AM$663,$CC60,DAY(AR$14)))="T-Cutting","T-C",INDEX('[1]ATTENDANCE DAILY'!$I$4:$AM$663,$CC60,DAY(AR$14)))))),IFERROR(IF(_xlpm._r=0,"",_xlpm._r),""))</f>
        <v/>
      </c>
      <c r="AS60" s="101" t="str">
        <f>_xlfn.LET(_xlpm._r,_xlfn.SINGLE(IF(OR($CC60="",AS$14="",AS$14&lt;_xlfn.SINGLE(INDEX('[1]ATTENDANCE DAILY'!$AV$4:$AV$663,$CC60)),AS$14&gt;_xlfn.SINGLE(INDEX('[1]ATTENDANCE DAILY'!$AW$4:$AW$663,$CC60))),"",IF(_xlfn.SINGLE(INDEX('[1]ATTENDANCE DAILY'!$I$4:$AM$663,$CC60,DAY(AS$14)))="T-Late","T-L",IF(_xlfn.SINGLE(INDEX('[1]ATTENDANCE DAILY'!$I$4:$AM$663,$CC60,DAY(AS$14)))="T-Cutting","T-C",INDEX('[1]ATTENDANCE DAILY'!$I$4:$AM$663,$CC60,DAY(AS$14)))))),IFERROR(IF(_xlpm._r=0,"",_xlpm._r),""))</f>
        <v/>
      </c>
      <c r="AT60" s="99"/>
      <c r="AU60" s="100" t="str">
        <f>_xlfn.LET(_xlpm._r,_xlfn.SINGLE(IF(OR($CC60="",AU$14="",AU$14&lt;_xlfn.SINGLE(INDEX('[1]ATTENDANCE DAILY'!$AV$4:$AV$663,$CC60)),AU$14&gt;_xlfn.SINGLE(INDEX('[1]ATTENDANCE DAILY'!$AW$4:$AW$663,$CC60))),"",IF(_xlfn.SINGLE(INDEX('[1]ATTENDANCE DAILY'!$I$4:$AM$663,$CC60,DAY(AU$14)))="T-Late","T-L",IF(_xlfn.SINGLE(INDEX('[1]ATTENDANCE DAILY'!$I$4:$AM$663,$CC60,DAY(AU$14)))="T-Cutting","T-C",INDEX('[1]ATTENDANCE DAILY'!$I$4:$AM$663,$CC60,DAY(AU$14)))))),IFERROR(IF(_xlpm._r=0,"",_xlpm._r),""))</f>
        <v/>
      </c>
      <c r="AV60" s="104" t="str">
        <f>_xlfn.LET(_xlpm._r,_xlfn.SINGLE(IF(OR($CC60="",AV$14="",AV$14&lt;_xlfn.SINGLE(INDEX('[1]ATTENDANCE DAILY'!$AV$4:$AV$663,$CC60)),AV$14&gt;_xlfn.SINGLE(INDEX('[1]ATTENDANCE DAILY'!$AW$4:$AW$663,$CC60))),"",IF(_xlfn.SINGLE(INDEX('[1]ATTENDANCE DAILY'!$I$4:$AM$663,$CC60,DAY(AV$14)))="T-Late","T-L",IF(_xlfn.SINGLE(INDEX('[1]ATTENDANCE DAILY'!$I$4:$AM$663,$CC60,DAY(AV$14)))="T-Cutting","T-C",INDEX('[1]ATTENDANCE DAILY'!$I$4:$AM$663,$CC60,DAY(AV$14)))))),IFERROR(IF(_xlpm._r=0,"",_xlpm._r),""))</f>
        <v/>
      </c>
      <c r="AW60" s="101" t="str">
        <f>_xlfn.LET(_xlpm._r,_xlfn.SINGLE(IF(OR($CC60="",AW$14="",AW$14&lt;_xlfn.SINGLE(INDEX('[1]ATTENDANCE DAILY'!$AV$4:$AV$663,$CC60)),AW$14&gt;_xlfn.SINGLE(INDEX('[1]ATTENDANCE DAILY'!$AW$4:$AW$663,$CC60))),"",IF(_xlfn.SINGLE(INDEX('[1]ATTENDANCE DAILY'!$I$4:$AM$663,$CC60,DAY(AW$14)))="T-Late","T-L",IF(_xlfn.SINGLE(INDEX('[1]ATTENDANCE DAILY'!$I$4:$AM$663,$CC60,DAY(AW$14)))="T-Cutting","T-C",INDEX('[1]ATTENDANCE DAILY'!$I$4:$AM$663,$CC60,DAY(AW$14)))))),IFERROR(IF(_xlpm._r=0,"",_xlpm._r),""))</f>
        <v/>
      </c>
      <c r="AX60" s="99"/>
      <c r="AY60" s="101" t="str">
        <f>_xlfn.LET(_xlpm._r,_xlfn.SINGLE(IF(OR($CC60="",AY$14="",AY$14&lt;_xlfn.SINGLE(INDEX('[1]ATTENDANCE DAILY'!$AV$4:$AV$663,$CC60)),AY$14&gt;_xlfn.SINGLE(INDEX('[1]ATTENDANCE DAILY'!$AW$4:$AW$663,$CC60))),"",IF(_xlfn.SINGLE(INDEX('[1]ATTENDANCE DAILY'!$I$4:$AM$663,$CC60,DAY(AY$14)))="T-Late","T-L",IF(_xlfn.SINGLE(INDEX('[1]ATTENDANCE DAILY'!$I$4:$AM$663,$CC60,DAY(AY$14)))="T-Cutting","T-C",INDEX('[1]ATTENDANCE DAILY'!$I$4:$AM$663,$CC60,DAY(AY$14)))))),IFERROR(IF(_xlpm._r=0,"",_xlpm._r),""))</f>
        <v/>
      </c>
      <c r="AZ60" s="102"/>
      <c r="BA60" s="99"/>
      <c r="BB60" s="101" t="str">
        <f>_xlfn.LET(_xlpm._r,_xlfn.SINGLE(IF(OR($CC60="",BB$14="",BB$14&lt;_xlfn.SINGLE(INDEX('[1]ATTENDANCE DAILY'!$AV$4:$AV$663,$CC60)),BB$14&gt;_xlfn.SINGLE(INDEX('[1]ATTENDANCE DAILY'!$AW$4:$AW$663,$CC60))),"",IF(_xlfn.SINGLE(INDEX('[1]ATTENDANCE DAILY'!$I$4:$AM$663,$CC60,DAY(BB$14)))="T-Late","T-L",IF(_xlfn.SINGLE(INDEX('[1]ATTENDANCE DAILY'!$I$4:$AM$663,$CC60,DAY(BB$14)))="T-Cutting","T-C",INDEX('[1]ATTENDANCE DAILY'!$I$4:$AM$663,$CC60,DAY(BB$14)))))),IFERROR(IF(_xlpm._r=0,"",_xlpm._r),""))</f>
        <v/>
      </c>
      <c r="BC60" s="99"/>
      <c r="BD60" s="100" t="str">
        <f>_xlfn.LET(_xlpm._r,_xlfn.SINGLE(IF(OR($CC60="",BD$14="",BD$14&lt;_xlfn.SINGLE(INDEX('[1]ATTENDANCE DAILY'!$AV$4:$AV$663,$CC60)),BD$14&gt;_xlfn.SINGLE(INDEX('[1]ATTENDANCE DAILY'!$AW$4:$AW$663,$CC60))),"",IF(_xlfn.SINGLE(INDEX('[1]ATTENDANCE DAILY'!$I$4:$AM$663,$CC60,DAY(BD$14)))="T-Late","T-L",IF(_xlfn.SINGLE(INDEX('[1]ATTENDANCE DAILY'!$I$4:$AM$663,$CC60,DAY(BD$14)))="T-Cutting","T-C",INDEX('[1]ATTENDANCE DAILY'!$I$4:$AM$663,$CC60,DAY(BD$14)))))),IFERROR(IF(_xlpm._r=0,"",_xlpm._r),""))</f>
        <v/>
      </c>
      <c r="BE60" s="101" t="str">
        <f>_xlfn.LET(_xlpm._r,_xlfn.SINGLE(IF(OR($CC60="",BE$14="",BE$14&lt;_xlfn.SINGLE(INDEX('[1]ATTENDANCE DAILY'!$AV$4:$AV$663,$CC60)),BE$14&gt;_xlfn.SINGLE(INDEX('[1]ATTENDANCE DAILY'!$AW$4:$AW$663,$CC60))),"",IF(_xlfn.SINGLE(INDEX('[1]ATTENDANCE DAILY'!$I$4:$AM$663,$CC60,DAY(BE$14)))="T-Late","T-L",IF(_xlfn.SINGLE(INDEX('[1]ATTENDANCE DAILY'!$I$4:$AM$663,$CC60,DAY(BE$14)))="T-Cutting","T-C",INDEX('[1]ATTENDANCE DAILY'!$I$4:$AM$663,$CC60,DAY(BE$14)))))),IFERROR(IF(_xlpm._r=0,"",_xlpm._r),""))</f>
        <v/>
      </c>
      <c r="BF60" s="102"/>
      <c r="BG60" s="102"/>
      <c r="BH60" s="103"/>
      <c r="BI60" s="105" t="str">
        <f>IF($CC60="","",INDEX('[1]ATTENDANCE DAILY'!$AR$4:$AR$663,$CC60))</f>
        <v/>
      </c>
      <c r="BJ60" s="106"/>
      <c r="BK60" s="107"/>
      <c r="BL60" s="105" t="str">
        <f>IF($CC60="","",INDEX('[1]ATTENDANCE DAILY'!$AS$4:$AS$663,$CC60))</f>
        <v/>
      </c>
      <c r="BM60" s="106"/>
      <c r="BN60" s="106"/>
      <c r="BO60" s="107"/>
      <c r="BP60" s="105" t="str">
        <f>IF($CC60="","",IF(INDEX('[1]ATTENDANCE DAILY'!$AN$4:$AN$663,$CC60)="","",INDEX('[1]ATTENDANCE DAILY'!$AN$4:$AN$663,$CC60)&amp;IF(INDEX('[1]ATTENDANCE DAILY'!$AO$4:$AO$663,$CC60)="",""," ("&amp;TEXT(INDEX('[1]ATTENDANCE DAILY'!$AO$4:$AO$663,$CC60),"mm-dd-yyyy")&amp;")")&amp;IF(INDEX('[1]ATTENDANCE DAILY'!$AP$4:$AP$663,$CC60)="",""," - "&amp;INDEX('[1]ATTENDANCE DAILY'!$AP$4:$AP$663,$CC60))))</f>
        <v/>
      </c>
      <c r="BQ60" s="106"/>
      <c r="BR60" s="106"/>
      <c r="BS60" s="106"/>
      <c r="BT60" s="106"/>
      <c r="BU60" s="106"/>
      <c r="BV60" s="106"/>
      <c r="BW60" s="106"/>
      <c r="BX60" s="106"/>
      <c r="BY60" s="106"/>
      <c r="BZ60" s="106"/>
      <c r="CA60" s="107"/>
      <c r="CC60" t="str">
        <f>IF(COUNTIFS('[1]ATTENDANCE DAILY'!$C$4:$C$663,$BN$11,'[1]ATTENDANCE DAILY'!$F$4:$F$663,"Female",'[1]ATTENDANCE DAILY'!$G$4:$G$663,1,'[1]ATTENDANCE DAILY'!$BA$4:$BA$663,17)=0,"",SUMIFS('[1]ATTENDANCE DAILY'!$A$4:$A$663,'[1]ATTENDANCE DAILY'!$C$4:$C$663,$BN$11,'[1]ATTENDANCE DAILY'!$F$4:$F$663,"Female",'[1]ATTENDANCE DAILY'!$G$4:$G$663,1,'[1]ATTENDANCE DAILY'!$BA$4:$BA$663,17))</f>
        <v/>
      </c>
    </row>
    <row r="61" spans="1:81" ht="19.95" customHeight="1" thickTop="1" thickBot="1">
      <c r="A61" s="92">
        <v>18</v>
      </c>
      <c r="B61" s="93"/>
      <c r="C61" s="93"/>
      <c r="D61" s="93"/>
      <c r="E61" s="93"/>
      <c r="F61" s="94"/>
      <c r="G61" s="95" t="str">
        <f>IF($CC61="","",INDEX('[1]ATTENDANCE DAILY'!$E$4:$E$663,$CC61))</f>
        <v/>
      </c>
      <c r="H61" s="96"/>
      <c r="I61" s="96"/>
      <c r="J61" s="97"/>
      <c r="K61" s="98" t="str">
        <f>_xlfn.LET(_xlpm._r,_xlfn.SINGLE(IF(OR($CC61="",K$14="",K$14&lt;_xlfn.SINGLE(INDEX('[1]ATTENDANCE DAILY'!$AV$4:$AV$663,$CC61)),K$14&gt;_xlfn.SINGLE(INDEX('[1]ATTENDANCE DAILY'!$AW$4:$AW$663,$CC61))),"",IF(_xlfn.SINGLE(INDEX('[1]ATTENDANCE DAILY'!$I$4:$AM$663,$CC61,DAY(K$14)))="T-Late","T-L",IF(_xlfn.SINGLE(INDEX('[1]ATTENDANCE DAILY'!$I$4:$AM$663,$CC61,DAY(K$14)))="T-Cutting","T-C",INDEX('[1]ATTENDANCE DAILY'!$I$4:$AM$663,$CC61,DAY(K$14)))))),IFERROR(IF(_xlpm._r=0,"",_xlpm._r),""))</f>
        <v/>
      </c>
      <c r="L61" s="99"/>
      <c r="M61" s="100" t="str">
        <f>_xlfn.LET(_xlpm._r,_xlfn.SINGLE(IF(OR($CC61="",M$14="",M$14&lt;_xlfn.SINGLE(INDEX('[1]ATTENDANCE DAILY'!$AV$4:$AV$663,$CC61)),M$14&gt;_xlfn.SINGLE(INDEX('[1]ATTENDANCE DAILY'!$AW$4:$AW$663,$CC61))),"",IF(_xlfn.SINGLE(INDEX('[1]ATTENDANCE DAILY'!$I$4:$AM$663,$CC61,DAY(M$14)))="T-Late","T-L",IF(_xlfn.SINGLE(INDEX('[1]ATTENDANCE DAILY'!$I$4:$AM$663,$CC61,DAY(M$14)))="T-Cutting","T-C",INDEX('[1]ATTENDANCE DAILY'!$I$4:$AM$663,$CC61,DAY(M$14)))))),IFERROR(IF(_xlpm._r=0,"",_xlpm._r),""))</f>
        <v/>
      </c>
      <c r="N61" s="100" t="str">
        <f>_xlfn.LET(_xlpm._r,_xlfn.SINGLE(IF(OR($CC61="",N$14="",N$14&lt;_xlfn.SINGLE(INDEX('[1]ATTENDANCE DAILY'!$AV$4:$AV$663,$CC61)),N$14&gt;_xlfn.SINGLE(INDEX('[1]ATTENDANCE DAILY'!$AW$4:$AW$663,$CC61))),"",IF(_xlfn.SINGLE(INDEX('[1]ATTENDANCE DAILY'!$I$4:$AM$663,$CC61,DAY(N$14)))="T-Late","T-L",IF(_xlfn.SINGLE(INDEX('[1]ATTENDANCE DAILY'!$I$4:$AM$663,$CC61,DAY(N$14)))="T-Cutting","T-C",INDEX('[1]ATTENDANCE DAILY'!$I$4:$AM$663,$CC61,DAY(N$14)))))),IFERROR(IF(_xlpm._r=0,"",_xlpm._r),""))</f>
        <v/>
      </c>
      <c r="O61" s="101" t="str">
        <f>_xlfn.LET(_xlpm._r,_xlfn.SINGLE(IF(OR($CC61="",O$14="",O$14&lt;_xlfn.SINGLE(INDEX('[1]ATTENDANCE DAILY'!$AV$4:$AV$663,$CC61)),O$14&gt;_xlfn.SINGLE(INDEX('[1]ATTENDANCE DAILY'!$AW$4:$AW$663,$CC61))),"",IF(_xlfn.SINGLE(INDEX('[1]ATTENDANCE DAILY'!$I$4:$AM$663,$CC61,DAY(O$14)))="T-Late","T-L",IF(_xlfn.SINGLE(INDEX('[1]ATTENDANCE DAILY'!$I$4:$AM$663,$CC61,DAY(O$14)))="T-Cutting","T-C",INDEX('[1]ATTENDANCE DAILY'!$I$4:$AM$663,$CC61,DAY(O$14)))))),IFERROR(IF(_xlpm._r=0,"",_xlpm._r),""))</f>
        <v/>
      </c>
      <c r="P61" s="102"/>
      <c r="Q61" s="102"/>
      <c r="R61" s="99"/>
      <c r="S61" s="101" t="str">
        <f>_xlfn.LET(_xlpm._r,_xlfn.SINGLE(IF(OR($CC61="",S$14="",S$14&lt;_xlfn.SINGLE(INDEX('[1]ATTENDANCE DAILY'!$AV$4:$AV$663,$CC61)),S$14&gt;_xlfn.SINGLE(INDEX('[1]ATTENDANCE DAILY'!$AW$4:$AW$663,$CC61))),"",IF(_xlfn.SINGLE(INDEX('[1]ATTENDANCE DAILY'!$I$4:$AM$663,$CC61,DAY(S$14)))="T-Late","T-L",IF(_xlfn.SINGLE(INDEX('[1]ATTENDANCE DAILY'!$I$4:$AM$663,$CC61,DAY(S$14)))="T-Cutting","T-C",INDEX('[1]ATTENDANCE DAILY'!$I$4:$AM$663,$CC61,DAY(S$14)))))),IFERROR(IF(_xlpm._r=0,"",_xlpm._r),""))</f>
        <v/>
      </c>
      <c r="T61" s="102"/>
      <c r="U61" s="103"/>
      <c r="V61" s="100" t="str">
        <f>_xlfn.LET(_xlpm._r,_xlfn.SINGLE(IF(OR($CC61="",V$14="",V$14&lt;_xlfn.SINGLE(INDEX('[1]ATTENDANCE DAILY'!$AV$4:$AV$663,$CC61)),V$14&gt;_xlfn.SINGLE(INDEX('[1]ATTENDANCE DAILY'!$AW$4:$AW$663,$CC61))),"",IF(_xlfn.SINGLE(INDEX('[1]ATTENDANCE DAILY'!$I$4:$AM$663,$CC61,DAY(V$14)))="T-Late","T-L",IF(_xlfn.SINGLE(INDEX('[1]ATTENDANCE DAILY'!$I$4:$AM$663,$CC61,DAY(V$14)))="T-Cutting","T-C",INDEX('[1]ATTENDANCE DAILY'!$I$4:$AM$663,$CC61,DAY(V$14)))))),IFERROR(IF(_xlpm._r=0,"",_xlpm._r),""))</f>
        <v/>
      </c>
      <c r="W61" s="101" t="str">
        <f>_xlfn.LET(_xlpm._r,_xlfn.SINGLE(IF(OR($CC61="",W$14="",W$14&lt;_xlfn.SINGLE(INDEX('[1]ATTENDANCE DAILY'!$AV$4:$AV$663,$CC61)),W$14&gt;_xlfn.SINGLE(INDEX('[1]ATTENDANCE DAILY'!$AW$4:$AW$663,$CC61))),"",IF(_xlfn.SINGLE(INDEX('[1]ATTENDANCE DAILY'!$I$4:$AM$663,$CC61,DAY(W$14)))="T-Late","T-L",IF(_xlfn.SINGLE(INDEX('[1]ATTENDANCE DAILY'!$I$4:$AM$663,$CC61,DAY(W$14)))="T-Cutting","T-C",INDEX('[1]ATTENDANCE DAILY'!$I$4:$AM$663,$CC61,DAY(W$14)))))),IFERROR(IF(_xlpm._r=0,"",_xlpm._r),""))</f>
        <v/>
      </c>
      <c r="X61" s="102"/>
      <c r="Y61" s="99"/>
      <c r="Z61" s="100" t="str">
        <f>_xlfn.LET(_xlpm._r,_xlfn.SINGLE(IF(OR($CC61="",Z$14="",Z$14&lt;_xlfn.SINGLE(INDEX('[1]ATTENDANCE DAILY'!$AV$4:$AV$663,$CC61)),Z$14&gt;_xlfn.SINGLE(INDEX('[1]ATTENDANCE DAILY'!$AW$4:$AW$663,$CC61))),"",IF(_xlfn.SINGLE(INDEX('[1]ATTENDANCE DAILY'!$I$4:$AM$663,$CC61,DAY(Z$14)))="T-Late","T-L",IF(_xlfn.SINGLE(INDEX('[1]ATTENDANCE DAILY'!$I$4:$AM$663,$CC61,DAY(Z$14)))="T-Cutting","T-C",INDEX('[1]ATTENDANCE DAILY'!$I$4:$AM$663,$CC61,DAY(Z$14)))))),IFERROR(IF(_xlpm._r=0,"",_xlpm._r),""))</f>
        <v/>
      </c>
      <c r="AA61" s="100" t="str">
        <f>_xlfn.LET(_xlpm._r,_xlfn.SINGLE(IF(OR($CC61="",AA$14="",AA$14&lt;_xlfn.SINGLE(INDEX('[1]ATTENDANCE DAILY'!$AV$4:$AV$663,$CC61)),AA$14&gt;_xlfn.SINGLE(INDEX('[1]ATTENDANCE DAILY'!$AW$4:$AW$663,$CC61))),"",IF(_xlfn.SINGLE(INDEX('[1]ATTENDANCE DAILY'!$I$4:$AM$663,$CC61,DAY(AA$14)))="T-Late","T-L",IF(_xlfn.SINGLE(INDEX('[1]ATTENDANCE DAILY'!$I$4:$AM$663,$CC61,DAY(AA$14)))="T-Cutting","T-C",INDEX('[1]ATTENDANCE DAILY'!$I$4:$AM$663,$CC61,DAY(AA$14)))))),IFERROR(IF(_xlpm._r=0,"",_xlpm._r),""))</f>
        <v/>
      </c>
      <c r="AB61" s="101" t="str">
        <f>_xlfn.LET(_xlpm._r,_xlfn.SINGLE(IF(OR($CC61="",AB$14="",AB$14&lt;_xlfn.SINGLE(INDEX('[1]ATTENDANCE DAILY'!$AV$4:$AV$663,$CC61)),AB$14&gt;_xlfn.SINGLE(INDEX('[1]ATTENDANCE DAILY'!$AW$4:$AW$663,$CC61))),"",IF(_xlfn.SINGLE(INDEX('[1]ATTENDANCE DAILY'!$I$4:$AM$663,$CC61,DAY(AB$14)))="T-Late","T-L",IF(_xlfn.SINGLE(INDEX('[1]ATTENDANCE DAILY'!$I$4:$AM$663,$CC61,DAY(AB$14)))="T-Cutting","T-C",INDEX('[1]ATTENDANCE DAILY'!$I$4:$AM$663,$CC61,DAY(AB$14)))))),IFERROR(IF(_xlpm._r=0,"",_xlpm._r),""))</f>
        <v/>
      </c>
      <c r="AC61" s="102"/>
      <c r="AD61" s="103"/>
      <c r="AE61" s="101" t="str">
        <f>_xlfn.LET(_xlpm._r,_xlfn.SINGLE(IF(OR($CC61="",AE$14="",AE$14&lt;_xlfn.SINGLE(INDEX('[1]ATTENDANCE DAILY'!$AV$4:$AV$663,$CC61)),AE$14&gt;_xlfn.SINGLE(INDEX('[1]ATTENDANCE DAILY'!$AW$4:$AW$663,$CC61))),"",IF(_xlfn.SINGLE(INDEX('[1]ATTENDANCE DAILY'!$I$4:$AM$663,$CC61,DAY(AE$14)))="T-Late","T-L",IF(_xlfn.SINGLE(INDEX('[1]ATTENDANCE DAILY'!$I$4:$AM$663,$CC61,DAY(AE$14)))="T-Cutting","T-C",INDEX('[1]ATTENDANCE DAILY'!$I$4:$AM$663,$CC61,DAY(AE$14)))))),IFERROR(IF(_xlpm._r=0,"",_xlpm._r),""))</f>
        <v/>
      </c>
      <c r="AF61" s="102"/>
      <c r="AG61" s="99"/>
      <c r="AH61" s="100" t="str">
        <f>_xlfn.LET(_xlpm._r,_xlfn.SINGLE(IF(OR($CC61="",AH$14="",AH$14&lt;_xlfn.SINGLE(INDEX('[1]ATTENDANCE DAILY'!$AV$4:$AV$663,$CC61)),AH$14&gt;_xlfn.SINGLE(INDEX('[1]ATTENDANCE DAILY'!$AW$4:$AW$663,$CC61))),"",IF(_xlfn.SINGLE(INDEX('[1]ATTENDANCE DAILY'!$I$4:$AM$663,$CC61,DAY(AH$14)))="T-Late","T-L",IF(_xlfn.SINGLE(INDEX('[1]ATTENDANCE DAILY'!$I$4:$AM$663,$CC61,DAY(AH$14)))="T-Cutting","T-C",INDEX('[1]ATTENDANCE DAILY'!$I$4:$AM$663,$CC61,DAY(AH$14)))))),IFERROR(IF(_xlpm._r=0,"",_xlpm._r),""))</f>
        <v/>
      </c>
      <c r="AI61" s="101" t="str">
        <f>_xlfn.LET(_xlpm._r,_xlfn.SINGLE(IF(OR($CC61="",AI$14="",AI$14&lt;_xlfn.SINGLE(INDEX('[1]ATTENDANCE DAILY'!$AV$4:$AV$663,$CC61)),AI$14&gt;_xlfn.SINGLE(INDEX('[1]ATTENDANCE DAILY'!$AW$4:$AW$663,$CC61))),"",IF(_xlfn.SINGLE(INDEX('[1]ATTENDANCE DAILY'!$I$4:$AM$663,$CC61,DAY(AI$14)))="T-Late","T-L",IF(_xlfn.SINGLE(INDEX('[1]ATTENDANCE DAILY'!$I$4:$AM$663,$CC61,DAY(AI$14)))="T-Cutting","T-C",INDEX('[1]ATTENDANCE DAILY'!$I$4:$AM$663,$CC61,DAY(AI$14)))))),IFERROR(IF(_xlpm._r=0,"",_xlpm._r),""))</f>
        <v/>
      </c>
      <c r="AJ61" s="102"/>
      <c r="AK61" s="99"/>
      <c r="AL61" s="101" t="str">
        <f>_xlfn.LET(_xlpm._r,_xlfn.SINGLE(IF(OR($CC61="",AL$14="",AL$14&lt;_xlfn.SINGLE(INDEX('[1]ATTENDANCE DAILY'!$AV$4:$AV$663,$CC61)),AL$14&gt;_xlfn.SINGLE(INDEX('[1]ATTENDANCE DAILY'!$AW$4:$AW$663,$CC61))),"",IF(_xlfn.SINGLE(INDEX('[1]ATTENDANCE DAILY'!$I$4:$AM$663,$CC61,DAY(AL$14)))="T-Late","T-L",IF(_xlfn.SINGLE(INDEX('[1]ATTENDANCE DAILY'!$I$4:$AM$663,$CC61,DAY(AL$14)))="T-Cutting","T-C",INDEX('[1]ATTENDANCE DAILY'!$I$4:$AM$663,$CC61,DAY(AL$14)))))),IFERROR(IF(_xlpm._r=0,"",_xlpm._r),""))</f>
        <v/>
      </c>
      <c r="AM61" s="99"/>
      <c r="AN61" s="101" t="str">
        <f>_xlfn.LET(_xlpm._r,_xlfn.SINGLE(IF(OR($CC61="",AN$14="",AN$14&lt;_xlfn.SINGLE(INDEX('[1]ATTENDANCE DAILY'!$AV$4:$AV$663,$CC61)),AN$14&gt;_xlfn.SINGLE(INDEX('[1]ATTENDANCE DAILY'!$AW$4:$AW$663,$CC61))),"",IF(_xlfn.SINGLE(INDEX('[1]ATTENDANCE DAILY'!$I$4:$AM$663,$CC61,DAY(AN$14)))="T-Late","T-L",IF(_xlfn.SINGLE(INDEX('[1]ATTENDANCE DAILY'!$I$4:$AM$663,$CC61,DAY(AN$14)))="T-Cutting","T-C",INDEX('[1]ATTENDANCE DAILY'!$I$4:$AM$663,$CC61,DAY(AN$14)))))),IFERROR(IF(_xlpm._r=0,"",_xlpm._r),""))</f>
        <v/>
      </c>
      <c r="AO61" s="103"/>
      <c r="AP61" s="101" t="str">
        <f>_xlfn.LET(_xlpm._r,_xlfn.SINGLE(IF(OR($CC61="",AP$14="",AP$14&lt;_xlfn.SINGLE(INDEX('[1]ATTENDANCE DAILY'!$AV$4:$AV$663,$CC61)),AP$14&gt;_xlfn.SINGLE(INDEX('[1]ATTENDANCE DAILY'!$AW$4:$AW$663,$CC61))),"",IF(_xlfn.SINGLE(INDEX('[1]ATTENDANCE DAILY'!$I$4:$AM$663,$CC61,DAY(AP$14)))="T-Late","T-L",IF(_xlfn.SINGLE(INDEX('[1]ATTENDANCE DAILY'!$I$4:$AM$663,$CC61,DAY(AP$14)))="T-Cutting","T-C",INDEX('[1]ATTENDANCE DAILY'!$I$4:$AM$663,$CC61,DAY(AP$14)))))),IFERROR(IF(_xlpm._r=0,"",_xlpm._r),""))</f>
        <v/>
      </c>
      <c r="AQ61" s="99"/>
      <c r="AR61" s="100" t="str">
        <f>_xlfn.LET(_xlpm._r,_xlfn.SINGLE(IF(OR($CC61="",AR$14="",AR$14&lt;_xlfn.SINGLE(INDEX('[1]ATTENDANCE DAILY'!$AV$4:$AV$663,$CC61)),AR$14&gt;_xlfn.SINGLE(INDEX('[1]ATTENDANCE DAILY'!$AW$4:$AW$663,$CC61))),"",IF(_xlfn.SINGLE(INDEX('[1]ATTENDANCE DAILY'!$I$4:$AM$663,$CC61,DAY(AR$14)))="T-Late","T-L",IF(_xlfn.SINGLE(INDEX('[1]ATTENDANCE DAILY'!$I$4:$AM$663,$CC61,DAY(AR$14)))="T-Cutting","T-C",INDEX('[1]ATTENDANCE DAILY'!$I$4:$AM$663,$CC61,DAY(AR$14)))))),IFERROR(IF(_xlpm._r=0,"",_xlpm._r),""))</f>
        <v/>
      </c>
      <c r="AS61" s="101" t="str">
        <f>_xlfn.LET(_xlpm._r,_xlfn.SINGLE(IF(OR($CC61="",AS$14="",AS$14&lt;_xlfn.SINGLE(INDEX('[1]ATTENDANCE DAILY'!$AV$4:$AV$663,$CC61)),AS$14&gt;_xlfn.SINGLE(INDEX('[1]ATTENDANCE DAILY'!$AW$4:$AW$663,$CC61))),"",IF(_xlfn.SINGLE(INDEX('[1]ATTENDANCE DAILY'!$I$4:$AM$663,$CC61,DAY(AS$14)))="T-Late","T-L",IF(_xlfn.SINGLE(INDEX('[1]ATTENDANCE DAILY'!$I$4:$AM$663,$CC61,DAY(AS$14)))="T-Cutting","T-C",INDEX('[1]ATTENDANCE DAILY'!$I$4:$AM$663,$CC61,DAY(AS$14)))))),IFERROR(IF(_xlpm._r=0,"",_xlpm._r),""))</f>
        <v/>
      </c>
      <c r="AT61" s="99"/>
      <c r="AU61" s="100" t="str">
        <f>_xlfn.LET(_xlpm._r,_xlfn.SINGLE(IF(OR($CC61="",AU$14="",AU$14&lt;_xlfn.SINGLE(INDEX('[1]ATTENDANCE DAILY'!$AV$4:$AV$663,$CC61)),AU$14&gt;_xlfn.SINGLE(INDEX('[1]ATTENDANCE DAILY'!$AW$4:$AW$663,$CC61))),"",IF(_xlfn.SINGLE(INDEX('[1]ATTENDANCE DAILY'!$I$4:$AM$663,$CC61,DAY(AU$14)))="T-Late","T-L",IF(_xlfn.SINGLE(INDEX('[1]ATTENDANCE DAILY'!$I$4:$AM$663,$CC61,DAY(AU$14)))="T-Cutting","T-C",INDEX('[1]ATTENDANCE DAILY'!$I$4:$AM$663,$CC61,DAY(AU$14)))))),IFERROR(IF(_xlpm._r=0,"",_xlpm._r),""))</f>
        <v/>
      </c>
      <c r="AV61" s="104" t="str">
        <f>_xlfn.LET(_xlpm._r,_xlfn.SINGLE(IF(OR($CC61="",AV$14="",AV$14&lt;_xlfn.SINGLE(INDEX('[1]ATTENDANCE DAILY'!$AV$4:$AV$663,$CC61)),AV$14&gt;_xlfn.SINGLE(INDEX('[1]ATTENDANCE DAILY'!$AW$4:$AW$663,$CC61))),"",IF(_xlfn.SINGLE(INDEX('[1]ATTENDANCE DAILY'!$I$4:$AM$663,$CC61,DAY(AV$14)))="T-Late","T-L",IF(_xlfn.SINGLE(INDEX('[1]ATTENDANCE DAILY'!$I$4:$AM$663,$CC61,DAY(AV$14)))="T-Cutting","T-C",INDEX('[1]ATTENDANCE DAILY'!$I$4:$AM$663,$CC61,DAY(AV$14)))))),IFERROR(IF(_xlpm._r=0,"",_xlpm._r),""))</f>
        <v/>
      </c>
      <c r="AW61" s="101" t="str">
        <f>_xlfn.LET(_xlpm._r,_xlfn.SINGLE(IF(OR($CC61="",AW$14="",AW$14&lt;_xlfn.SINGLE(INDEX('[1]ATTENDANCE DAILY'!$AV$4:$AV$663,$CC61)),AW$14&gt;_xlfn.SINGLE(INDEX('[1]ATTENDANCE DAILY'!$AW$4:$AW$663,$CC61))),"",IF(_xlfn.SINGLE(INDEX('[1]ATTENDANCE DAILY'!$I$4:$AM$663,$CC61,DAY(AW$14)))="T-Late","T-L",IF(_xlfn.SINGLE(INDEX('[1]ATTENDANCE DAILY'!$I$4:$AM$663,$CC61,DAY(AW$14)))="T-Cutting","T-C",INDEX('[1]ATTENDANCE DAILY'!$I$4:$AM$663,$CC61,DAY(AW$14)))))),IFERROR(IF(_xlpm._r=0,"",_xlpm._r),""))</f>
        <v/>
      </c>
      <c r="AX61" s="99"/>
      <c r="AY61" s="101" t="str">
        <f>_xlfn.LET(_xlpm._r,_xlfn.SINGLE(IF(OR($CC61="",AY$14="",AY$14&lt;_xlfn.SINGLE(INDEX('[1]ATTENDANCE DAILY'!$AV$4:$AV$663,$CC61)),AY$14&gt;_xlfn.SINGLE(INDEX('[1]ATTENDANCE DAILY'!$AW$4:$AW$663,$CC61))),"",IF(_xlfn.SINGLE(INDEX('[1]ATTENDANCE DAILY'!$I$4:$AM$663,$CC61,DAY(AY$14)))="T-Late","T-L",IF(_xlfn.SINGLE(INDEX('[1]ATTENDANCE DAILY'!$I$4:$AM$663,$CC61,DAY(AY$14)))="T-Cutting","T-C",INDEX('[1]ATTENDANCE DAILY'!$I$4:$AM$663,$CC61,DAY(AY$14)))))),IFERROR(IF(_xlpm._r=0,"",_xlpm._r),""))</f>
        <v/>
      </c>
      <c r="AZ61" s="102"/>
      <c r="BA61" s="99"/>
      <c r="BB61" s="101" t="str">
        <f>_xlfn.LET(_xlpm._r,_xlfn.SINGLE(IF(OR($CC61="",BB$14="",BB$14&lt;_xlfn.SINGLE(INDEX('[1]ATTENDANCE DAILY'!$AV$4:$AV$663,$CC61)),BB$14&gt;_xlfn.SINGLE(INDEX('[1]ATTENDANCE DAILY'!$AW$4:$AW$663,$CC61))),"",IF(_xlfn.SINGLE(INDEX('[1]ATTENDANCE DAILY'!$I$4:$AM$663,$CC61,DAY(BB$14)))="T-Late","T-L",IF(_xlfn.SINGLE(INDEX('[1]ATTENDANCE DAILY'!$I$4:$AM$663,$CC61,DAY(BB$14)))="T-Cutting","T-C",INDEX('[1]ATTENDANCE DAILY'!$I$4:$AM$663,$CC61,DAY(BB$14)))))),IFERROR(IF(_xlpm._r=0,"",_xlpm._r),""))</f>
        <v/>
      </c>
      <c r="BC61" s="99"/>
      <c r="BD61" s="100" t="str">
        <f>_xlfn.LET(_xlpm._r,_xlfn.SINGLE(IF(OR($CC61="",BD$14="",BD$14&lt;_xlfn.SINGLE(INDEX('[1]ATTENDANCE DAILY'!$AV$4:$AV$663,$CC61)),BD$14&gt;_xlfn.SINGLE(INDEX('[1]ATTENDANCE DAILY'!$AW$4:$AW$663,$CC61))),"",IF(_xlfn.SINGLE(INDEX('[1]ATTENDANCE DAILY'!$I$4:$AM$663,$CC61,DAY(BD$14)))="T-Late","T-L",IF(_xlfn.SINGLE(INDEX('[1]ATTENDANCE DAILY'!$I$4:$AM$663,$CC61,DAY(BD$14)))="T-Cutting","T-C",INDEX('[1]ATTENDANCE DAILY'!$I$4:$AM$663,$CC61,DAY(BD$14)))))),IFERROR(IF(_xlpm._r=0,"",_xlpm._r),""))</f>
        <v/>
      </c>
      <c r="BE61" s="101" t="str">
        <f>_xlfn.LET(_xlpm._r,_xlfn.SINGLE(IF(OR($CC61="",BE$14="",BE$14&lt;_xlfn.SINGLE(INDEX('[1]ATTENDANCE DAILY'!$AV$4:$AV$663,$CC61)),BE$14&gt;_xlfn.SINGLE(INDEX('[1]ATTENDANCE DAILY'!$AW$4:$AW$663,$CC61))),"",IF(_xlfn.SINGLE(INDEX('[1]ATTENDANCE DAILY'!$I$4:$AM$663,$CC61,DAY(BE$14)))="T-Late","T-L",IF(_xlfn.SINGLE(INDEX('[1]ATTENDANCE DAILY'!$I$4:$AM$663,$CC61,DAY(BE$14)))="T-Cutting","T-C",INDEX('[1]ATTENDANCE DAILY'!$I$4:$AM$663,$CC61,DAY(BE$14)))))),IFERROR(IF(_xlpm._r=0,"",_xlpm._r),""))</f>
        <v/>
      </c>
      <c r="BF61" s="102"/>
      <c r="BG61" s="102"/>
      <c r="BH61" s="103"/>
      <c r="BI61" s="105" t="str">
        <f>IF($CC61="","",INDEX('[1]ATTENDANCE DAILY'!$AR$4:$AR$663,$CC61))</f>
        <v/>
      </c>
      <c r="BJ61" s="106"/>
      <c r="BK61" s="107"/>
      <c r="BL61" s="105" t="str">
        <f>IF($CC61="","",INDEX('[1]ATTENDANCE DAILY'!$AS$4:$AS$663,$CC61))</f>
        <v/>
      </c>
      <c r="BM61" s="106"/>
      <c r="BN61" s="106"/>
      <c r="BO61" s="107"/>
      <c r="BP61" s="105" t="str">
        <f>IF($CC61="","",IF(INDEX('[1]ATTENDANCE DAILY'!$AN$4:$AN$663,$CC61)="","",INDEX('[1]ATTENDANCE DAILY'!$AN$4:$AN$663,$CC61)&amp;IF(INDEX('[1]ATTENDANCE DAILY'!$AO$4:$AO$663,$CC61)="",""," ("&amp;TEXT(INDEX('[1]ATTENDANCE DAILY'!$AO$4:$AO$663,$CC61),"mm-dd-yyyy")&amp;")")&amp;IF(INDEX('[1]ATTENDANCE DAILY'!$AP$4:$AP$663,$CC61)="",""," - "&amp;INDEX('[1]ATTENDANCE DAILY'!$AP$4:$AP$663,$CC61))))</f>
        <v/>
      </c>
      <c r="BQ61" s="106"/>
      <c r="BR61" s="106"/>
      <c r="BS61" s="106"/>
      <c r="BT61" s="106"/>
      <c r="BU61" s="106"/>
      <c r="BV61" s="106"/>
      <c r="BW61" s="106"/>
      <c r="BX61" s="106"/>
      <c r="BY61" s="106"/>
      <c r="BZ61" s="106"/>
      <c r="CA61" s="107"/>
      <c r="CC61" t="str">
        <f>IF(COUNTIFS('[1]ATTENDANCE DAILY'!$C$4:$C$663,$BN$11,'[1]ATTENDANCE DAILY'!$F$4:$F$663,"Female",'[1]ATTENDANCE DAILY'!$G$4:$G$663,1,'[1]ATTENDANCE DAILY'!$BA$4:$BA$663,18)=0,"",SUMIFS('[1]ATTENDANCE DAILY'!$A$4:$A$663,'[1]ATTENDANCE DAILY'!$C$4:$C$663,$BN$11,'[1]ATTENDANCE DAILY'!$F$4:$F$663,"Female",'[1]ATTENDANCE DAILY'!$G$4:$G$663,1,'[1]ATTENDANCE DAILY'!$BA$4:$BA$663,18))</f>
        <v/>
      </c>
    </row>
    <row r="62" spans="1:81" ht="19.95" customHeight="1" thickTop="1" thickBot="1">
      <c r="A62" s="92">
        <v>19</v>
      </c>
      <c r="B62" s="93"/>
      <c r="C62" s="93"/>
      <c r="D62" s="93"/>
      <c r="E62" s="93"/>
      <c r="F62" s="94"/>
      <c r="G62" s="95" t="str">
        <f>IF($CC62="","",INDEX('[1]ATTENDANCE DAILY'!$E$4:$E$663,$CC62))</f>
        <v/>
      </c>
      <c r="H62" s="96"/>
      <c r="I62" s="96"/>
      <c r="J62" s="97"/>
      <c r="K62" s="98" t="str">
        <f>_xlfn.LET(_xlpm._r,_xlfn.SINGLE(IF(OR($CC62="",K$14="",K$14&lt;_xlfn.SINGLE(INDEX('[1]ATTENDANCE DAILY'!$AV$4:$AV$663,$CC62)),K$14&gt;_xlfn.SINGLE(INDEX('[1]ATTENDANCE DAILY'!$AW$4:$AW$663,$CC62))),"",IF(_xlfn.SINGLE(INDEX('[1]ATTENDANCE DAILY'!$I$4:$AM$663,$CC62,DAY(K$14)))="T-Late","T-L",IF(_xlfn.SINGLE(INDEX('[1]ATTENDANCE DAILY'!$I$4:$AM$663,$CC62,DAY(K$14)))="T-Cutting","T-C",INDEX('[1]ATTENDANCE DAILY'!$I$4:$AM$663,$CC62,DAY(K$14)))))),IFERROR(IF(_xlpm._r=0,"",_xlpm._r),""))</f>
        <v/>
      </c>
      <c r="L62" s="99"/>
      <c r="M62" s="100" t="str">
        <f>_xlfn.LET(_xlpm._r,_xlfn.SINGLE(IF(OR($CC62="",M$14="",M$14&lt;_xlfn.SINGLE(INDEX('[1]ATTENDANCE DAILY'!$AV$4:$AV$663,$CC62)),M$14&gt;_xlfn.SINGLE(INDEX('[1]ATTENDANCE DAILY'!$AW$4:$AW$663,$CC62))),"",IF(_xlfn.SINGLE(INDEX('[1]ATTENDANCE DAILY'!$I$4:$AM$663,$CC62,DAY(M$14)))="T-Late","T-L",IF(_xlfn.SINGLE(INDEX('[1]ATTENDANCE DAILY'!$I$4:$AM$663,$CC62,DAY(M$14)))="T-Cutting","T-C",INDEX('[1]ATTENDANCE DAILY'!$I$4:$AM$663,$CC62,DAY(M$14)))))),IFERROR(IF(_xlpm._r=0,"",_xlpm._r),""))</f>
        <v/>
      </c>
      <c r="N62" s="100" t="str">
        <f>_xlfn.LET(_xlpm._r,_xlfn.SINGLE(IF(OR($CC62="",N$14="",N$14&lt;_xlfn.SINGLE(INDEX('[1]ATTENDANCE DAILY'!$AV$4:$AV$663,$CC62)),N$14&gt;_xlfn.SINGLE(INDEX('[1]ATTENDANCE DAILY'!$AW$4:$AW$663,$CC62))),"",IF(_xlfn.SINGLE(INDEX('[1]ATTENDANCE DAILY'!$I$4:$AM$663,$CC62,DAY(N$14)))="T-Late","T-L",IF(_xlfn.SINGLE(INDEX('[1]ATTENDANCE DAILY'!$I$4:$AM$663,$CC62,DAY(N$14)))="T-Cutting","T-C",INDEX('[1]ATTENDANCE DAILY'!$I$4:$AM$663,$CC62,DAY(N$14)))))),IFERROR(IF(_xlpm._r=0,"",_xlpm._r),""))</f>
        <v/>
      </c>
      <c r="O62" s="101" t="str">
        <f>_xlfn.LET(_xlpm._r,_xlfn.SINGLE(IF(OR($CC62="",O$14="",O$14&lt;_xlfn.SINGLE(INDEX('[1]ATTENDANCE DAILY'!$AV$4:$AV$663,$CC62)),O$14&gt;_xlfn.SINGLE(INDEX('[1]ATTENDANCE DAILY'!$AW$4:$AW$663,$CC62))),"",IF(_xlfn.SINGLE(INDEX('[1]ATTENDANCE DAILY'!$I$4:$AM$663,$CC62,DAY(O$14)))="T-Late","T-L",IF(_xlfn.SINGLE(INDEX('[1]ATTENDANCE DAILY'!$I$4:$AM$663,$CC62,DAY(O$14)))="T-Cutting","T-C",INDEX('[1]ATTENDANCE DAILY'!$I$4:$AM$663,$CC62,DAY(O$14)))))),IFERROR(IF(_xlpm._r=0,"",_xlpm._r),""))</f>
        <v/>
      </c>
      <c r="P62" s="102"/>
      <c r="Q62" s="102"/>
      <c r="R62" s="99"/>
      <c r="S62" s="101" t="str">
        <f>_xlfn.LET(_xlpm._r,_xlfn.SINGLE(IF(OR($CC62="",S$14="",S$14&lt;_xlfn.SINGLE(INDEX('[1]ATTENDANCE DAILY'!$AV$4:$AV$663,$CC62)),S$14&gt;_xlfn.SINGLE(INDEX('[1]ATTENDANCE DAILY'!$AW$4:$AW$663,$CC62))),"",IF(_xlfn.SINGLE(INDEX('[1]ATTENDANCE DAILY'!$I$4:$AM$663,$CC62,DAY(S$14)))="T-Late","T-L",IF(_xlfn.SINGLE(INDEX('[1]ATTENDANCE DAILY'!$I$4:$AM$663,$CC62,DAY(S$14)))="T-Cutting","T-C",INDEX('[1]ATTENDANCE DAILY'!$I$4:$AM$663,$CC62,DAY(S$14)))))),IFERROR(IF(_xlpm._r=0,"",_xlpm._r),""))</f>
        <v/>
      </c>
      <c r="T62" s="102"/>
      <c r="U62" s="103"/>
      <c r="V62" s="100" t="str">
        <f>_xlfn.LET(_xlpm._r,_xlfn.SINGLE(IF(OR($CC62="",V$14="",V$14&lt;_xlfn.SINGLE(INDEX('[1]ATTENDANCE DAILY'!$AV$4:$AV$663,$CC62)),V$14&gt;_xlfn.SINGLE(INDEX('[1]ATTENDANCE DAILY'!$AW$4:$AW$663,$CC62))),"",IF(_xlfn.SINGLE(INDEX('[1]ATTENDANCE DAILY'!$I$4:$AM$663,$CC62,DAY(V$14)))="T-Late","T-L",IF(_xlfn.SINGLE(INDEX('[1]ATTENDANCE DAILY'!$I$4:$AM$663,$CC62,DAY(V$14)))="T-Cutting","T-C",INDEX('[1]ATTENDANCE DAILY'!$I$4:$AM$663,$CC62,DAY(V$14)))))),IFERROR(IF(_xlpm._r=0,"",_xlpm._r),""))</f>
        <v/>
      </c>
      <c r="W62" s="101" t="str">
        <f>_xlfn.LET(_xlpm._r,_xlfn.SINGLE(IF(OR($CC62="",W$14="",W$14&lt;_xlfn.SINGLE(INDEX('[1]ATTENDANCE DAILY'!$AV$4:$AV$663,$CC62)),W$14&gt;_xlfn.SINGLE(INDEX('[1]ATTENDANCE DAILY'!$AW$4:$AW$663,$CC62))),"",IF(_xlfn.SINGLE(INDEX('[1]ATTENDANCE DAILY'!$I$4:$AM$663,$CC62,DAY(W$14)))="T-Late","T-L",IF(_xlfn.SINGLE(INDEX('[1]ATTENDANCE DAILY'!$I$4:$AM$663,$CC62,DAY(W$14)))="T-Cutting","T-C",INDEX('[1]ATTENDANCE DAILY'!$I$4:$AM$663,$CC62,DAY(W$14)))))),IFERROR(IF(_xlpm._r=0,"",_xlpm._r),""))</f>
        <v/>
      </c>
      <c r="X62" s="102"/>
      <c r="Y62" s="99"/>
      <c r="Z62" s="100" t="str">
        <f>_xlfn.LET(_xlpm._r,_xlfn.SINGLE(IF(OR($CC62="",Z$14="",Z$14&lt;_xlfn.SINGLE(INDEX('[1]ATTENDANCE DAILY'!$AV$4:$AV$663,$CC62)),Z$14&gt;_xlfn.SINGLE(INDEX('[1]ATTENDANCE DAILY'!$AW$4:$AW$663,$CC62))),"",IF(_xlfn.SINGLE(INDEX('[1]ATTENDANCE DAILY'!$I$4:$AM$663,$CC62,DAY(Z$14)))="T-Late","T-L",IF(_xlfn.SINGLE(INDEX('[1]ATTENDANCE DAILY'!$I$4:$AM$663,$CC62,DAY(Z$14)))="T-Cutting","T-C",INDEX('[1]ATTENDANCE DAILY'!$I$4:$AM$663,$CC62,DAY(Z$14)))))),IFERROR(IF(_xlpm._r=0,"",_xlpm._r),""))</f>
        <v/>
      </c>
      <c r="AA62" s="100" t="str">
        <f>_xlfn.LET(_xlpm._r,_xlfn.SINGLE(IF(OR($CC62="",AA$14="",AA$14&lt;_xlfn.SINGLE(INDEX('[1]ATTENDANCE DAILY'!$AV$4:$AV$663,$CC62)),AA$14&gt;_xlfn.SINGLE(INDEX('[1]ATTENDANCE DAILY'!$AW$4:$AW$663,$CC62))),"",IF(_xlfn.SINGLE(INDEX('[1]ATTENDANCE DAILY'!$I$4:$AM$663,$CC62,DAY(AA$14)))="T-Late","T-L",IF(_xlfn.SINGLE(INDEX('[1]ATTENDANCE DAILY'!$I$4:$AM$663,$CC62,DAY(AA$14)))="T-Cutting","T-C",INDEX('[1]ATTENDANCE DAILY'!$I$4:$AM$663,$CC62,DAY(AA$14)))))),IFERROR(IF(_xlpm._r=0,"",_xlpm._r),""))</f>
        <v/>
      </c>
      <c r="AB62" s="101" t="str">
        <f>_xlfn.LET(_xlpm._r,_xlfn.SINGLE(IF(OR($CC62="",AB$14="",AB$14&lt;_xlfn.SINGLE(INDEX('[1]ATTENDANCE DAILY'!$AV$4:$AV$663,$CC62)),AB$14&gt;_xlfn.SINGLE(INDEX('[1]ATTENDANCE DAILY'!$AW$4:$AW$663,$CC62))),"",IF(_xlfn.SINGLE(INDEX('[1]ATTENDANCE DAILY'!$I$4:$AM$663,$CC62,DAY(AB$14)))="T-Late","T-L",IF(_xlfn.SINGLE(INDEX('[1]ATTENDANCE DAILY'!$I$4:$AM$663,$CC62,DAY(AB$14)))="T-Cutting","T-C",INDEX('[1]ATTENDANCE DAILY'!$I$4:$AM$663,$CC62,DAY(AB$14)))))),IFERROR(IF(_xlpm._r=0,"",_xlpm._r),""))</f>
        <v/>
      </c>
      <c r="AC62" s="102"/>
      <c r="AD62" s="103"/>
      <c r="AE62" s="101" t="str">
        <f>_xlfn.LET(_xlpm._r,_xlfn.SINGLE(IF(OR($CC62="",AE$14="",AE$14&lt;_xlfn.SINGLE(INDEX('[1]ATTENDANCE DAILY'!$AV$4:$AV$663,$CC62)),AE$14&gt;_xlfn.SINGLE(INDEX('[1]ATTENDANCE DAILY'!$AW$4:$AW$663,$CC62))),"",IF(_xlfn.SINGLE(INDEX('[1]ATTENDANCE DAILY'!$I$4:$AM$663,$CC62,DAY(AE$14)))="T-Late","T-L",IF(_xlfn.SINGLE(INDEX('[1]ATTENDANCE DAILY'!$I$4:$AM$663,$CC62,DAY(AE$14)))="T-Cutting","T-C",INDEX('[1]ATTENDANCE DAILY'!$I$4:$AM$663,$CC62,DAY(AE$14)))))),IFERROR(IF(_xlpm._r=0,"",_xlpm._r),""))</f>
        <v/>
      </c>
      <c r="AF62" s="102"/>
      <c r="AG62" s="99"/>
      <c r="AH62" s="100" t="str">
        <f>_xlfn.LET(_xlpm._r,_xlfn.SINGLE(IF(OR($CC62="",AH$14="",AH$14&lt;_xlfn.SINGLE(INDEX('[1]ATTENDANCE DAILY'!$AV$4:$AV$663,$CC62)),AH$14&gt;_xlfn.SINGLE(INDEX('[1]ATTENDANCE DAILY'!$AW$4:$AW$663,$CC62))),"",IF(_xlfn.SINGLE(INDEX('[1]ATTENDANCE DAILY'!$I$4:$AM$663,$CC62,DAY(AH$14)))="T-Late","T-L",IF(_xlfn.SINGLE(INDEX('[1]ATTENDANCE DAILY'!$I$4:$AM$663,$CC62,DAY(AH$14)))="T-Cutting","T-C",INDEX('[1]ATTENDANCE DAILY'!$I$4:$AM$663,$CC62,DAY(AH$14)))))),IFERROR(IF(_xlpm._r=0,"",_xlpm._r),""))</f>
        <v/>
      </c>
      <c r="AI62" s="101" t="str">
        <f>_xlfn.LET(_xlpm._r,_xlfn.SINGLE(IF(OR($CC62="",AI$14="",AI$14&lt;_xlfn.SINGLE(INDEX('[1]ATTENDANCE DAILY'!$AV$4:$AV$663,$CC62)),AI$14&gt;_xlfn.SINGLE(INDEX('[1]ATTENDANCE DAILY'!$AW$4:$AW$663,$CC62))),"",IF(_xlfn.SINGLE(INDEX('[1]ATTENDANCE DAILY'!$I$4:$AM$663,$CC62,DAY(AI$14)))="T-Late","T-L",IF(_xlfn.SINGLE(INDEX('[1]ATTENDANCE DAILY'!$I$4:$AM$663,$CC62,DAY(AI$14)))="T-Cutting","T-C",INDEX('[1]ATTENDANCE DAILY'!$I$4:$AM$663,$CC62,DAY(AI$14)))))),IFERROR(IF(_xlpm._r=0,"",_xlpm._r),""))</f>
        <v/>
      </c>
      <c r="AJ62" s="102"/>
      <c r="AK62" s="99"/>
      <c r="AL62" s="101" t="str">
        <f>_xlfn.LET(_xlpm._r,_xlfn.SINGLE(IF(OR($CC62="",AL$14="",AL$14&lt;_xlfn.SINGLE(INDEX('[1]ATTENDANCE DAILY'!$AV$4:$AV$663,$CC62)),AL$14&gt;_xlfn.SINGLE(INDEX('[1]ATTENDANCE DAILY'!$AW$4:$AW$663,$CC62))),"",IF(_xlfn.SINGLE(INDEX('[1]ATTENDANCE DAILY'!$I$4:$AM$663,$CC62,DAY(AL$14)))="T-Late","T-L",IF(_xlfn.SINGLE(INDEX('[1]ATTENDANCE DAILY'!$I$4:$AM$663,$CC62,DAY(AL$14)))="T-Cutting","T-C",INDEX('[1]ATTENDANCE DAILY'!$I$4:$AM$663,$CC62,DAY(AL$14)))))),IFERROR(IF(_xlpm._r=0,"",_xlpm._r),""))</f>
        <v/>
      </c>
      <c r="AM62" s="99"/>
      <c r="AN62" s="101" t="str">
        <f>_xlfn.LET(_xlpm._r,_xlfn.SINGLE(IF(OR($CC62="",AN$14="",AN$14&lt;_xlfn.SINGLE(INDEX('[1]ATTENDANCE DAILY'!$AV$4:$AV$663,$CC62)),AN$14&gt;_xlfn.SINGLE(INDEX('[1]ATTENDANCE DAILY'!$AW$4:$AW$663,$CC62))),"",IF(_xlfn.SINGLE(INDEX('[1]ATTENDANCE DAILY'!$I$4:$AM$663,$CC62,DAY(AN$14)))="T-Late","T-L",IF(_xlfn.SINGLE(INDEX('[1]ATTENDANCE DAILY'!$I$4:$AM$663,$CC62,DAY(AN$14)))="T-Cutting","T-C",INDEX('[1]ATTENDANCE DAILY'!$I$4:$AM$663,$CC62,DAY(AN$14)))))),IFERROR(IF(_xlpm._r=0,"",_xlpm._r),""))</f>
        <v/>
      </c>
      <c r="AO62" s="103"/>
      <c r="AP62" s="101" t="str">
        <f>_xlfn.LET(_xlpm._r,_xlfn.SINGLE(IF(OR($CC62="",AP$14="",AP$14&lt;_xlfn.SINGLE(INDEX('[1]ATTENDANCE DAILY'!$AV$4:$AV$663,$CC62)),AP$14&gt;_xlfn.SINGLE(INDEX('[1]ATTENDANCE DAILY'!$AW$4:$AW$663,$CC62))),"",IF(_xlfn.SINGLE(INDEX('[1]ATTENDANCE DAILY'!$I$4:$AM$663,$CC62,DAY(AP$14)))="T-Late","T-L",IF(_xlfn.SINGLE(INDEX('[1]ATTENDANCE DAILY'!$I$4:$AM$663,$CC62,DAY(AP$14)))="T-Cutting","T-C",INDEX('[1]ATTENDANCE DAILY'!$I$4:$AM$663,$CC62,DAY(AP$14)))))),IFERROR(IF(_xlpm._r=0,"",_xlpm._r),""))</f>
        <v/>
      </c>
      <c r="AQ62" s="99"/>
      <c r="AR62" s="100" t="str">
        <f>_xlfn.LET(_xlpm._r,_xlfn.SINGLE(IF(OR($CC62="",AR$14="",AR$14&lt;_xlfn.SINGLE(INDEX('[1]ATTENDANCE DAILY'!$AV$4:$AV$663,$CC62)),AR$14&gt;_xlfn.SINGLE(INDEX('[1]ATTENDANCE DAILY'!$AW$4:$AW$663,$CC62))),"",IF(_xlfn.SINGLE(INDEX('[1]ATTENDANCE DAILY'!$I$4:$AM$663,$CC62,DAY(AR$14)))="T-Late","T-L",IF(_xlfn.SINGLE(INDEX('[1]ATTENDANCE DAILY'!$I$4:$AM$663,$CC62,DAY(AR$14)))="T-Cutting","T-C",INDEX('[1]ATTENDANCE DAILY'!$I$4:$AM$663,$CC62,DAY(AR$14)))))),IFERROR(IF(_xlpm._r=0,"",_xlpm._r),""))</f>
        <v/>
      </c>
      <c r="AS62" s="101" t="str">
        <f>_xlfn.LET(_xlpm._r,_xlfn.SINGLE(IF(OR($CC62="",AS$14="",AS$14&lt;_xlfn.SINGLE(INDEX('[1]ATTENDANCE DAILY'!$AV$4:$AV$663,$CC62)),AS$14&gt;_xlfn.SINGLE(INDEX('[1]ATTENDANCE DAILY'!$AW$4:$AW$663,$CC62))),"",IF(_xlfn.SINGLE(INDEX('[1]ATTENDANCE DAILY'!$I$4:$AM$663,$CC62,DAY(AS$14)))="T-Late","T-L",IF(_xlfn.SINGLE(INDEX('[1]ATTENDANCE DAILY'!$I$4:$AM$663,$CC62,DAY(AS$14)))="T-Cutting","T-C",INDEX('[1]ATTENDANCE DAILY'!$I$4:$AM$663,$CC62,DAY(AS$14)))))),IFERROR(IF(_xlpm._r=0,"",_xlpm._r),""))</f>
        <v/>
      </c>
      <c r="AT62" s="99"/>
      <c r="AU62" s="100" t="str">
        <f>_xlfn.LET(_xlpm._r,_xlfn.SINGLE(IF(OR($CC62="",AU$14="",AU$14&lt;_xlfn.SINGLE(INDEX('[1]ATTENDANCE DAILY'!$AV$4:$AV$663,$CC62)),AU$14&gt;_xlfn.SINGLE(INDEX('[1]ATTENDANCE DAILY'!$AW$4:$AW$663,$CC62))),"",IF(_xlfn.SINGLE(INDEX('[1]ATTENDANCE DAILY'!$I$4:$AM$663,$CC62,DAY(AU$14)))="T-Late","T-L",IF(_xlfn.SINGLE(INDEX('[1]ATTENDANCE DAILY'!$I$4:$AM$663,$CC62,DAY(AU$14)))="T-Cutting","T-C",INDEX('[1]ATTENDANCE DAILY'!$I$4:$AM$663,$CC62,DAY(AU$14)))))),IFERROR(IF(_xlpm._r=0,"",_xlpm._r),""))</f>
        <v/>
      </c>
      <c r="AV62" s="104" t="str">
        <f>_xlfn.LET(_xlpm._r,_xlfn.SINGLE(IF(OR($CC62="",AV$14="",AV$14&lt;_xlfn.SINGLE(INDEX('[1]ATTENDANCE DAILY'!$AV$4:$AV$663,$CC62)),AV$14&gt;_xlfn.SINGLE(INDEX('[1]ATTENDANCE DAILY'!$AW$4:$AW$663,$CC62))),"",IF(_xlfn.SINGLE(INDEX('[1]ATTENDANCE DAILY'!$I$4:$AM$663,$CC62,DAY(AV$14)))="T-Late","T-L",IF(_xlfn.SINGLE(INDEX('[1]ATTENDANCE DAILY'!$I$4:$AM$663,$CC62,DAY(AV$14)))="T-Cutting","T-C",INDEX('[1]ATTENDANCE DAILY'!$I$4:$AM$663,$CC62,DAY(AV$14)))))),IFERROR(IF(_xlpm._r=0,"",_xlpm._r),""))</f>
        <v/>
      </c>
      <c r="AW62" s="101" t="str">
        <f>_xlfn.LET(_xlpm._r,_xlfn.SINGLE(IF(OR($CC62="",AW$14="",AW$14&lt;_xlfn.SINGLE(INDEX('[1]ATTENDANCE DAILY'!$AV$4:$AV$663,$CC62)),AW$14&gt;_xlfn.SINGLE(INDEX('[1]ATTENDANCE DAILY'!$AW$4:$AW$663,$CC62))),"",IF(_xlfn.SINGLE(INDEX('[1]ATTENDANCE DAILY'!$I$4:$AM$663,$CC62,DAY(AW$14)))="T-Late","T-L",IF(_xlfn.SINGLE(INDEX('[1]ATTENDANCE DAILY'!$I$4:$AM$663,$CC62,DAY(AW$14)))="T-Cutting","T-C",INDEX('[1]ATTENDANCE DAILY'!$I$4:$AM$663,$CC62,DAY(AW$14)))))),IFERROR(IF(_xlpm._r=0,"",_xlpm._r),""))</f>
        <v/>
      </c>
      <c r="AX62" s="99"/>
      <c r="AY62" s="101" t="str">
        <f>_xlfn.LET(_xlpm._r,_xlfn.SINGLE(IF(OR($CC62="",AY$14="",AY$14&lt;_xlfn.SINGLE(INDEX('[1]ATTENDANCE DAILY'!$AV$4:$AV$663,$CC62)),AY$14&gt;_xlfn.SINGLE(INDEX('[1]ATTENDANCE DAILY'!$AW$4:$AW$663,$CC62))),"",IF(_xlfn.SINGLE(INDEX('[1]ATTENDANCE DAILY'!$I$4:$AM$663,$CC62,DAY(AY$14)))="T-Late","T-L",IF(_xlfn.SINGLE(INDEX('[1]ATTENDANCE DAILY'!$I$4:$AM$663,$CC62,DAY(AY$14)))="T-Cutting","T-C",INDEX('[1]ATTENDANCE DAILY'!$I$4:$AM$663,$CC62,DAY(AY$14)))))),IFERROR(IF(_xlpm._r=0,"",_xlpm._r),""))</f>
        <v/>
      </c>
      <c r="AZ62" s="102"/>
      <c r="BA62" s="99"/>
      <c r="BB62" s="101" t="str">
        <f>_xlfn.LET(_xlpm._r,_xlfn.SINGLE(IF(OR($CC62="",BB$14="",BB$14&lt;_xlfn.SINGLE(INDEX('[1]ATTENDANCE DAILY'!$AV$4:$AV$663,$CC62)),BB$14&gt;_xlfn.SINGLE(INDEX('[1]ATTENDANCE DAILY'!$AW$4:$AW$663,$CC62))),"",IF(_xlfn.SINGLE(INDEX('[1]ATTENDANCE DAILY'!$I$4:$AM$663,$CC62,DAY(BB$14)))="T-Late","T-L",IF(_xlfn.SINGLE(INDEX('[1]ATTENDANCE DAILY'!$I$4:$AM$663,$CC62,DAY(BB$14)))="T-Cutting","T-C",INDEX('[1]ATTENDANCE DAILY'!$I$4:$AM$663,$CC62,DAY(BB$14)))))),IFERROR(IF(_xlpm._r=0,"",_xlpm._r),""))</f>
        <v/>
      </c>
      <c r="BC62" s="99"/>
      <c r="BD62" s="100" t="str">
        <f>_xlfn.LET(_xlpm._r,_xlfn.SINGLE(IF(OR($CC62="",BD$14="",BD$14&lt;_xlfn.SINGLE(INDEX('[1]ATTENDANCE DAILY'!$AV$4:$AV$663,$CC62)),BD$14&gt;_xlfn.SINGLE(INDEX('[1]ATTENDANCE DAILY'!$AW$4:$AW$663,$CC62))),"",IF(_xlfn.SINGLE(INDEX('[1]ATTENDANCE DAILY'!$I$4:$AM$663,$CC62,DAY(BD$14)))="T-Late","T-L",IF(_xlfn.SINGLE(INDEX('[1]ATTENDANCE DAILY'!$I$4:$AM$663,$CC62,DAY(BD$14)))="T-Cutting","T-C",INDEX('[1]ATTENDANCE DAILY'!$I$4:$AM$663,$CC62,DAY(BD$14)))))),IFERROR(IF(_xlpm._r=0,"",_xlpm._r),""))</f>
        <v/>
      </c>
      <c r="BE62" s="101" t="str">
        <f>_xlfn.LET(_xlpm._r,_xlfn.SINGLE(IF(OR($CC62="",BE$14="",BE$14&lt;_xlfn.SINGLE(INDEX('[1]ATTENDANCE DAILY'!$AV$4:$AV$663,$CC62)),BE$14&gt;_xlfn.SINGLE(INDEX('[1]ATTENDANCE DAILY'!$AW$4:$AW$663,$CC62))),"",IF(_xlfn.SINGLE(INDEX('[1]ATTENDANCE DAILY'!$I$4:$AM$663,$CC62,DAY(BE$14)))="T-Late","T-L",IF(_xlfn.SINGLE(INDEX('[1]ATTENDANCE DAILY'!$I$4:$AM$663,$CC62,DAY(BE$14)))="T-Cutting","T-C",INDEX('[1]ATTENDANCE DAILY'!$I$4:$AM$663,$CC62,DAY(BE$14)))))),IFERROR(IF(_xlpm._r=0,"",_xlpm._r),""))</f>
        <v/>
      </c>
      <c r="BF62" s="102"/>
      <c r="BG62" s="102"/>
      <c r="BH62" s="103"/>
      <c r="BI62" s="105" t="str">
        <f>IF($CC62="","",INDEX('[1]ATTENDANCE DAILY'!$AR$4:$AR$663,$CC62))</f>
        <v/>
      </c>
      <c r="BJ62" s="106"/>
      <c r="BK62" s="107"/>
      <c r="BL62" s="105" t="str">
        <f>IF($CC62="","",INDEX('[1]ATTENDANCE DAILY'!$AS$4:$AS$663,$CC62))</f>
        <v/>
      </c>
      <c r="BM62" s="106"/>
      <c r="BN62" s="106"/>
      <c r="BO62" s="107"/>
      <c r="BP62" s="105" t="str">
        <f>IF($CC62="","",IF(INDEX('[1]ATTENDANCE DAILY'!$AN$4:$AN$663,$CC62)="","",INDEX('[1]ATTENDANCE DAILY'!$AN$4:$AN$663,$CC62)&amp;IF(INDEX('[1]ATTENDANCE DAILY'!$AO$4:$AO$663,$CC62)="",""," ("&amp;TEXT(INDEX('[1]ATTENDANCE DAILY'!$AO$4:$AO$663,$CC62),"mm-dd-yyyy")&amp;")")&amp;IF(INDEX('[1]ATTENDANCE DAILY'!$AP$4:$AP$663,$CC62)="",""," - "&amp;INDEX('[1]ATTENDANCE DAILY'!$AP$4:$AP$663,$CC62))))</f>
        <v/>
      </c>
      <c r="BQ62" s="106"/>
      <c r="BR62" s="106"/>
      <c r="BS62" s="106"/>
      <c r="BT62" s="106"/>
      <c r="BU62" s="106"/>
      <c r="BV62" s="106"/>
      <c r="BW62" s="106"/>
      <c r="BX62" s="106"/>
      <c r="BY62" s="106"/>
      <c r="BZ62" s="106"/>
      <c r="CA62" s="107"/>
      <c r="CC62" t="str">
        <f>IF(COUNTIFS('[1]ATTENDANCE DAILY'!$C$4:$C$663,$BN$11,'[1]ATTENDANCE DAILY'!$F$4:$F$663,"Female",'[1]ATTENDANCE DAILY'!$G$4:$G$663,1,'[1]ATTENDANCE DAILY'!$BA$4:$BA$663,19)=0,"",SUMIFS('[1]ATTENDANCE DAILY'!$A$4:$A$663,'[1]ATTENDANCE DAILY'!$C$4:$C$663,$BN$11,'[1]ATTENDANCE DAILY'!$F$4:$F$663,"Female",'[1]ATTENDANCE DAILY'!$G$4:$G$663,1,'[1]ATTENDANCE DAILY'!$BA$4:$BA$663,19))</f>
        <v/>
      </c>
    </row>
    <row r="63" spans="1:81" ht="19.95" customHeight="1" thickTop="1" thickBot="1">
      <c r="A63" s="92">
        <v>20</v>
      </c>
      <c r="B63" s="93"/>
      <c r="C63" s="93"/>
      <c r="D63" s="93"/>
      <c r="E63" s="93"/>
      <c r="F63" s="94"/>
      <c r="G63" s="95" t="str">
        <f>IF($CC63="","",INDEX('[1]ATTENDANCE DAILY'!$E$4:$E$663,$CC63))</f>
        <v/>
      </c>
      <c r="H63" s="96"/>
      <c r="I63" s="96"/>
      <c r="J63" s="97"/>
      <c r="K63" s="98" t="str">
        <f>_xlfn.LET(_xlpm._r,_xlfn.SINGLE(IF(OR($CC63="",K$14="",K$14&lt;_xlfn.SINGLE(INDEX('[1]ATTENDANCE DAILY'!$AV$4:$AV$663,$CC63)),K$14&gt;_xlfn.SINGLE(INDEX('[1]ATTENDANCE DAILY'!$AW$4:$AW$663,$CC63))),"",IF(_xlfn.SINGLE(INDEX('[1]ATTENDANCE DAILY'!$I$4:$AM$663,$CC63,DAY(K$14)))="T-Late","T-L",IF(_xlfn.SINGLE(INDEX('[1]ATTENDANCE DAILY'!$I$4:$AM$663,$CC63,DAY(K$14)))="T-Cutting","T-C",INDEX('[1]ATTENDANCE DAILY'!$I$4:$AM$663,$CC63,DAY(K$14)))))),IFERROR(IF(_xlpm._r=0,"",_xlpm._r),""))</f>
        <v/>
      </c>
      <c r="L63" s="99"/>
      <c r="M63" s="100" t="str">
        <f>_xlfn.LET(_xlpm._r,_xlfn.SINGLE(IF(OR($CC63="",M$14="",M$14&lt;_xlfn.SINGLE(INDEX('[1]ATTENDANCE DAILY'!$AV$4:$AV$663,$CC63)),M$14&gt;_xlfn.SINGLE(INDEX('[1]ATTENDANCE DAILY'!$AW$4:$AW$663,$CC63))),"",IF(_xlfn.SINGLE(INDEX('[1]ATTENDANCE DAILY'!$I$4:$AM$663,$CC63,DAY(M$14)))="T-Late","T-L",IF(_xlfn.SINGLE(INDEX('[1]ATTENDANCE DAILY'!$I$4:$AM$663,$CC63,DAY(M$14)))="T-Cutting","T-C",INDEX('[1]ATTENDANCE DAILY'!$I$4:$AM$663,$CC63,DAY(M$14)))))),IFERROR(IF(_xlpm._r=0,"",_xlpm._r),""))</f>
        <v/>
      </c>
      <c r="N63" s="100" t="str">
        <f>_xlfn.LET(_xlpm._r,_xlfn.SINGLE(IF(OR($CC63="",N$14="",N$14&lt;_xlfn.SINGLE(INDEX('[1]ATTENDANCE DAILY'!$AV$4:$AV$663,$CC63)),N$14&gt;_xlfn.SINGLE(INDEX('[1]ATTENDANCE DAILY'!$AW$4:$AW$663,$CC63))),"",IF(_xlfn.SINGLE(INDEX('[1]ATTENDANCE DAILY'!$I$4:$AM$663,$CC63,DAY(N$14)))="T-Late","T-L",IF(_xlfn.SINGLE(INDEX('[1]ATTENDANCE DAILY'!$I$4:$AM$663,$CC63,DAY(N$14)))="T-Cutting","T-C",INDEX('[1]ATTENDANCE DAILY'!$I$4:$AM$663,$CC63,DAY(N$14)))))),IFERROR(IF(_xlpm._r=0,"",_xlpm._r),""))</f>
        <v/>
      </c>
      <c r="O63" s="101" t="str">
        <f>_xlfn.LET(_xlpm._r,_xlfn.SINGLE(IF(OR($CC63="",O$14="",O$14&lt;_xlfn.SINGLE(INDEX('[1]ATTENDANCE DAILY'!$AV$4:$AV$663,$CC63)),O$14&gt;_xlfn.SINGLE(INDEX('[1]ATTENDANCE DAILY'!$AW$4:$AW$663,$CC63))),"",IF(_xlfn.SINGLE(INDEX('[1]ATTENDANCE DAILY'!$I$4:$AM$663,$CC63,DAY(O$14)))="T-Late","T-L",IF(_xlfn.SINGLE(INDEX('[1]ATTENDANCE DAILY'!$I$4:$AM$663,$CC63,DAY(O$14)))="T-Cutting","T-C",INDEX('[1]ATTENDANCE DAILY'!$I$4:$AM$663,$CC63,DAY(O$14)))))),IFERROR(IF(_xlpm._r=0,"",_xlpm._r),""))</f>
        <v/>
      </c>
      <c r="P63" s="102"/>
      <c r="Q63" s="102"/>
      <c r="R63" s="99"/>
      <c r="S63" s="101" t="str">
        <f>_xlfn.LET(_xlpm._r,_xlfn.SINGLE(IF(OR($CC63="",S$14="",S$14&lt;_xlfn.SINGLE(INDEX('[1]ATTENDANCE DAILY'!$AV$4:$AV$663,$CC63)),S$14&gt;_xlfn.SINGLE(INDEX('[1]ATTENDANCE DAILY'!$AW$4:$AW$663,$CC63))),"",IF(_xlfn.SINGLE(INDEX('[1]ATTENDANCE DAILY'!$I$4:$AM$663,$CC63,DAY(S$14)))="T-Late","T-L",IF(_xlfn.SINGLE(INDEX('[1]ATTENDANCE DAILY'!$I$4:$AM$663,$CC63,DAY(S$14)))="T-Cutting","T-C",INDEX('[1]ATTENDANCE DAILY'!$I$4:$AM$663,$CC63,DAY(S$14)))))),IFERROR(IF(_xlpm._r=0,"",_xlpm._r),""))</f>
        <v/>
      </c>
      <c r="T63" s="102"/>
      <c r="U63" s="103"/>
      <c r="V63" s="100" t="str">
        <f>_xlfn.LET(_xlpm._r,_xlfn.SINGLE(IF(OR($CC63="",V$14="",V$14&lt;_xlfn.SINGLE(INDEX('[1]ATTENDANCE DAILY'!$AV$4:$AV$663,$CC63)),V$14&gt;_xlfn.SINGLE(INDEX('[1]ATTENDANCE DAILY'!$AW$4:$AW$663,$CC63))),"",IF(_xlfn.SINGLE(INDEX('[1]ATTENDANCE DAILY'!$I$4:$AM$663,$CC63,DAY(V$14)))="T-Late","T-L",IF(_xlfn.SINGLE(INDEX('[1]ATTENDANCE DAILY'!$I$4:$AM$663,$CC63,DAY(V$14)))="T-Cutting","T-C",INDEX('[1]ATTENDANCE DAILY'!$I$4:$AM$663,$CC63,DAY(V$14)))))),IFERROR(IF(_xlpm._r=0,"",_xlpm._r),""))</f>
        <v/>
      </c>
      <c r="W63" s="101" t="str">
        <f>_xlfn.LET(_xlpm._r,_xlfn.SINGLE(IF(OR($CC63="",W$14="",W$14&lt;_xlfn.SINGLE(INDEX('[1]ATTENDANCE DAILY'!$AV$4:$AV$663,$CC63)),W$14&gt;_xlfn.SINGLE(INDEX('[1]ATTENDANCE DAILY'!$AW$4:$AW$663,$CC63))),"",IF(_xlfn.SINGLE(INDEX('[1]ATTENDANCE DAILY'!$I$4:$AM$663,$CC63,DAY(W$14)))="T-Late","T-L",IF(_xlfn.SINGLE(INDEX('[1]ATTENDANCE DAILY'!$I$4:$AM$663,$CC63,DAY(W$14)))="T-Cutting","T-C",INDEX('[1]ATTENDANCE DAILY'!$I$4:$AM$663,$CC63,DAY(W$14)))))),IFERROR(IF(_xlpm._r=0,"",_xlpm._r),""))</f>
        <v/>
      </c>
      <c r="X63" s="102"/>
      <c r="Y63" s="99"/>
      <c r="Z63" s="100" t="str">
        <f>_xlfn.LET(_xlpm._r,_xlfn.SINGLE(IF(OR($CC63="",Z$14="",Z$14&lt;_xlfn.SINGLE(INDEX('[1]ATTENDANCE DAILY'!$AV$4:$AV$663,$CC63)),Z$14&gt;_xlfn.SINGLE(INDEX('[1]ATTENDANCE DAILY'!$AW$4:$AW$663,$CC63))),"",IF(_xlfn.SINGLE(INDEX('[1]ATTENDANCE DAILY'!$I$4:$AM$663,$CC63,DAY(Z$14)))="T-Late","T-L",IF(_xlfn.SINGLE(INDEX('[1]ATTENDANCE DAILY'!$I$4:$AM$663,$CC63,DAY(Z$14)))="T-Cutting","T-C",INDEX('[1]ATTENDANCE DAILY'!$I$4:$AM$663,$CC63,DAY(Z$14)))))),IFERROR(IF(_xlpm._r=0,"",_xlpm._r),""))</f>
        <v/>
      </c>
      <c r="AA63" s="100" t="str">
        <f>_xlfn.LET(_xlpm._r,_xlfn.SINGLE(IF(OR($CC63="",AA$14="",AA$14&lt;_xlfn.SINGLE(INDEX('[1]ATTENDANCE DAILY'!$AV$4:$AV$663,$CC63)),AA$14&gt;_xlfn.SINGLE(INDEX('[1]ATTENDANCE DAILY'!$AW$4:$AW$663,$CC63))),"",IF(_xlfn.SINGLE(INDEX('[1]ATTENDANCE DAILY'!$I$4:$AM$663,$CC63,DAY(AA$14)))="T-Late","T-L",IF(_xlfn.SINGLE(INDEX('[1]ATTENDANCE DAILY'!$I$4:$AM$663,$CC63,DAY(AA$14)))="T-Cutting","T-C",INDEX('[1]ATTENDANCE DAILY'!$I$4:$AM$663,$CC63,DAY(AA$14)))))),IFERROR(IF(_xlpm._r=0,"",_xlpm._r),""))</f>
        <v/>
      </c>
      <c r="AB63" s="101" t="str">
        <f>_xlfn.LET(_xlpm._r,_xlfn.SINGLE(IF(OR($CC63="",AB$14="",AB$14&lt;_xlfn.SINGLE(INDEX('[1]ATTENDANCE DAILY'!$AV$4:$AV$663,$CC63)),AB$14&gt;_xlfn.SINGLE(INDEX('[1]ATTENDANCE DAILY'!$AW$4:$AW$663,$CC63))),"",IF(_xlfn.SINGLE(INDEX('[1]ATTENDANCE DAILY'!$I$4:$AM$663,$CC63,DAY(AB$14)))="T-Late","T-L",IF(_xlfn.SINGLE(INDEX('[1]ATTENDANCE DAILY'!$I$4:$AM$663,$CC63,DAY(AB$14)))="T-Cutting","T-C",INDEX('[1]ATTENDANCE DAILY'!$I$4:$AM$663,$CC63,DAY(AB$14)))))),IFERROR(IF(_xlpm._r=0,"",_xlpm._r),""))</f>
        <v/>
      </c>
      <c r="AC63" s="102"/>
      <c r="AD63" s="103"/>
      <c r="AE63" s="101" t="str">
        <f>_xlfn.LET(_xlpm._r,_xlfn.SINGLE(IF(OR($CC63="",AE$14="",AE$14&lt;_xlfn.SINGLE(INDEX('[1]ATTENDANCE DAILY'!$AV$4:$AV$663,$CC63)),AE$14&gt;_xlfn.SINGLE(INDEX('[1]ATTENDANCE DAILY'!$AW$4:$AW$663,$CC63))),"",IF(_xlfn.SINGLE(INDEX('[1]ATTENDANCE DAILY'!$I$4:$AM$663,$CC63,DAY(AE$14)))="T-Late","T-L",IF(_xlfn.SINGLE(INDEX('[1]ATTENDANCE DAILY'!$I$4:$AM$663,$CC63,DAY(AE$14)))="T-Cutting","T-C",INDEX('[1]ATTENDANCE DAILY'!$I$4:$AM$663,$CC63,DAY(AE$14)))))),IFERROR(IF(_xlpm._r=0,"",_xlpm._r),""))</f>
        <v/>
      </c>
      <c r="AF63" s="102"/>
      <c r="AG63" s="99"/>
      <c r="AH63" s="100" t="str">
        <f>_xlfn.LET(_xlpm._r,_xlfn.SINGLE(IF(OR($CC63="",AH$14="",AH$14&lt;_xlfn.SINGLE(INDEX('[1]ATTENDANCE DAILY'!$AV$4:$AV$663,$CC63)),AH$14&gt;_xlfn.SINGLE(INDEX('[1]ATTENDANCE DAILY'!$AW$4:$AW$663,$CC63))),"",IF(_xlfn.SINGLE(INDEX('[1]ATTENDANCE DAILY'!$I$4:$AM$663,$CC63,DAY(AH$14)))="T-Late","T-L",IF(_xlfn.SINGLE(INDEX('[1]ATTENDANCE DAILY'!$I$4:$AM$663,$CC63,DAY(AH$14)))="T-Cutting","T-C",INDEX('[1]ATTENDANCE DAILY'!$I$4:$AM$663,$CC63,DAY(AH$14)))))),IFERROR(IF(_xlpm._r=0,"",_xlpm._r),""))</f>
        <v/>
      </c>
      <c r="AI63" s="101" t="str">
        <f>_xlfn.LET(_xlpm._r,_xlfn.SINGLE(IF(OR($CC63="",AI$14="",AI$14&lt;_xlfn.SINGLE(INDEX('[1]ATTENDANCE DAILY'!$AV$4:$AV$663,$CC63)),AI$14&gt;_xlfn.SINGLE(INDEX('[1]ATTENDANCE DAILY'!$AW$4:$AW$663,$CC63))),"",IF(_xlfn.SINGLE(INDEX('[1]ATTENDANCE DAILY'!$I$4:$AM$663,$CC63,DAY(AI$14)))="T-Late","T-L",IF(_xlfn.SINGLE(INDEX('[1]ATTENDANCE DAILY'!$I$4:$AM$663,$CC63,DAY(AI$14)))="T-Cutting","T-C",INDEX('[1]ATTENDANCE DAILY'!$I$4:$AM$663,$CC63,DAY(AI$14)))))),IFERROR(IF(_xlpm._r=0,"",_xlpm._r),""))</f>
        <v/>
      </c>
      <c r="AJ63" s="102"/>
      <c r="AK63" s="99"/>
      <c r="AL63" s="101" t="str">
        <f>_xlfn.LET(_xlpm._r,_xlfn.SINGLE(IF(OR($CC63="",AL$14="",AL$14&lt;_xlfn.SINGLE(INDEX('[1]ATTENDANCE DAILY'!$AV$4:$AV$663,$CC63)),AL$14&gt;_xlfn.SINGLE(INDEX('[1]ATTENDANCE DAILY'!$AW$4:$AW$663,$CC63))),"",IF(_xlfn.SINGLE(INDEX('[1]ATTENDANCE DAILY'!$I$4:$AM$663,$CC63,DAY(AL$14)))="T-Late","T-L",IF(_xlfn.SINGLE(INDEX('[1]ATTENDANCE DAILY'!$I$4:$AM$663,$CC63,DAY(AL$14)))="T-Cutting","T-C",INDEX('[1]ATTENDANCE DAILY'!$I$4:$AM$663,$CC63,DAY(AL$14)))))),IFERROR(IF(_xlpm._r=0,"",_xlpm._r),""))</f>
        <v/>
      </c>
      <c r="AM63" s="99"/>
      <c r="AN63" s="101" t="str">
        <f>_xlfn.LET(_xlpm._r,_xlfn.SINGLE(IF(OR($CC63="",AN$14="",AN$14&lt;_xlfn.SINGLE(INDEX('[1]ATTENDANCE DAILY'!$AV$4:$AV$663,$CC63)),AN$14&gt;_xlfn.SINGLE(INDEX('[1]ATTENDANCE DAILY'!$AW$4:$AW$663,$CC63))),"",IF(_xlfn.SINGLE(INDEX('[1]ATTENDANCE DAILY'!$I$4:$AM$663,$CC63,DAY(AN$14)))="T-Late","T-L",IF(_xlfn.SINGLE(INDEX('[1]ATTENDANCE DAILY'!$I$4:$AM$663,$CC63,DAY(AN$14)))="T-Cutting","T-C",INDEX('[1]ATTENDANCE DAILY'!$I$4:$AM$663,$CC63,DAY(AN$14)))))),IFERROR(IF(_xlpm._r=0,"",_xlpm._r),""))</f>
        <v/>
      </c>
      <c r="AO63" s="103"/>
      <c r="AP63" s="101" t="str">
        <f>_xlfn.LET(_xlpm._r,_xlfn.SINGLE(IF(OR($CC63="",AP$14="",AP$14&lt;_xlfn.SINGLE(INDEX('[1]ATTENDANCE DAILY'!$AV$4:$AV$663,$CC63)),AP$14&gt;_xlfn.SINGLE(INDEX('[1]ATTENDANCE DAILY'!$AW$4:$AW$663,$CC63))),"",IF(_xlfn.SINGLE(INDEX('[1]ATTENDANCE DAILY'!$I$4:$AM$663,$CC63,DAY(AP$14)))="T-Late","T-L",IF(_xlfn.SINGLE(INDEX('[1]ATTENDANCE DAILY'!$I$4:$AM$663,$CC63,DAY(AP$14)))="T-Cutting","T-C",INDEX('[1]ATTENDANCE DAILY'!$I$4:$AM$663,$CC63,DAY(AP$14)))))),IFERROR(IF(_xlpm._r=0,"",_xlpm._r),""))</f>
        <v/>
      </c>
      <c r="AQ63" s="99"/>
      <c r="AR63" s="100" t="str">
        <f>_xlfn.LET(_xlpm._r,_xlfn.SINGLE(IF(OR($CC63="",AR$14="",AR$14&lt;_xlfn.SINGLE(INDEX('[1]ATTENDANCE DAILY'!$AV$4:$AV$663,$CC63)),AR$14&gt;_xlfn.SINGLE(INDEX('[1]ATTENDANCE DAILY'!$AW$4:$AW$663,$CC63))),"",IF(_xlfn.SINGLE(INDEX('[1]ATTENDANCE DAILY'!$I$4:$AM$663,$CC63,DAY(AR$14)))="T-Late","T-L",IF(_xlfn.SINGLE(INDEX('[1]ATTENDANCE DAILY'!$I$4:$AM$663,$CC63,DAY(AR$14)))="T-Cutting","T-C",INDEX('[1]ATTENDANCE DAILY'!$I$4:$AM$663,$CC63,DAY(AR$14)))))),IFERROR(IF(_xlpm._r=0,"",_xlpm._r),""))</f>
        <v/>
      </c>
      <c r="AS63" s="101" t="str">
        <f>_xlfn.LET(_xlpm._r,_xlfn.SINGLE(IF(OR($CC63="",AS$14="",AS$14&lt;_xlfn.SINGLE(INDEX('[1]ATTENDANCE DAILY'!$AV$4:$AV$663,$CC63)),AS$14&gt;_xlfn.SINGLE(INDEX('[1]ATTENDANCE DAILY'!$AW$4:$AW$663,$CC63))),"",IF(_xlfn.SINGLE(INDEX('[1]ATTENDANCE DAILY'!$I$4:$AM$663,$CC63,DAY(AS$14)))="T-Late","T-L",IF(_xlfn.SINGLE(INDEX('[1]ATTENDANCE DAILY'!$I$4:$AM$663,$CC63,DAY(AS$14)))="T-Cutting","T-C",INDEX('[1]ATTENDANCE DAILY'!$I$4:$AM$663,$CC63,DAY(AS$14)))))),IFERROR(IF(_xlpm._r=0,"",_xlpm._r),""))</f>
        <v/>
      </c>
      <c r="AT63" s="99"/>
      <c r="AU63" s="100" t="str">
        <f>_xlfn.LET(_xlpm._r,_xlfn.SINGLE(IF(OR($CC63="",AU$14="",AU$14&lt;_xlfn.SINGLE(INDEX('[1]ATTENDANCE DAILY'!$AV$4:$AV$663,$CC63)),AU$14&gt;_xlfn.SINGLE(INDEX('[1]ATTENDANCE DAILY'!$AW$4:$AW$663,$CC63))),"",IF(_xlfn.SINGLE(INDEX('[1]ATTENDANCE DAILY'!$I$4:$AM$663,$CC63,DAY(AU$14)))="T-Late","T-L",IF(_xlfn.SINGLE(INDEX('[1]ATTENDANCE DAILY'!$I$4:$AM$663,$CC63,DAY(AU$14)))="T-Cutting","T-C",INDEX('[1]ATTENDANCE DAILY'!$I$4:$AM$663,$CC63,DAY(AU$14)))))),IFERROR(IF(_xlpm._r=0,"",_xlpm._r),""))</f>
        <v/>
      </c>
      <c r="AV63" s="104" t="str">
        <f>_xlfn.LET(_xlpm._r,_xlfn.SINGLE(IF(OR($CC63="",AV$14="",AV$14&lt;_xlfn.SINGLE(INDEX('[1]ATTENDANCE DAILY'!$AV$4:$AV$663,$CC63)),AV$14&gt;_xlfn.SINGLE(INDEX('[1]ATTENDANCE DAILY'!$AW$4:$AW$663,$CC63))),"",IF(_xlfn.SINGLE(INDEX('[1]ATTENDANCE DAILY'!$I$4:$AM$663,$CC63,DAY(AV$14)))="T-Late","T-L",IF(_xlfn.SINGLE(INDEX('[1]ATTENDANCE DAILY'!$I$4:$AM$663,$CC63,DAY(AV$14)))="T-Cutting","T-C",INDEX('[1]ATTENDANCE DAILY'!$I$4:$AM$663,$CC63,DAY(AV$14)))))),IFERROR(IF(_xlpm._r=0,"",_xlpm._r),""))</f>
        <v/>
      </c>
      <c r="AW63" s="101" t="str">
        <f>_xlfn.LET(_xlpm._r,_xlfn.SINGLE(IF(OR($CC63="",AW$14="",AW$14&lt;_xlfn.SINGLE(INDEX('[1]ATTENDANCE DAILY'!$AV$4:$AV$663,$CC63)),AW$14&gt;_xlfn.SINGLE(INDEX('[1]ATTENDANCE DAILY'!$AW$4:$AW$663,$CC63))),"",IF(_xlfn.SINGLE(INDEX('[1]ATTENDANCE DAILY'!$I$4:$AM$663,$CC63,DAY(AW$14)))="T-Late","T-L",IF(_xlfn.SINGLE(INDEX('[1]ATTENDANCE DAILY'!$I$4:$AM$663,$CC63,DAY(AW$14)))="T-Cutting","T-C",INDEX('[1]ATTENDANCE DAILY'!$I$4:$AM$663,$CC63,DAY(AW$14)))))),IFERROR(IF(_xlpm._r=0,"",_xlpm._r),""))</f>
        <v/>
      </c>
      <c r="AX63" s="99"/>
      <c r="AY63" s="101" t="str">
        <f>_xlfn.LET(_xlpm._r,_xlfn.SINGLE(IF(OR($CC63="",AY$14="",AY$14&lt;_xlfn.SINGLE(INDEX('[1]ATTENDANCE DAILY'!$AV$4:$AV$663,$CC63)),AY$14&gt;_xlfn.SINGLE(INDEX('[1]ATTENDANCE DAILY'!$AW$4:$AW$663,$CC63))),"",IF(_xlfn.SINGLE(INDEX('[1]ATTENDANCE DAILY'!$I$4:$AM$663,$CC63,DAY(AY$14)))="T-Late","T-L",IF(_xlfn.SINGLE(INDEX('[1]ATTENDANCE DAILY'!$I$4:$AM$663,$CC63,DAY(AY$14)))="T-Cutting","T-C",INDEX('[1]ATTENDANCE DAILY'!$I$4:$AM$663,$CC63,DAY(AY$14)))))),IFERROR(IF(_xlpm._r=0,"",_xlpm._r),""))</f>
        <v/>
      </c>
      <c r="AZ63" s="102"/>
      <c r="BA63" s="99"/>
      <c r="BB63" s="101" t="str">
        <f>_xlfn.LET(_xlpm._r,_xlfn.SINGLE(IF(OR($CC63="",BB$14="",BB$14&lt;_xlfn.SINGLE(INDEX('[1]ATTENDANCE DAILY'!$AV$4:$AV$663,$CC63)),BB$14&gt;_xlfn.SINGLE(INDEX('[1]ATTENDANCE DAILY'!$AW$4:$AW$663,$CC63))),"",IF(_xlfn.SINGLE(INDEX('[1]ATTENDANCE DAILY'!$I$4:$AM$663,$CC63,DAY(BB$14)))="T-Late","T-L",IF(_xlfn.SINGLE(INDEX('[1]ATTENDANCE DAILY'!$I$4:$AM$663,$CC63,DAY(BB$14)))="T-Cutting","T-C",INDEX('[1]ATTENDANCE DAILY'!$I$4:$AM$663,$CC63,DAY(BB$14)))))),IFERROR(IF(_xlpm._r=0,"",_xlpm._r),""))</f>
        <v/>
      </c>
      <c r="BC63" s="99"/>
      <c r="BD63" s="100" t="str">
        <f>_xlfn.LET(_xlpm._r,_xlfn.SINGLE(IF(OR($CC63="",BD$14="",BD$14&lt;_xlfn.SINGLE(INDEX('[1]ATTENDANCE DAILY'!$AV$4:$AV$663,$CC63)),BD$14&gt;_xlfn.SINGLE(INDEX('[1]ATTENDANCE DAILY'!$AW$4:$AW$663,$CC63))),"",IF(_xlfn.SINGLE(INDEX('[1]ATTENDANCE DAILY'!$I$4:$AM$663,$CC63,DAY(BD$14)))="T-Late","T-L",IF(_xlfn.SINGLE(INDEX('[1]ATTENDANCE DAILY'!$I$4:$AM$663,$CC63,DAY(BD$14)))="T-Cutting","T-C",INDEX('[1]ATTENDANCE DAILY'!$I$4:$AM$663,$CC63,DAY(BD$14)))))),IFERROR(IF(_xlpm._r=0,"",_xlpm._r),""))</f>
        <v/>
      </c>
      <c r="BE63" s="101" t="str">
        <f>_xlfn.LET(_xlpm._r,_xlfn.SINGLE(IF(OR($CC63="",BE$14="",BE$14&lt;_xlfn.SINGLE(INDEX('[1]ATTENDANCE DAILY'!$AV$4:$AV$663,$CC63)),BE$14&gt;_xlfn.SINGLE(INDEX('[1]ATTENDANCE DAILY'!$AW$4:$AW$663,$CC63))),"",IF(_xlfn.SINGLE(INDEX('[1]ATTENDANCE DAILY'!$I$4:$AM$663,$CC63,DAY(BE$14)))="T-Late","T-L",IF(_xlfn.SINGLE(INDEX('[1]ATTENDANCE DAILY'!$I$4:$AM$663,$CC63,DAY(BE$14)))="T-Cutting","T-C",INDEX('[1]ATTENDANCE DAILY'!$I$4:$AM$663,$CC63,DAY(BE$14)))))),IFERROR(IF(_xlpm._r=0,"",_xlpm._r),""))</f>
        <v/>
      </c>
      <c r="BF63" s="102"/>
      <c r="BG63" s="102"/>
      <c r="BH63" s="103"/>
      <c r="BI63" s="105" t="str">
        <f>IF($CC63="","",INDEX('[1]ATTENDANCE DAILY'!$AR$4:$AR$663,$CC63))</f>
        <v/>
      </c>
      <c r="BJ63" s="106"/>
      <c r="BK63" s="107"/>
      <c r="BL63" s="105" t="str">
        <f>IF($CC63="","",INDEX('[1]ATTENDANCE DAILY'!$AS$4:$AS$663,$CC63))</f>
        <v/>
      </c>
      <c r="BM63" s="106"/>
      <c r="BN63" s="106"/>
      <c r="BO63" s="107"/>
      <c r="BP63" s="105" t="str">
        <f>IF($CC63="","",IF(INDEX('[1]ATTENDANCE DAILY'!$AN$4:$AN$663,$CC63)="","",INDEX('[1]ATTENDANCE DAILY'!$AN$4:$AN$663,$CC63)&amp;IF(INDEX('[1]ATTENDANCE DAILY'!$AO$4:$AO$663,$CC63)="",""," ("&amp;TEXT(INDEX('[1]ATTENDANCE DAILY'!$AO$4:$AO$663,$CC63),"mm-dd-yyyy")&amp;")")&amp;IF(INDEX('[1]ATTENDANCE DAILY'!$AP$4:$AP$663,$CC63)="",""," - "&amp;INDEX('[1]ATTENDANCE DAILY'!$AP$4:$AP$663,$CC63))))</f>
        <v/>
      </c>
      <c r="BQ63" s="106"/>
      <c r="BR63" s="106"/>
      <c r="BS63" s="106"/>
      <c r="BT63" s="106"/>
      <c r="BU63" s="106"/>
      <c r="BV63" s="106"/>
      <c r="BW63" s="106"/>
      <c r="BX63" s="106"/>
      <c r="BY63" s="106"/>
      <c r="BZ63" s="106"/>
      <c r="CA63" s="107"/>
      <c r="CC63" t="str">
        <f>IF(COUNTIFS('[1]ATTENDANCE DAILY'!$C$4:$C$663,$BN$11,'[1]ATTENDANCE DAILY'!$F$4:$F$663,"Female",'[1]ATTENDANCE DAILY'!$G$4:$G$663,1,'[1]ATTENDANCE DAILY'!$BA$4:$BA$663,20)=0,"",SUMIFS('[1]ATTENDANCE DAILY'!$A$4:$A$663,'[1]ATTENDANCE DAILY'!$C$4:$C$663,$BN$11,'[1]ATTENDANCE DAILY'!$F$4:$F$663,"Female",'[1]ATTENDANCE DAILY'!$G$4:$G$663,1,'[1]ATTENDANCE DAILY'!$BA$4:$BA$663,20))</f>
        <v/>
      </c>
    </row>
    <row r="64" spans="1:81" ht="19.95" customHeight="1" thickTop="1" thickBot="1">
      <c r="A64" s="92">
        <v>21</v>
      </c>
      <c r="B64" s="93"/>
      <c r="C64" s="93"/>
      <c r="D64" s="93"/>
      <c r="E64" s="93"/>
      <c r="F64" s="94"/>
      <c r="G64" s="95" t="str">
        <f>IF($CC64="","",INDEX('[1]ATTENDANCE DAILY'!$E$4:$E$663,$CC64))</f>
        <v/>
      </c>
      <c r="H64" s="96"/>
      <c r="I64" s="96"/>
      <c r="J64" s="97"/>
      <c r="K64" s="98" t="str">
        <f>_xlfn.LET(_xlpm._r,_xlfn.SINGLE(IF(OR($CC64="",K$14="",K$14&lt;_xlfn.SINGLE(INDEX('[1]ATTENDANCE DAILY'!$AV$4:$AV$663,$CC64)),K$14&gt;_xlfn.SINGLE(INDEX('[1]ATTENDANCE DAILY'!$AW$4:$AW$663,$CC64))),"",IF(_xlfn.SINGLE(INDEX('[1]ATTENDANCE DAILY'!$I$4:$AM$663,$CC64,DAY(K$14)))="T-Late","T-L",IF(_xlfn.SINGLE(INDEX('[1]ATTENDANCE DAILY'!$I$4:$AM$663,$CC64,DAY(K$14)))="T-Cutting","T-C",INDEX('[1]ATTENDANCE DAILY'!$I$4:$AM$663,$CC64,DAY(K$14)))))),IFERROR(IF(_xlpm._r=0,"",_xlpm._r),""))</f>
        <v/>
      </c>
      <c r="L64" s="99"/>
      <c r="M64" s="100" t="str">
        <f>_xlfn.LET(_xlpm._r,_xlfn.SINGLE(IF(OR($CC64="",M$14="",M$14&lt;_xlfn.SINGLE(INDEX('[1]ATTENDANCE DAILY'!$AV$4:$AV$663,$CC64)),M$14&gt;_xlfn.SINGLE(INDEX('[1]ATTENDANCE DAILY'!$AW$4:$AW$663,$CC64))),"",IF(_xlfn.SINGLE(INDEX('[1]ATTENDANCE DAILY'!$I$4:$AM$663,$CC64,DAY(M$14)))="T-Late","T-L",IF(_xlfn.SINGLE(INDEX('[1]ATTENDANCE DAILY'!$I$4:$AM$663,$CC64,DAY(M$14)))="T-Cutting","T-C",INDEX('[1]ATTENDANCE DAILY'!$I$4:$AM$663,$CC64,DAY(M$14)))))),IFERROR(IF(_xlpm._r=0,"",_xlpm._r),""))</f>
        <v/>
      </c>
      <c r="N64" s="100" t="str">
        <f>_xlfn.LET(_xlpm._r,_xlfn.SINGLE(IF(OR($CC64="",N$14="",N$14&lt;_xlfn.SINGLE(INDEX('[1]ATTENDANCE DAILY'!$AV$4:$AV$663,$CC64)),N$14&gt;_xlfn.SINGLE(INDEX('[1]ATTENDANCE DAILY'!$AW$4:$AW$663,$CC64))),"",IF(_xlfn.SINGLE(INDEX('[1]ATTENDANCE DAILY'!$I$4:$AM$663,$CC64,DAY(N$14)))="T-Late","T-L",IF(_xlfn.SINGLE(INDEX('[1]ATTENDANCE DAILY'!$I$4:$AM$663,$CC64,DAY(N$14)))="T-Cutting","T-C",INDEX('[1]ATTENDANCE DAILY'!$I$4:$AM$663,$CC64,DAY(N$14)))))),IFERROR(IF(_xlpm._r=0,"",_xlpm._r),""))</f>
        <v/>
      </c>
      <c r="O64" s="101" t="str">
        <f>_xlfn.LET(_xlpm._r,_xlfn.SINGLE(IF(OR($CC64="",O$14="",O$14&lt;_xlfn.SINGLE(INDEX('[1]ATTENDANCE DAILY'!$AV$4:$AV$663,$CC64)),O$14&gt;_xlfn.SINGLE(INDEX('[1]ATTENDANCE DAILY'!$AW$4:$AW$663,$CC64))),"",IF(_xlfn.SINGLE(INDEX('[1]ATTENDANCE DAILY'!$I$4:$AM$663,$CC64,DAY(O$14)))="T-Late","T-L",IF(_xlfn.SINGLE(INDEX('[1]ATTENDANCE DAILY'!$I$4:$AM$663,$CC64,DAY(O$14)))="T-Cutting","T-C",INDEX('[1]ATTENDANCE DAILY'!$I$4:$AM$663,$CC64,DAY(O$14)))))),IFERROR(IF(_xlpm._r=0,"",_xlpm._r),""))</f>
        <v/>
      </c>
      <c r="P64" s="102"/>
      <c r="Q64" s="102"/>
      <c r="R64" s="99"/>
      <c r="S64" s="101" t="str">
        <f>_xlfn.LET(_xlpm._r,_xlfn.SINGLE(IF(OR($CC64="",S$14="",S$14&lt;_xlfn.SINGLE(INDEX('[1]ATTENDANCE DAILY'!$AV$4:$AV$663,$CC64)),S$14&gt;_xlfn.SINGLE(INDEX('[1]ATTENDANCE DAILY'!$AW$4:$AW$663,$CC64))),"",IF(_xlfn.SINGLE(INDEX('[1]ATTENDANCE DAILY'!$I$4:$AM$663,$CC64,DAY(S$14)))="T-Late","T-L",IF(_xlfn.SINGLE(INDEX('[1]ATTENDANCE DAILY'!$I$4:$AM$663,$CC64,DAY(S$14)))="T-Cutting","T-C",INDEX('[1]ATTENDANCE DAILY'!$I$4:$AM$663,$CC64,DAY(S$14)))))),IFERROR(IF(_xlpm._r=0,"",_xlpm._r),""))</f>
        <v/>
      </c>
      <c r="T64" s="102"/>
      <c r="U64" s="103"/>
      <c r="V64" s="100" t="str">
        <f>_xlfn.LET(_xlpm._r,_xlfn.SINGLE(IF(OR($CC64="",V$14="",V$14&lt;_xlfn.SINGLE(INDEX('[1]ATTENDANCE DAILY'!$AV$4:$AV$663,$CC64)),V$14&gt;_xlfn.SINGLE(INDEX('[1]ATTENDANCE DAILY'!$AW$4:$AW$663,$CC64))),"",IF(_xlfn.SINGLE(INDEX('[1]ATTENDANCE DAILY'!$I$4:$AM$663,$CC64,DAY(V$14)))="T-Late","T-L",IF(_xlfn.SINGLE(INDEX('[1]ATTENDANCE DAILY'!$I$4:$AM$663,$CC64,DAY(V$14)))="T-Cutting","T-C",INDEX('[1]ATTENDANCE DAILY'!$I$4:$AM$663,$CC64,DAY(V$14)))))),IFERROR(IF(_xlpm._r=0,"",_xlpm._r),""))</f>
        <v/>
      </c>
      <c r="W64" s="101" t="str">
        <f>_xlfn.LET(_xlpm._r,_xlfn.SINGLE(IF(OR($CC64="",W$14="",W$14&lt;_xlfn.SINGLE(INDEX('[1]ATTENDANCE DAILY'!$AV$4:$AV$663,$CC64)),W$14&gt;_xlfn.SINGLE(INDEX('[1]ATTENDANCE DAILY'!$AW$4:$AW$663,$CC64))),"",IF(_xlfn.SINGLE(INDEX('[1]ATTENDANCE DAILY'!$I$4:$AM$663,$CC64,DAY(W$14)))="T-Late","T-L",IF(_xlfn.SINGLE(INDEX('[1]ATTENDANCE DAILY'!$I$4:$AM$663,$CC64,DAY(W$14)))="T-Cutting","T-C",INDEX('[1]ATTENDANCE DAILY'!$I$4:$AM$663,$CC64,DAY(W$14)))))),IFERROR(IF(_xlpm._r=0,"",_xlpm._r),""))</f>
        <v/>
      </c>
      <c r="X64" s="102"/>
      <c r="Y64" s="99"/>
      <c r="Z64" s="100" t="str">
        <f>_xlfn.LET(_xlpm._r,_xlfn.SINGLE(IF(OR($CC64="",Z$14="",Z$14&lt;_xlfn.SINGLE(INDEX('[1]ATTENDANCE DAILY'!$AV$4:$AV$663,$CC64)),Z$14&gt;_xlfn.SINGLE(INDEX('[1]ATTENDANCE DAILY'!$AW$4:$AW$663,$CC64))),"",IF(_xlfn.SINGLE(INDEX('[1]ATTENDANCE DAILY'!$I$4:$AM$663,$CC64,DAY(Z$14)))="T-Late","T-L",IF(_xlfn.SINGLE(INDEX('[1]ATTENDANCE DAILY'!$I$4:$AM$663,$CC64,DAY(Z$14)))="T-Cutting","T-C",INDEX('[1]ATTENDANCE DAILY'!$I$4:$AM$663,$CC64,DAY(Z$14)))))),IFERROR(IF(_xlpm._r=0,"",_xlpm._r),""))</f>
        <v/>
      </c>
      <c r="AA64" s="100" t="str">
        <f>_xlfn.LET(_xlpm._r,_xlfn.SINGLE(IF(OR($CC64="",AA$14="",AA$14&lt;_xlfn.SINGLE(INDEX('[1]ATTENDANCE DAILY'!$AV$4:$AV$663,$CC64)),AA$14&gt;_xlfn.SINGLE(INDEX('[1]ATTENDANCE DAILY'!$AW$4:$AW$663,$CC64))),"",IF(_xlfn.SINGLE(INDEX('[1]ATTENDANCE DAILY'!$I$4:$AM$663,$CC64,DAY(AA$14)))="T-Late","T-L",IF(_xlfn.SINGLE(INDEX('[1]ATTENDANCE DAILY'!$I$4:$AM$663,$CC64,DAY(AA$14)))="T-Cutting","T-C",INDEX('[1]ATTENDANCE DAILY'!$I$4:$AM$663,$CC64,DAY(AA$14)))))),IFERROR(IF(_xlpm._r=0,"",_xlpm._r),""))</f>
        <v/>
      </c>
      <c r="AB64" s="101" t="str">
        <f>_xlfn.LET(_xlpm._r,_xlfn.SINGLE(IF(OR($CC64="",AB$14="",AB$14&lt;_xlfn.SINGLE(INDEX('[1]ATTENDANCE DAILY'!$AV$4:$AV$663,$CC64)),AB$14&gt;_xlfn.SINGLE(INDEX('[1]ATTENDANCE DAILY'!$AW$4:$AW$663,$CC64))),"",IF(_xlfn.SINGLE(INDEX('[1]ATTENDANCE DAILY'!$I$4:$AM$663,$CC64,DAY(AB$14)))="T-Late","T-L",IF(_xlfn.SINGLE(INDEX('[1]ATTENDANCE DAILY'!$I$4:$AM$663,$CC64,DAY(AB$14)))="T-Cutting","T-C",INDEX('[1]ATTENDANCE DAILY'!$I$4:$AM$663,$CC64,DAY(AB$14)))))),IFERROR(IF(_xlpm._r=0,"",_xlpm._r),""))</f>
        <v/>
      </c>
      <c r="AC64" s="102"/>
      <c r="AD64" s="103"/>
      <c r="AE64" s="101" t="str">
        <f>_xlfn.LET(_xlpm._r,_xlfn.SINGLE(IF(OR($CC64="",AE$14="",AE$14&lt;_xlfn.SINGLE(INDEX('[1]ATTENDANCE DAILY'!$AV$4:$AV$663,$CC64)),AE$14&gt;_xlfn.SINGLE(INDEX('[1]ATTENDANCE DAILY'!$AW$4:$AW$663,$CC64))),"",IF(_xlfn.SINGLE(INDEX('[1]ATTENDANCE DAILY'!$I$4:$AM$663,$CC64,DAY(AE$14)))="T-Late","T-L",IF(_xlfn.SINGLE(INDEX('[1]ATTENDANCE DAILY'!$I$4:$AM$663,$CC64,DAY(AE$14)))="T-Cutting","T-C",INDEX('[1]ATTENDANCE DAILY'!$I$4:$AM$663,$CC64,DAY(AE$14)))))),IFERROR(IF(_xlpm._r=0,"",_xlpm._r),""))</f>
        <v/>
      </c>
      <c r="AF64" s="102"/>
      <c r="AG64" s="99"/>
      <c r="AH64" s="100" t="str">
        <f>_xlfn.LET(_xlpm._r,_xlfn.SINGLE(IF(OR($CC64="",AH$14="",AH$14&lt;_xlfn.SINGLE(INDEX('[1]ATTENDANCE DAILY'!$AV$4:$AV$663,$CC64)),AH$14&gt;_xlfn.SINGLE(INDEX('[1]ATTENDANCE DAILY'!$AW$4:$AW$663,$CC64))),"",IF(_xlfn.SINGLE(INDEX('[1]ATTENDANCE DAILY'!$I$4:$AM$663,$CC64,DAY(AH$14)))="T-Late","T-L",IF(_xlfn.SINGLE(INDEX('[1]ATTENDANCE DAILY'!$I$4:$AM$663,$CC64,DAY(AH$14)))="T-Cutting","T-C",INDEX('[1]ATTENDANCE DAILY'!$I$4:$AM$663,$CC64,DAY(AH$14)))))),IFERROR(IF(_xlpm._r=0,"",_xlpm._r),""))</f>
        <v/>
      </c>
      <c r="AI64" s="101" t="str">
        <f>_xlfn.LET(_xlpm._r,_xlfn.SINGLE(IF(OR($CC64="",AI$14="",AI$14&lt;_xlfn.SINGLE(INDEX('[1]ATTENDANCE DAILY'!$AV$4:$AV$663,$CC64)),AI$14&gt;_xlfn.SINGLE(INDEX('[1]ATTENDANCE DAILY'!$AW$4:$AW$663,$CC64))),"",IF(_xlfn.SINGLE(INDEX('[1]ATTENDANCE DAILY'!$I$4:$AM$663,$CC64,DAY(AI$14)))="T-Late","T-L",IF(_xlfn.SINGLE(INDEX('[1]ATTENDANCE DAILY'!$I$4:$AM$663,$CC64,DAY(AI$14)))="T-Cutting","T-C",INDEX('[1]ATTENDANCE DAILY'!$I$4:$AM$663,$CC64,DAY(AI$14)))))),IFERROR(IF(_xlpm._r=0,"",_xlpm._r),""))</f>
        <v/>
      </c>
      <c r="AJ64" s="102"/>
      <c r="AK64" s="99"/>
      <c r="AL64" s="101" t="str">
        <f>_xlfn.LET(_xlpm._r,_xlfn.SINGLE(IF(OR($CC64="",AL$14="",AL$14&lt;_xlfn.SINGLE(INDEX('[1]ATTENDANCE DAILY'!$AV$4:$AV$663,$CC64)),AL$14&gt;_xlfn.SINGLE(INDEX('[1]ATTENDANCE DAILY'!$AW$4:$AW$663,$CC64))),"",IF(_xlfn.SINGLE(INDEX('[1]ATTENDANCE DAILY'!$I$4:$AM$663,$CC64,DAY(AL$14)))="T-Late","T-L",IF(_xlfn.SINGLE(INDEX('[1]ATTENDANCE DAILY'!$I$4:$AM$663,$CC64,DAY(AL$14)))="T-Cutting","T-C",INDEX('[1]ATTENDANCE DAILY'!$I$4:$AM$663,$CC64,DAY(AL$14)))))),IFERROR(IF(_xlpm._r=0,"",_xlpm._r),""))</f>
        <v/>
      </c>
      <c r="AM64" s="99"/>
      <c r="AN64" s="101" t="str">
        <f>_xlfn.LET(_xlpm._r,_xlfn.SINGLE(IF(OR($CC64="",AN$14="",AN$14&lt;_xlfn.SINGLE(INDEX('[1]ATTENDANCE DAILY'!$AV$4:$AV$663,$CC64)),AN$14&gt;_xlfn.SINGLE(INDEX('[1]ATTENDANCE DAILY'!$AW$4:$AW$663,$CC64))),"",IF(_xlfn.SINGLE(INDEX('[1]ATTENDANCE DAILY'!$I$4:$AM$663,$CC64,DAY(AN$14)))="T-Late","T-L",IF(_xlfn.SINGLE(INDEX('[1]ATTENDANCE DAILY'!$I$4:$AM$663,$CC64,DAY(AN$14)))="T-Cutting","T-C",INDEX('[1]ATTENDANCE DAILY'!$I$4:$AM$663,$CC64,DAY(AN$14)))))),IFERROR(IF(_xlpm._r=0,"",_xlpm._r),""))</f>
        <v/>
      </c>
      <c r="AO64" s="103"/>
      <c r="AP64" s="101" t="str">
        <f>_xlfn.LET(_xlpm._r,_xlfn.SINGLE(IF(OR($CC64="",AP$14="",AP$14&lt;_xlfn.SINGLE(INDEX('[1]ATTENDANCE DAILY'!$AV$4:$AV$663,$CC64)),AP$14&gt;_xlfn.SINGLE(INDEX('[1]ATTENDANCE DAILY'!$AW$4:$AW$663,$CC64))),"",IF(_xlfn.SINGLE(INDEX('[1]ATTENDANCE DAILY'!$I$4:$AM$663,$CC64,DAY(AP$14)))="T-Late","T-L",IF(_xlfn.SINGLE(INDEX('[1]ATTENDANCE DAILY'!$I$4:$AM$663,$CC64,DAY(AP$14)))="T-Cutting","T-C",INDEX('[1]ATTENDANCE DAILY'!$I$4:$AM$663,$CC64,DAY(AP$14)))))),IFERROR(IF(_xlpm._r=0,"",_xlpm._r),""))</f>
        <v/>
      </c>
      <c r="AQ64" s="99"/>
      <c r="AR64" s="100" t="str">
        <f>_xlfn.LET(_xlpm._r,_xlfn.SINGLE(IF(OR($CC64="",AR$14="",AR$14&lt;_xlfn.SINGLE(INDEX('[1]ATTENDANCE DAILY'!$AV$4:$AV$663,$CC64)),AR$14&gt;_xlfn.SINGLE(INDEX('[1]ATTENDANCE DAILY'!$AW$4:$AW$663,$CC64))),"",IF(_xlfn.SINGLE(INDEX('[1]ATTENDANCE DAILY'!$I$4:$AM$663,$CC64,DAY(AR$14)))="T-Late","T-L",IF(_xlfn.SINGLE(INDEX('[1]ATTENDANCE DAILY'!$I$4:$AM$663,$CC64,DAY(AR$14)))="T-Cutting","T-C",INDEX('[1]ATTENDANCE DAILY'!$I$4:$AM$663,$CC64,DAY(AR$14)))))),IFERROR(IF(_xlpm._r=0,"",_xlpm._r),""))</f>
        <v/>
      </c>
      <c r="AS64" s="101" t="str">
        <f>_xlfn.LET(_xlpm._r,_xlfn.SINGLE(IF(OR($CC64="",AS$14="",AS$14&lt;_xlfn.SINGLE(INDEX('[1]ATTENDANCE DAILY'!$AV$4:$AV$663,$CC64)),AS$14&gt;_xlfn.SINGLE(INDEX('[1]ATTENDANCE DAILY'!$AW$4:$AW$663,$CC64))),"",IF(_xlfn.SINGLE(INDEX('[1]ATTENDANCE DAILY'!$I$4:$AM$663,$CC64,DAY(AS$14)))="T-Late","T-L",IF(_xlfn.SINGLE(INDEX('[1]ATTENDANCE DAILY'!$I$4:$AM$663,$CC64,DAY(AS$14)))="T-Cutting","T-C",INDEX('[1]ATTENDANCE DAILY'!$I$4:$AM$663,$CC64,DAY(AS$14)))))),IFERROR(IF(_xlpm._r=0,"",_xlpm._r),""))</f>
        <v/>
      </c>
      <c r="AT64" s="99"/>
      <c r="AU64" s="100" t="str">
        <f>_xlfn.LET(_xlpm._r,_xlfn.SINGLE(IF(OR($CC64="",AU$14="",AU$14&lt;_xlfn.SINGLE(INDEX('[1]ATTENDANCE DAILY'!$AV$4:$AV$663,$CC64)),AU$14&gt;_xlfn.SINGLE(INDEX('[1]ATTENDANCE DAILY'!$AW$4:$AW$663,$CC64))),"",IF(_xlfn.SINGLE(INDEX('[1]ATTENDANCE DAILY'!$I$4:$AM$663,$CC64,DAY(AU$14)))="T-Late","T-L",IF(_xlfn.SINGLE(INDEX('[1]ATTENDANCE DAILY'!$I$4:$AM$663,$CC64,DAY(AU$14)))="T-Cutting","T-C",INDEX('[1]ATTENDANCE DAILY'!$I$4:$AM$663,$CC64,DAY(AU$14)))))),IFERROR(IF(_xlpm._r=0,"",_xlpm._r),""))</f>
        <v/>
      </c>
      <c r="AV64" s="104" t="str">
        <f>_xlfn.LET(_xlpm._r,_xlfn.SINGLE(IF(OR($CC64="",AV$14="",AV$14&lt;_xlfn.SINGLE(INDEX('[1]ATTENDANCE DAILY'!$AV$4:$AV$663,$CC64)),AV$14&gt;_xlfn.SINGLE(INDEX('[1]ATTENDANCE DAILY'!$AW$4:$AW$663,$CC64))),"",IF(_xlfn.SINGLE(INDEX('[1]ATTENDANCE DAILY'!$I$4:$AM$663,$CC64,DAY(AV$14)))="T-Late","T-L",IF(_xlfn.SINGLE(INDEX('[1]ATTENDANCE DAILY'!$I$4:$AM$663,$CC64,DAY(AV$14)))="T-Cutting","T-C",INDEX('[1]ATTENDANCE DAILY'!$I$4:$AM$663,$CC64,DAY(AV$14)))))),IFERROR(IF(_xlpm._r=0,"",_xlpm._r),""))</f>
        <v/>
      </c>
      <c r="AW64" s="101" t="str">
        <f>_xlfn.LET(_xlpm._r,_xlfn.SINGLE(IF(OR($CC64="",AW$14="",AW$14&lt;_xlfn.SINGLE(INDEX('[1]ATTENDANCE DAILY'!$AV$4:$AV$663,$CC64)),AW$14&gt;_xlfn.SINGLE(INDEX('[1]ATTENDANCE DAILY'!$AW$4:$AW$663,$CC64))),"",IF(_xlfn.SINGLE(INDEX('[1]ATTENDANCE DAILY'!$I$4:$AM$663,$CC64,DAY(AW$14)))="T-Late","T-L",IF(_xlfn.SINGLE(INDEX('[1]ATTENDANCE DAILY'!$I$4:$AM$663,$CC64,DAY(AW$14)))="T-Cutting","T-C",INDEX('[1]ATTENDANCE DAILY'!$I$4:$AM$663,$CC64,DAY(AW$14)))))),IFERROR(IF(_xlpm._r=0,"",_xlpm._r),""))</f>
        <v/>
      </c>
      <c r="AX64" s="99"/>
      <c r="AY64" s="101" t="str">
        <f>_xlfn.LET(_xlpm._r,_xlfn.SINGLE(IF(OR($CC64="",AY$14="",AY$14&lt;_xlfn.SINGLE(INDEX('[1]ATTENDANCE DAILY'!$AV$4:$AV$663,$CC64)),AY$14&gt;_xlfn.SINGLE(INDEX('[1]ATTENDANCE DAILY'!$AW$4:$AW$663,$CC64))),"",IF(_xlfn.SINGLE(INDEX('[1]ATTENDANCE DAILY'!$I$4:$AM$663,$CC64,DAY(AY$14)))="T-Late","T-L",IF(_xlfn.SINGLE(INDEX('[1]ATTENDANCE DAILY'!$I$4:$AM$663,$CC64,DAY(AY$14)))="T-Cutting","T-C",INDEX('[1]ATTENDANCE DAILY'!$I$4:$AM$663,$CC64,DAY(AY$14)))))),IFERROR(IF(_xlpm._r=0,"",_xlpm._r),""))</f>
        <v/>
      </c>
      <c r="AZ64" s="102"/>
      <c r="BA64" s="99"/>
      <c r="BB64" s="101" t="str">
        <f>_xlfn.LET(_xlpm._r,_xlfn.SINGLE(IF(OR($CC64="",BB$14="",BB$14&lt;_xlfn.SINGLE(INDEX('[1]ATTENDANCE DAILY'!$AV$4:$AV$663,$CC64)),BB$14&gt;_xlfn.SINGLE(INDEX('[1]ATTENDANCE DAILY'!$AW$4:$AW$663,$CC64))),"",IF(_xlfn.SINGLE(INDEX('[1]ATTENDANCE DAILY'!$I$4:$AM$663,$CC64,DAY(BB$14)))="T-Late","T-L",IF(_xlfn.SINGLE(INDEX('[1]ATTENDANCE DAILY'!$I$4:$AM$663,$CC64,DAY(BB$14)))="T-Cutting","T-C",INDEX('[1]ATTENDANCE DAILY'!$I$4:$AM$663,$CC64,DAY(BB$14)))))),IFERROR(IF(_xlpm._r=0,"",_xlpm._r),""))</f>
        <v/>
      </c>
      <c r="BC64" s="99"/>
      <c r="BD64" s="100" t="str">
        <f>_xlfn.LET(_xlpm._r,_xlfn.SINGLE(IF(OR($CC64="",BD$14="",BD$14&lt;_xlfn.SINGLE(INDEX('[1]ATTENDANCE DAILY'!$AV$4:$AV$663,$CC64)),BD$14&gt;_xlfn.SINGLE(INDEX('[1]ATTENDANCE DAILY'!$AW$4:$AW$663,$CC64))),"",IF(_xlfn.SINGLE(INDEX('[1]ATTENDANCE DAILY'!$I$4:$AM$663,$CC64,DAY(BD$14)))="T-Late","T-L",IF(_xlfn.SINGLE(INDEX('[1]ATTENDANCE DAILY'!$I$4:$AM$663,$CC64,DAY(BD$14)))="T-Cutting","T-C",INDEX('[1]ATTENDANCE DAILY'!$I$4:$AM$663,$CC64,DAY(BD$14)))))),IFERROR(IF(_xlpm._r=0,"",_xlpm._r),""))</f>
        <v/>
      </c>
      <c r="BE64" s="101" t="str">
        <f>_xlfn.LET(_xlpm._r,_xlfn.SINGLE(IF(OR($CC64="",BE$14="",BE$14&lt;_xlfn.SINGLE(INDEX('[1]ATTENDANCE DAILY'!$AV$4:$AV$663,$CC64)),BE$14&gt;_xlfn.SINGLE(INDEX('[1]ATTENDANCE DAILY'!$AW$4:$AW$663,$CC64))),"",IF(_xlfn.SINGLE(INDEX('[1]ATTENDANCE DAILY'!$I$4:$AM$663,$CC64,DAY(BE$14)))="T-Late","T-L",IF(_xlfn.SINGLE(INDEX('[1]ATTENDANCE DAILY'!$I$4:$AM$663,$CC64,DAY(BE$14)))="T-Cutting","T-C",INDEX('[1]ATTENDANCE DAILY'!$I$4:$AM$663,$CC64,DAY(BE$14)))))),IFERROR(IF(_xlpm._r=0,"",_xlpm._r),""))</f>
        <v/>
      </c>
      <c r="BF64" s="102"/>
      <c r="BG64" s="102"/>
      <c r="BH64" s="103"/>
      <c r="BI64" s="105" t="str">
        <f>IF($CC64="","",INDEX('[1]ATTENDANCE DAILY'!$AR$4:$AR$663,$CC64))</f>
        <v/>
      </c>
      <c r="BJ64" s="106"/>
      <c r="BK64" s="107"/>
      <c r="BL64" s="105" t="str">
        <f>IF($CC64="","",INDEX('[1]ATTENDANCE DAILY'!$AS$4:$AS$663,$CC64))</f>
        <v/>
      </c>
      <c r="BM64" s="106"/>
      <c r="BN64" s="106"/>
      <c r="BO64" s="107"/>
      <c r="BP64" s="105" t="str">
        <f>IF($CC64="","",IF(INDEX('[1]ATTENDANCE DAILY'!$AN$4:$AN$663,$CC64)="","",INDEX('[1]ATTENDANCE DAILY'!$AN$4:$AN$663,$CC64)&amp;IF(INDEX('[1]ATTENDANCE DAILY'!$AO$4:$AO$663,$CC64)="",""," ("&amp;TEXT(INDEX('[1]ATTENDANCE DAILY'!$AO$4:$AO$663,$CC64),"mm-dd-yyyy")&amp;")")&amp;IF(INDEX('[1]ATTENDANCE DAILY'!$AP$4:$AP$663,$CC64)="",""," - "&amp;INDEX('[1]ATTENDANCE DAILY'!$AP$4:$AP$663,$CC64))))</f>
        <v/>
      </c>
      <c r="BQ64" s="106"/>
      <c r="BR64" s="106"/>
      <c r="BS64" s="106"/>
      <c r="BT64" s="106"/>
      <c r="BU64" s="106"/>
      <c r="BV64" s="106"/>
      <c r="BW64" s="106"/>
      <c r="BX64" s="106"/>
      <c r="BY64" s="106"/>
      <c r="BZ64" s="106"/>
      <c r="CA64" s="107"/>
      <c r="CC64" t="str">
        <f>IF(COUNTIFS('[1]ATTENDANCE DAILY'!$C$4:$C$663,$BN$11,'[1]ATTENDANCE DAILY'!$F$4:$F$663,"Female",'[1]ATTENDANCE DAILY'!$G$4:$G$663,1,'[1]ATTENDANCE DAILY'!$BA$4:$BA$663,21)=0,"",SUMIFS('[1]ATTENDANCE DAILY'!$A$4:$A$663,'[1]ATTENDANCE DAILY'!$C$4:$C$663,$BN$11,'[1]ATTENDANCE DAILY'!$F$4:$F$663,"Female",'[1]ATTENDANCE DAILY'!$G$4:$G$663,1,'[1]ATTENDANCE DAILY'!$BA$4:$BA$663,21))</f>
        <v/>
      </c>
    </row>
    <row r="65" spans="1:81" ht="19.95" customHeight="1" thickTop="1" thickBot="1">
      <c r="A65" s="92">
        <v>22</v>
      </c>
      <c r="B65" s="93"/>
      <c r="C65" s="93"/>
      <c r="D65" s="93"/>
      <c r="E65" s="93"/>
      <c r="F65" s="94"/>
      <c r="G65" s="95" t="str">
        <f>IF($CC65="","",INDEX('[1]ATTENDANCE DAILY'!$E$4:$E$663,$CC65))</f>
        <v/>
      </c>
      <c r="H65" s="96"/>
      <c r="I65" s="96"/>
      <c r="J65" s="97"/>
      <c r="K65" s="98" t="str">
        <f>_xlfn.LET(_xlpm._r,_xlfn.SINGLE(IF(OR($CC65="",K$14="",K$14&lt;_xlfn.SINGLE(INDEX('[1]ATTENDANCE DAILY'!$AV$4:$AV$663,$CC65)),K$14&gt;_xlfn.SINGLE(INDEX('[1]ATTENDANCE DAILY'!$AW$4:$AW$663,$CC65))),"",IF(_xlfn.SINGLE(INDEX('[1]ATTENDANCE DAILY'!$I$4:$AM$663,$CC65,DAY(K$14)))="T-Late","T-L",IF(_xlfn.SINGLE(INDEX('[1]ATTENDANCE DAILY'!$I$4:$AM$663,$CC65,DAY(K$14)))="T-Cutting","T-C",INDEX('[1]ATTENDANCE DAILY'!$I$4:$AM$663,$CC65,DAY(K$14)))))),IFERROR(IF(_xlpm._r=0,"",_xlpm._r),""))</f>
        <v/>
      </c>
      <c r="L65" s="99"/>
      <c r="M65" s="100" t="str">
        <f>_xlfn.LET(_xlpm._r,_xlfn.SINGLE(IF(OR($CC65="",M$14="",M$14&lt;_xlfn.SINGLE(INDEX('[1]ATTENDANCE DAILY'!$AV$4:$AV$663,$CC65)),M$14&gt;_xlfn.SINGLE(INDEX('[1]ATTENDANCE DAILY'!$AW$4:$AW$663,$CC65))),"",IF(_xlfn.SINGLE(INDEX('[1]ATTENDANCE DAILY'!$I$4:$AM$663,$CC65,DAY(M$14)))="T-Late","T-L",IF(_xlfn.SINGLE(INDEX('[1]ATTENDANCE DAILY'!$I$4:$AM$663,$CC65,DAY(M$14)))="T-Cutting","T-C",INDEX('[1]ATTENDANCE DAILY'!$I$4:$AM$663,$CC65,DAY(M$14)))))),IFERROR(IF(_xlpm._r=0,"",_xlpm._r),""))</f>
        <v/>
      </c>
      <c r="N65" s="100" t="str">
        <f>_xlfn.LET(_xlpm._r,_xlfn.SINGLE(IF(OR($CC65="",N$14="",N$14&lt;_xlfn.SINGLE(INDEX('[1]ATTENDANCE DAILY'!$AV$4:$AV$663,$CC65)),N$14&gt;_xlfn.SINGLE(INDEX('[1]ATTENDANCE DAILY'!$AW$4:$AW$663,$CC65))),"",IF(_xlfn.SINGLE(INDEX('[1]ATTENDANCE DAILY'!$I$4:$AM$663,$CC65,DAY(N$14)))="T-Late","T-L",IF(_xlfn.SINGLE(INDEX('[1]ATTENDANCE DAILY'!$I$4:$AM$663,$CC65,DAY(N$14)))="T-Cutting","T-C",INDEX('[1]ATTENDANCE DAILY'!$I$4:$AM$663,$CC65,DAY(N$14)))))),IFERROR(IF(_xlpm._r=0,"",_xlpm._r),""))</f>
        <v/>
      </c>
      <c r="O65" s="101" t="str">
        <f>_xlfn.LET(_xlpm._r,_xlfn.SINGLE(IF(OR($CC65="",O$14="",O$14&lt;_xlfn.SINGLE(INDEX('[1]ATTENDANCE DAILY'!$AV$4:$AV$663,$CC65)),O$14&gt;_xlfn.SINGLE(INDEX('[1]ATTENDANCE DAILY'!$AW$4:$AW$663,$CC65))),"",IF(_xlfn.SINGLE(INDEX('[1]ATTENDANCE DAILY'!$I$4:$AM$663,$CC65,DAY(O$14)))="T-Late","T-L",IF(_xlfn.SINGLE(INDEX('[1]ATTENDANCE DAILY'!$I$4:$AM$663,$CC65,DAY(O$14)))="T-Cutting","T-C",INDEX('[1]ATTENDANCE DAILY'!$I$4:$AM$663,$CC65,DAY(O$14)))))),IFERROR(IF(_xlpm._r=0,"",_xlpm._r),""))</f>
        <v/>
      </c>
      <c r="P65" s="102"/>
      <c r="Q65" s="102"/>
      <c r="R65" s="99"/>
      <c r="S65" s="101" t="str">
        <f>_xlfn.LET(_xlpm._r,_xlfn.SINGLE(IF(OR($CC65="",S$14="",S$14&lt;_xlfn.SINGLE(INDEX('[1]ATTENDANCE DAILY'!$AV$4:$AV$663,$CC65)),S$14&gt;_xlfn.SINGLE(INDEX('[1]ATTENDANCE DAILY'!$AW$4:$AW$663,$CC65))),"",IF(_xlfn.SINGLE(INDEX('[1]ATTENDANCE DAILY'!$I$4:$AM$663,$CC65,DAY(S$14)))="T-Late","T-L",IF(_xlfn.SINGLE(INDEX('[1]ATTENDANCE DAILY'!$I$4:$AM$663,$CC65,DAY(S$14)))="T-Cutting","T-C",INDEX('[1]ATTENDANCE DAILY'!$I$4:$AM$663,$CC65,DAY(S$14)))))),IFERROR(IF(_xlpm._r=0,"",_xlpm._r),""))</f>
        <v/>
      </c>
      <c r="T65" s="102"/>
      <c r="U65" s="103"/>
      <c r="V65" s="100" t="str">
        <f>_xlfn.LET(_xlpm._r,_xlfn.SINGLE(IF(OR($CC65="",V$14="",V$14&lt;_xlfn.SINGLE(INDEX('[1]ATTENDANCE DAILY'!$AV$4:$AV$663,$CC65)),V$14&gt;_xlfn.SINGLE(INDEX('[1]ATTENDANCE DAILY'!$AW$4:$AW$663,$CC65))),"",IF(_xlfn.SINGLE(INDEX('[1]ATTENDANCE DAILY'!$I$4:$AM$663,$CC65,DAY(V$14)))="T-Late","T-L",IF(_xlfn.SINGLE(INDEX('[1]ATTENDANCE DAILY'!$I$4:$AM$663,$CC65,DAY(V$14)))="T-Cutting","T-C",INDEX('[1]ATTENDANCE DAILY'!$I$4:$AM$663,$CC65,DAY(V$14)))))),IFERROR(IF(_xlpm._r=0,"",_xlpm._r),""))</f>
        <v/>
      </c>
      <c r="W65" s="101" t="str">
        <f>_xlfn.LET(_xlpm._r,_xlfn.SINGLE(IF(OR($CC65="",W$14="",W$14&lt;_xlfn.SINGLE(INDEX('[1]ATTENDANCE DAILY'!$AV$4:$AV$663,$CC65)),W$14&gt;_xlfn.SINGLE(INDEX('[1]ATTENDANCE DAILY'!$AW$4:$AW$663,$CC65))),"",IF(_xlfn.SINGLE(INDEX('[1]ATTENDANCE DAILY'!$I$4:$AM$663,$CC65,DAY(W$14)))="T-Late","T-L",IF(_xlfn.SINGLE(INDEX('[1]ATTENDANCE DAILY'!$I$4:$AM$663,$CC65,DAY(W$14)))="T-Cutting","T-C",INDEX('[1]ATTENDANCE DAILY'!$I$4:$AM$663,$CC65,DAY(W$14)))))),IFERROR(IF(_xlpm._r=0,"",_xlpm._r),""))</f>
        <v/>
      </c>
      <c r="X65" s="102"/>
      <c r="Y65" s="99"/>
      <c r="Z65" s="100" t="str">
        <f>_xlfn.LET(_xlpm._r,_xlfn.SINGLE(IF(OR($CC65="",Z$14="",Z$14&lt;_xlfn.SINGLE(INDEX('[1]ATTENDANCE DAILY'!$AV$4:$AV$663,$CC65)),Z$14&gt;_xlfn.SINGLE(INDEX('[1]ATTENDANCE DAILY'!$AW$4:$AW$663,$CC65))),"",IF(_xlfn.SINGLE(INDEX('[1]ATTENDANCE DAILY'!$I$4:$AM$663,$CC65,DAY(Z$14)))="T-Late","T-L",IF(_xlfn.SINGLE(INDEX('[1]ATTENDANCE DAILY'!$I$4:$AM$663,$CC65,DAY(Z$14)))="T-Cutting","T-C",INDEX('[1]ATTENDANCE DAILY'!$I$4:$AM$663,$CC65,DAY(Z$14)))))),IFERROR(IF(_xlpm._r=0,"",_xlpm._r),""))</f>
        <v/>
      </c>
      <c r="AA65" s="100" t="str">
        <f>_xlfn.LET(_xlpm._r,_xlfn.SINGLE(IF(OR($CC65="",AA$14="",AA$14&lt;_xlfn.SINGLE(INDEX('[1]ATTENDANCE DAILY'!$AV$4:$AV$663,$CC65)),AA$14&gt;_xlfn.SINGLE(INDEX('[1]ATTENDANCE DAILY'!$AW$4:$AW$663,$CC65))),"",IF(_xlfn.SINGLE(INDEX('[1]ATTENDANCE DAILY'!$I$4:$AM$663,$CC65,DAY(AA$14)))="T-Late","T-L",IF(_xlfn.SINGLE(INDEX('[1]ATTENDANCE DAILY'!$I$4:$AM$663,$CC65,DAY(AA$14)))="T-Cutting","T-C",INDEX('[1]ATTENDANCE DAILY'!$I$4:$AM$663,$CC65,DAY(AA$14)))))),IFERROR(IF(_xlpm._r=0,"",_xlpm._r),""))</f>
        <v/>
      </c>
      <c r="AB65" s="101" t="str">
        <f>_xlfn.LET(_xlpm._r,_xlfn.SINGLE(IF(OR($CC65="",AB$14="",AB$14&lt;_xlfn.SINGLE(INDEX('[1]ATTENDANCE DAILY'!$AV$4:$AV$663,$CC65)),AB$14&gt;_xlfn.SINGLE(INDEX('[1]ATTENDANCE DAILY'!$AW$4:$AW$663,$CC65))),"",IF(_xlfn.SINGLE(INDEX('[1]ATTENDANCE DAILY'!$I$4:$AM$663,$CC65,DAY(AB$14)))="T-Late","T-L",IF(_xlfn.SINGLE(INDEX('[1]ATTENDANCE DAILY'!$I$4:$AM$663,$CC65,DAY(AB$14)))="T-Cutting","T-C",INDEX('[1]ATTENDANCE DAILY'!$I$4:$AM$663,$CC65,DAY(AB$14)))))),IFERROR(IF(_xlpm._r=0,"",_xlpm._r),""))</f>
        <v/>
      </c>
      <c r="AC65" s="102"/>
      <c r="AD65" s="103"/>
      <c r="AE65" s="101" t="str">
        <f>_xlfn.LET(_xlpm._r,_xlfn.SINGLE(IF(OR($CC65="",AE$14="",AE$14&lt;_xlfn.SINGLE(INDEX('[1]ATTENDANCE DAILY'!$AV$4:$AV$663,$CC65)),AE$14&gt;_xlfn.SINGLE(INDEX('[1]ATTENDANCE DAILY'!$AW$4:$AW$663,$CC65))),"",IF(_xlfn.SINGLE(INDEX('[1]ATTENDANCE DAILY'!$I$4:$AM$663,$CC65,DAY(AE$14)))="T-Late","T-L",IF(_xlfn.SINGLE(INDEX('[1]ATTENDANCE DAILY'!$I$4:$AM$663,$CC65,DAY(AE$14)))="T-Cutting","T-C",INDEX('[1]ATTENDANCE DAILY'!$I$4:$AM$663,$CC65,DAY(AE$14)))))),IFERROR(IF(_xlpm._r=0,"",_xlpm._r),""))</f>
        <v/>
      </c>
      <c r="AF65" s="102"/>
      <c r="AG65" s="99"/>
      <c r="AH65" s="100" t="str">
        <f>_xlfn.LET(_xlpm._r,_xlfn.SINGLE(IF(OR($CC65="",AH$14="",AH$14&lt;_xlfn.SINGLE(INDEX('[1]ATTENDANCE DAILY'!$AV$4:$AV$663,$CC65)),AH$14&gt;_xlfn.SINGLE(INDEX('[1]ATTENDANCE DAILY'!$AW$4:$AW$663,$CC65))),"",IF(_xlfn.SINGLE(INDEX('[1]ATTENDANCE DAILY'!$I$4:$AM$663,$CC65,DAY(AH$14)))="T-Late","T-L",IF(_xlfn.SINGLE(INDEX('[1]ATTENDANCE DAILY'!$I$4:$AM$663,$CC65,DAY(AH$14)))="T-Cutting","T-C",INDEX('[1]ATTENDANCE DAILY'!$I$4:$AM$663,$CC65,DAY(AH$14)))))),IFERROR(IF(_xlpm._r=0,"",_xlpm._r),""))</f>
        <v/>
      </c>
      <c r="AI65" s="101" t="str">
        <f>_xlfn.LET(_xlpm._r,_xlfn.SINGLE(IF(OR($CC65="",AI$14="",AI$14&lt;_xlfn.SINGLE(INDEX('[1]ATTENDANCE DAILY'!$AV$4:$AV$663,$CC65)),AI$14&gt;_xlfn.SINGLE(INDEX('[1]ATTENDANCE DAILY'!$AW$4:$AW$663,$CC65))),"",IF(_xlfn.SINGLE(INDEX('[1]ATTENDANCE DAILY'!$I$4:$AM$663,$CC65,DAY(AI$14)))="T-Late","T-L",IF(_xlfn.SINGLE(INDEX('[1]ATTENDANCE DAILY'!$I$4:$AM$663,$CC65,DAY(AI$14)))="T-Cutting","T-C",INDEX('[1]ATTENDANCE DAILY'!$I$4:$AM$663,$CC65,DAY(AI$14)))))),IFERROR(IF(_xlpm._r=0,"",_xlpm._r),""))</f>
        <v/>
      </c>
      <c r="AJ65" s="102"/>
      <c r="AK65" s="99"/>
      <c r="AL65" s="101" t="str">
        <f>_xlfn.LET(_xlpm._r,_xlfn.SINGLE(IF(OR($CC65="",AL$14="",AL$14&lt;_xlfn.SINGLE(INDEX('[1]ATTENDANCE DAILY'!$AV$4:$AV$663,$CC65)),AL$14&gt;_xlfn.SINGLE(INDEX('[1]ATTENDANCE DAILY'!$AW$4:$AW$663,$CC65))),"",IF(_xlfn.SINGLE(INDEX('[1]ATTENDANCE DAILY'!$I$4:$AM$663,$CC65,DAY(AL$14)))="T-Late","T-L",IF(_xlfn.SINGLE(INDEX('[1]ATTENDANCE DAILY'!$I$4:$AM$663,$CC65,DAY(AL$14)))="T-Cutting","T-C",INDEX('[1]ATTENDANCE DAILY'!$I$4:$AM$663,$CC65,DAY(AL$14)))))),IFERROR(IF(_xlpm._r=0,"",_xlpm._r),""))</f>
        <v/>
      </c>
      <c r="AM65" s="99"/>
      <c r="AN65" s="101" t="str">
        <f>_xlfn.LET(_xlpm._r,_xlfn.SINGLE(IF(OR($CC65="",AN$14="",AN$14&lt;_xlfn.SINGLE(INDEX('[1]ATTENDANCE DAILY'!$AV$4:$AV$663,$CC65)),AN$14&gt;_xlfn.SINGLE(INDEX('[1]ATTENDANCE DAILY'!$AW$4:$AW$663,$CC65))),"",IF(_xlfn.SINGLE(INDEX('[1]ATTENDANCE DAILY'!$I$4:$AM$663,$CC65,DAY(AN$14)))="T-Late","T-L",IF(_xlfn.SINGLE(INDEX('[1]ATTENDANCE DAILY'!$I$4:$AM$663,$CC65,DAY(AN$14)))="T-Cutting","T-C",INDEX('[1]ATTENDANCE DAILY'!$I$4:$AM$663,$CC65,DAY(AN$14)))))),IFERROR(IF(_xlpm._r=0,"",_xlpm._r),""))</f>
        <v/>
      </c>
      <c r="AO65" s="103"/>
      <c r="AP65" s="101" t="str">
        <f>_xlfn.LET(_xlpm._r,_xlfn.SINGLE(IF(OR($CC65="",AP$14="",AP$14&lt;_xlfn.SINGLE(INDEX('[1]ATTENDANCE DAILY'!$AV$4:$AV$663,$CC65)),AP$14&gt;_xlfn.SINGLE(INDEX('[1]ATTENDANCE DAILY'!$AW$4:$AW$663,$CC65))),"",IF(_xlfn.SINGLE(INDEX('[1]ATTENDANCE DAILY'!$I$4:$AM$663,$CC65,DAY(AP$14)))="T-Late","T-L",IF(_xlfn.SINGLE(INDEX('[1]ATTENDANCE DAILY'!$I$4:$AM$663,$CC65,DAY(AP$14)))="T-Cutting","T-C",INDEX('[1]ATTENDANCE DAILY'!$I$4:$AM$663,$CC65,DAY(AP$14)))))),IFERROR(IF(_xlpm._r=0,"",_xlpm._r),""))</f>
        <v/>
      </c>
      <c r="AQ65" s="99"/>
      <c r="AR65" s="100" t="str">
        <f>_xlfn.LET(_xlpm._r,_xlfn.SINGLE(IF(OR($CC65="",AR$14="",AR$14&lt;_xlfn.SINGLE(INDEX('[1]ATTENDANCE DAILY'!$AV$4:$AV$663,$CC65)),AR$14&gt;_xlfn.SINGLE(INDEX('[1]ATTENDANCE DAILY'!$AW$4:$AW$663,$CC65))),"",IF(_xlfn.SINGLE(INDEX('[1]ATTENDANCE DAILY'!$I$4:$AM$663,$CC65,DAY(AR$14)))="T-Late","T-L",IF(_xlfn.SINGLE(INDEX('[1]ATTENDANCE DAILY'!$I$4:$AM$663,$CC65,DAY(AR$14)))="T-Cutting","T-C",INDEX('[1]ATTENDANCE DAILY'!$I$4:$AM$663,$CC65,DAY(AR$14)))))),IFERROR(IF(_xlpm._r=0,"",_xlpm._r),""))</f>
        <v/>
      </c>
      <c r="AS65" s="101" t="str">
        <f>_xlfn.LET(_xlpm._r,_xlfn.SINGLE(IF(OR($CC65="",AS$14="",AS$14&lt;_xlfn.SINGLE(INDEX('[1]ATTENDANCE DAILY'!$AV$4:$AV$663,$CC65)),AS$14&gt;_xlfn.SINGLE(INDEX('[1]ATTENDANCE DAILY'!$AW$4:$AW$663,$CC65))),"",IF(_xlfn.SINGLE(INDEX('[1]ATTENDANCE DAILY'!$I$4:$AM$663,$CC65,DAY(AS$14)))="T-Late","T-L",IF(_xlfn.SINGLE(INDEX('[1]ATTENDANCE DAILY'!$I$4:$AM$663,$CC65,DAY(AS$14)))="T-Cutting","T-C",INDEX('[1]ATTENDANCE DAILY'!$I$4:$AM$663,$CC65,DAY(AS$14)))))),IFERROR(IF(_xlpm._r=0,"",_xlpm._r),""))</f>
        <v/>
      </c>
      <c r="AT65" s="99"/>
      <c r="AU65" s="100" t="str">
        <f>_xlfn.LET(_xlpm._r,_xlfn.SINGLE(IF(OR($CC65="",AU$14="",AU$14&lt;_xlfn.SINGLE(INDEX('[1]ATTENDANCE DAILY'!$AV$4:$AV$663,$CC65)),AU$14&gt;_xlfn.SINGLE(INDEX('[1]ATTENDANCE DAILY'!$AW$4:$AW$663,$CC65))),"",IF(_xlfn.SINGLE(INDEX('[1]ATTENDANCE DAILY'!$I$4:$AM$663,$CC65,DAY(AU$14)))="T-Late","T-L",IF(_xlfn.SINGLE(INDEX('[1]ATTENDANCE DAILY'!$I$4:$AM$663,$CC65,DAY(AU$14)))="T-Cutting","T-C",INDEX('[1]ATTENDANCE DAILY'!$I$4:$AM$663,$CC65,DAY(AU$14)))))),IFERROR(IF(_xlpm._r=0,"",_xlpm._r),""))</f>
        <v/>
      </c>
      <c r="AV65" s="104" t="str">
        <f>_xlfn.LET(_xlpm._r,_xlfn.SINGLE(IF(OR($CC65="",AV$14="",AV$14&lt;_xlfn.SINGLE(INDEX('[1]ATTENDANCE DAILY'!$AV$4:$AV$663,$CC65)),AV$14&gt;_xlfn.SINGLE(INDEX('[1]ATTENDANCE DAILY'!$AW$4:$AW$663,$CC65))),"",IF(_xlfn.SINGLE(INDEX('[1]ATTENDANCE DAILY'!$I$4:$AM$663,$CC65,DAY(AV$14)))="T-Late","T-L",IF(_xlfn.SINGLE(INDEX('[1]ATTENDANCE DAILY'!$I$4:$AM$663,$CC65,DAY(AV$14)))="T-Cutting","T-C",INDEX('[1]ATTENDANCE DAILY'!$I$4:$AM$663,$CC65,DAY(AV$14)))))),IFERROR(IF(_xlpm._r=0,"",_xlpm._r),""))</f>
        <v/>
      </c>
      <c r="AW65" s="101" t="str">
        <f>_xlfn.LET(_xlpm._r,_xlfn.SINGLE(IF(OR($CC65="",AW$14="",AW$14&lt;_xlfn.SINGLE(INDEX('[1]ATTENDANCE DAILY'!$AV$4:$AV$663,$CC65)),AW$14&gt;_xlfn.SINGLE(INDEX('[1]ATTENDANCE DAILY'!$AW$4:$AW$663,$CC65))),"",IF(_xlfn.SINGLE(INDEX('[1]ATTENDANCE DAILY'!$I$4:$AM$663,$CC65,DAY(AW$14)))="T-Late","T-L",IF(_xlfn.SINGLE(INDEX('[1]ATTENDANCE DAILY'!$I$4:$AM$663,$CC65,DAY(AW$14)))="T-Cutting","T-C",INDEX('[1]ATTENDANCE DAILY'!$I$4:$AM$663,$CC65,DAY(AW$14)))))),IFERROR(IF(_xlpm._r=0,"",_xlpm._r),""))</f>
        <v/>
      </c>
      <c r="AX65" s="99"/>
      <c r="AY65" s="101" t="str">
        <f>_xlfn.LET(_xlpm._r,_xlfn.SINGLE(IF(OR($CC65="",AY$14="",AY$14&lt;_xlfn.SINGLE(INDEX('[1]ATTENDANCE DAILY'!$AV$4:$AV$663,$CC65)),AY$14&gt;_xlfn.SINGLE(INDEX('[1]ATTENDANCE DAILY'!$AW$4:$AW$663,$CC65))),"",IF(_xlfn.SINGLE(INDEX('[1]ATTENDANCE DAILY'!$I$4:$AM$663,$CC65,DAY(AY$14)))="T-Late","T-L",IF(_xlfn.SINGLE(INDEX('[1]ATTENDANCE DAILY'!$I$4:$AM$663,$CC65,DAY(AY$14)))="T-Cutting","T-C",INDEX('[1]ATTENDANCE DAILY'!$I$4:$AM$663,$CC65,DAY(AY$14)))))),IFERROR(IF(_xlpm._r=0,"",_xlpm._r),""))</f>
        <v/>
      </c>
      <c r="AZ65" s="102"/>
      <c r="BA65" s="99"/>
      <c r="BB65" s="101" t="str">
        <f>_xlfn.LET(_xlpm._r,_xlfn.SINGLE(IF(OR($CC65="",BB$14="",BB$14&lt;_xlfn.SINGLE(INDEX('[1]ATTENDANCE DAILY'!$AV$4:$AV$663,$CC65)),BB$14&gt;_xlfn.SINGLE(INDEX('[1]ATTENDANCE DAILY'!$AW$4:$AW$663,$CC65))),"",IF(_xlfn.SINGLE(INDEX('[1]ATTENDANCE DAILY'!$I$4:$AM$663,$CC65,DAY(BB$14)))="T-Late","T-L",IF(_xlfn.SINGLE(INDEX('[1]ATTENDANCE DAILY'!$I$4:$AM$663,$CC65,DAY(BB$14)))="T-Cutting","T-C",INDEX('[1]ATTENDANCE DAILY'!$I$4:$AM$663,$CC65,DAY(BB$14)))))),IFERROR(IF(_xlpm._r=0,"",_xlpm._r),""))</f>
        <v/>
      </c>
      <c r="BC65" s="99"/>
      <c r="BD65" s="100" t="str">
        <f>_xlfn.LET(_xlpm._r,_xlfn.SINGLE(IF(OR($CC65="",BD$14="",BD$14&lt;_xlfn.SINGLE(INDEX('[1]ATTENDANCE DAILY'!$AV$4:$AV$663,$CC65)),BD$14&gt;_xlfn.SINGLE(INDEX('[1]ATTENDANCE DAILY'!$AW$4:$AW$663,$CC65))),"",IF(_xlfn.SINGLE(INDEX('[1]ATTENDANCE DAILY'!$I$4:$AM$663,$CC65,DAY(BD$14)))="T-Late","T-L",IF(_xlfn.SINGLE(INDEX('[1]ATTENDANCE DAILY'!$I$4:$AM$663,$CC65,DAY(BD$14)))="T-Cutting","T-C",INDEX('[1]ATTENDANCE DAILY'!$I$4:$AM$663,$CC65,DAY(BD$14)))))),IFERROR(IF(_xlpm._r=0,"",_xlpm._r),""))</f>
        <v/>
      </c>
      <c r="BE65" s="101" t="str">
        <f>_xlfn.LET(_xlpm._r,_xlfn.SINGLE(IF(OR($CC65="",BE$14="",BE$14&lt;_xlfn.SINGLE(INDEX('[1]ATTENDANCE DAILY'!$AV$4:$AV$663,$CC65)),BE$14&gt;_xlfn.SINGLE(INDEX('[1]ATTENDANCE DAILY'!$AW$4:$AW$663,$CC65))),"",IF(_xlfn.SINGLE(INDEX('[1]ATTENDANCE DAILY'!$I$4:$AM$663,$CC65,DAY(BE$14)))="T-Late","T-L",IF(_xlfn.SINGLE(INDEX('[1]ATTENDANCE DAILY'!$I$4:$AM$663,$CC65,DAY(BE$14)))="T-Cutting","T-C",INDEX('[1]ATTENDANCE DAILY'!$I$4:$AM$663,$CC65,DAY(BE$14)))))),IFERROR(IF(_xlpm._r=0,"",_xlpm._r),""))</f>
        <v/>
      </c>
      <c r="BF65" s="102"/>
      <c r="BG65" s="102"/>
      <c r="BH65" s="103"/>
      <c r="BI65" s="105" t="str">
        <f>IF($CC65="","",INDEX('[1]ATTENDANCE DAILY'!$AR$4:$AR$663,$CC65))</f>
        <v/>
      </c>
      <c r="BJ65" s="106"/>
      <c r="BK65" s="107"/>
      <c r="BL65" s="105" t="str">
        <f>IF($CC65="","",INDEX('[1]ATTENDANCE DAILY'!$AS$4:$AS$663,$CC65))</f>
        <v/>
      </c>
      <c r="BM65" s="106"/>
      <c r="BN65" s="106"/>
      <c r="BO65" s="107"/>
      <c r="BP65" s="105" t="str">
        <f>IF($CC65="","",IF(INDEX('[1]ATTENDANCE DAILY'!$AN$4:$AN$663,$CC65)="","",INDEX('[1]ATTENDANCE DAILY'!$AN$4:$AN$663,$CC65)&amp;IF(INDEX('[1]ATTENDANCE DAILY'!$AO$4:$AO$663,$CC65)="",""," ("&amp;TEXT(INDEX('[1]ATTENDANCE DAILY'!$AO$4:$AO$663,$CC65),"mm-dd-yyyy")&amp;")")&amp;IF(INDEX('[1]ATTENDANCE DAILY'!$AP$4:$AP$663,$CC65)="",""," - "&amp;INDEX('[1]ATTENDANCE DAILY'!$AP$4:$AP$663,$CC65))))</f>
        <v/>
      </c>
      <c r="BQ65" s="106"/>
      <c r="BR65" s="106"/>
      <c r="BS65" s="106"/>
      <c r="BT65" s="106"/>
      <c r="BU65" s="106"/>
      <c r="BV65" s="106"/>
      <c r="BW65" s="106"/>
      <c r="BX65" s="106"/>
      <c r="BY65" s="106"/>
      <c r="BZ65" s="106"/>
      <c r="CA65" s="107"/>
      <c r="CC65" t="str">
        <f>IF(COUNTIFS('[1]ATTENDANCE DAILY'!$C$4:$C$663,$BN$11,'[1]ATTENDANCE DAILY'!$F$4:$F$663,"Female",'[1]ATTENDANCE DAILY'!$G$4:$G$663,1,'[1]ATTENDANCE DAILY'!$BA$4:$BA$663,22)=0,"",SUMIFS('[1]ATTENDANCE DAILY'!$A$4:$A$663,'[1]ATTENDANCE DAILY'!$C$4:$C$663,$BN$11,'[1]ATTENDANCE DAILY'!$F$4:$F$663,"Female",'[1]ATTENDANCE DAILY'!$G$4:$G$663,1,'[1]ATTENDANCE DAILY'!$BA$4:$BA$663,22))</f>
        <v/>
      </c>
    </row>
    <row r="66" spans="1:81" ht="19.95" customHeight="1" thickTop="1" thickBot="1">
      <c r="A66" s="92">
        <v>23</v>
      </c>
      <c r="B66" s="93"/>
      <c r="C66" s="93"/>
      <c r="D66" s="93"/>
      <c r="E66" s="93"/>
      <c r="F66" s="94"/>
      <c r="G66" s="95" t="str">
        <f>IF($CC66="","",INDEX('[1]ATTENDANCE DAILY'!$E$4:$E$663,$CC66))</f>
        <v/>
      </c>
      <c r="H66" s="96"/>
      <c r="I66" s="96"/>
      <c r="J66" s="97"/>
      <c r="K66" s="98" t="str">
        <f>_xlfn.LET(_xlpm._r,_xlfn.SINGLE(IF(OR($CC66="",K$14="",K$14&lt;_xlfn.SINGLE(INDEX('[1]ATTENDANCE DAILY'!$AV$4:$AV$663,$CC66)),K$14&gt;_xlfn.SINGLE(INDEX('[1]ATTENDANCE DAILY'!$AW$4:$AW$663,$CC66))),"",IF(_xlfn.SINGLE(INDEX('[1]ATTENDANCE DAILY'!$I$4:$AM$663,$CC66,DAY(K$14)))="T-Late","T-L",IF(_xlfn.SINGLE(INDEX('[1]ATTENDANCE DAILY'!$I$4:$AM$663,$CC66,DAY(K$14)))="T-Cutting","T-C",INDEX('[1]ATTENDANCE DAILY'!$I$4:$AM$663,$CC66,DAY(K$14)))))),IFERROR(IF(_xlpm._r=0,"",_xlpm._r),""))</f>
        <v/>
      </c>
      <c r="L66" s="99"/>
      <c r="M66" s="100" t="str">
        <f>_xlfn.LET(_xlpm._r,_xlfn.SINGLE(IF(OR($CC66="",M$14="",M$14&lt;_xlfn.SINGLE(INDEX('[1]ATTENDANCE DAILY'!$AV$4:$AV$663,$CC66)),M$14&gt;_xlfn.SINGLE(INDEX('[1]ATTENDANCE DAILY'!$AW$4:$AW$663,$CC66))),"",IF(_xlfn.SINGLE(INDEX('[1]ATTENDANCE DAILY'!$I$4:$AM$663,$CC66,DAY(M$14)))="T-Late","T-L",IF(_xlfn.SINGLE(INDEX('[1]ATTENDANCE DAILY'!$I$4:$AM$663,$CC66,DAY(M$14)))="T-Cutting","T-C",INDEX('[1]ATTENDANCE DAILY'!$I$4:$AM$663,$CC66,DAY(M$14)))))),IFERROR(IF(_xlpm._r=0,"",_xlpm._r),""))</f>
        <v/>
      </c>
      <c r="N66" s="100" t="str">
        <f>_xlfn.LET(_xlpm._r,_xlfn.SINGLE(IF(OR($CC66="",N$14="",N$14&lt;_xlfn.SINGLE(INDEX('[1]ATTENDANCE DAILY'!$AV$4:$AV$663,$CC66)),N$14&gt;_xlfn.SINGLE(INDEX('[1]ATTENDANCE DAILY'!$AW$4:$AW$663,$CC66))),"",IF(_xlfn.SINGLE(INDEX('[1]ATTENDANCE DAILY'!$I$4:$AM$663,$CC66,DAY(N$14)))="T-Late","T-L",IF(_xlfn.SINGLE(INDEX('[1]ATTENDANCE DAILY'!$I$4:$AM$663,$CC66,DAY(N$14)))="T-Cutting","T-C",INDEX('[1]ATTENDANCE DAILY'!$I$4:$AM$663,$CC66,DAY(N$14)))))),IFERROR(IF(_xlpm._r=0,"",_xlpm._r),""))</f>
        <v/>
      </c>
      <c r="O66" s="101" t="str">
        <f>_xlfn.LET(_xlpm._r,_xlfn.SINGLE(IF(OR($CC66="",O$14="",O$14&lt;_xlfn.SINGLE(INDEX('[1]ATTENDANCE DAILY'!$AV$4:$AV$663,$CC66)),O$14&gt;_xlfn.SINGLE(INDEX('[1]ATTENDANCE DAILY'!$AW$4:$AW$663,$CC66))),"",IF(_xlfn.SINGLE(INDEX('[1]ATTENDANCE DAILY'!$I$4:$AM$663,$CC66,DAY(O$14)))="T-Late","T-L",IF(_xlfn.SINGLE(INDEX('[1]ATTENDANCE DAILY'!$I$4:$AM$663,$CC66,DAY(O$14)))="T-Cutting","T-C",INDEX('[1]ATTENDANCE DAILY'!$I$4:$AM$663,$CC66,DAY(O$14)))))),IFERROR(IF(_xlpm._r=0,"",_xlpm._r),""))</f>
        <v/>
      </c>
      <c r="P66" s="102"/>
      <c r="Q66" s="102"/>
      <c r="R66" s="99"/>
      <c r="S66" s="101" t="str">
        <f>_xlfn.LET(_xlpm._r,_xlfn.SINGLE(IF(OR($CC66="",S$14="",S$14&lt;_xlfn.SINGLE(INDEX('[1]ATTENDANCE DAILY'!$AV$4:$AV$663,$CC66)),S$14&gt;_xlfn.SINGLE(INDEX('[1]ATTENDANCE DAILY'!$AW$4:$AW$663,$CC66))),"",IF(_xlfn.SINGLE(INDEX('[1]ATTENDANCE DAILY'!$I$4:$AM$663,$CC66,DAY(S$14)))="T-Late","T-L",IF(_xlfn.SINGLE(INDEX('[1]ATTENDANCE DAILY'!$I$4:$AM$663,$CC66,DAY(S$14)))="T-Cutting","T-C",INDEX('[1]ATTENDANCE DAILY'!$I$4:$AM$663,$CC66,DAY(S$14)))))),IFERROR(IF(_xlpm._r=0,"",_xlpm._r),""))</f>
        <v/>
      </c>
      <c r="T66" s="102"/>
      <c r="U66" s="103"/>
      <c r="V66" s="100" t="str">
        <f>_xlfn.LET(_xlpm._r,_xlfn.SINGLE(IF(OR($CC66="",V$14="",V$14&lt;_xlfn.SINGLE(INDEX('[1]ATTENDANCE DAILY'!$AV$4:$AV$663,$CC66)),V$14&gt;_xlfn.SINGLE(INDEX('[1]ATTENDANCE DAILY'!$AW$4:$AW$663,$CC66))),"",IF(_xlfn.SINGLE(INDEX('[1]ATTENDANCE DAILY'!$I$4:$AM$663,$CC66,DAY(V$14)))="T-Late","T-L",IF(_xlfn.SINGLE(INDEX('[1]ATTENDANCE DAILY'!$I$4:$AM$663,$CC66,DAY(V$14)))="T-Cutting","T-C",INDEX('[1]ATTENDANCE DAILY'!$I$4:$AM$663,$CC66,DAY(V$14)))))),IFERROR(IF(_xlpm._r=0,"",_xlpm._r),""))</f>
        <v/>
      </c>
      <c r="W66" s="101" t="str">
        <f>_xlfn.LET(_xlpm._r,_xlfn.SINGLE(IF(OR($CC66="",W$14="",W$14&lt;_xlfn.SINGLE(INDEX('[1]ATTENDANCE DAILY'!$AV$4:$AV$663,$CC66)),W$14&gt;_xlfn.SINGLE(INDEX('[1]ATTENDANCE DAILY'!$AW$4:$AW$663,$CC66))),"",IF(_xlfn.SINGLE(INDEX('[1]ATTENDANCE DAILY'!$I$4:$AM$663,$CC66,DAY(W$14)))="T-Late","T-L",IF(_xlfn.SINGLE(INDEX('[1]ATTENDANCE DAILY'!$I$4:$AM$663,$CC66,DAY(W$14)))="T-Cutting","T-C",INDEX('[1]ATTENDANCE DAILY'!$I$4:$AM$663,$CC66,DAY(W$14)))))),IFERROR(IF(_xlpm._r=0,"",_xlpm._r),""))</f>
        <v/>
      </c>
      <c r="X66" s="102"/>
      <c r="Y66" s="99"/>
      <c r="Z66" s="100" t="str">
        <f>_xlfn.LET(_xlpm._r,_xlfn.SINGLE(IF(OR($CC66="",Z$14="",Z$14&lt;_xlfn.SINGLE(INDEX('[1]ATTENDANCE DAILY'!$AV$4:$AV$663,$CC66)),Z$14&gt;_xlfn.SINGLE(INDEX('[1]ATTENDANCE DAILY'!$AW$4:$AW$663,$CC66))),"",IF(_xlfn.SINGLE(INDEX('[1]ATTENDANCE DAILY'!$I$4:$AM$663,$CC66,DAY(Z$14)))="T-Late","T-L",IF(_xlfn.SINGLE(INDEX('[1]ATTENDANCE DAILY'!$I$4:$AM$663,$CC66,DAY(Z$14)))="T-Cutting","T-C",INDEX('[1]ATTENDANCE DAILY'!$I$4:$AM$663,$CC66,DAY(Z$14)))))),IFERROR(IF(_xlpm._r=0,"",_xlpm._r),""))</f>
        <v/>
      </c>
      <c r="AA66" s="100" t="str">
        <f>_xlfn.LET(_xlpm._r,_xlfn.SINGLE(IF(OR($CC66="",AA$14="",AA$14&lt;_xlfn.SINGLE(INDEX('[1]ATTENDANCE DAILY'!$AV$4:$AV$663,$CC66)),AA$14&gt;_xlfn.SINGLE(INDEX('[1]ATTENDANCE DAILY'!$AW$4:$AW$663,$CC66))),"",IF(_xlfn.SINGLE(INDEX('[1]ATTENDANCE DAILY'!$I$4:$AM$663,$CC66,DAY(AA$14)))="T-Late","T-L",IF(_xlfn.SINGLE(INDEX('[1]ATTENDANCE DAILY'!$I$4:$AM$663,$CC66,DAY(AA$14)))="T-Cutting","T-C",INDEX('[1]ATTENDANCE DAILY'!$I$4:$AM$663,$CC66,DAY(AA$14)))))),IFERROR(IF(_xlpm._r=0,"",_xlpm._r),""))</f>
        <v/>
      </c>
      <c r="AB66" s="101" t="str">
        <f>_xlfn.LET(_xlpm._r,_xlfn.SINGLE(IF(OR($CC66="",AB$14="",AB$14&lt;_xlfn.SINGLE(INDEX('[1]ATTENDANCE DAILY'!$AV$4:$AV$663,$CC66)),AB$14&gt;_xlfn.SINGLE(INDEX('[1]ATTENDANCE DAILY'!$AW$4:$AW$663,$CC66))),"",IF(_xlfn.SINGLE(INDEX('[1]ATTENDANCE DAILY'!$I$4:$AM$663,$CC66,DAY(AB$14)))="T-Late","T-L",IF(_xlfn.SINGLE(INDEX('[1]ATTENDANCE DAILY'!$I$4:$AM$663,$CC66,DAY(AB$14)))="T-Cutting","T-C",INDEX('[1]ATTENDANCE DAILY'!$I$4:$AM$663,$CC66,DAY(AB$14)))))),IFERROR(IF(_xlpm._r=0,"",_xlpm._r),""))</f>
        <v/>
      </c>
      <c r="AC66" s="102"/>
      <c r="AD66" s="103"/>
      <c r="AE66" s="101" t="str">
        <f>_xlfn.LET(_xlpm._r,_xlfn.SINGLE(IF(OR($CC66="",AE$14="",AE$14&lt;_xlfn.SINGLE(INDEX('[1]ATTENDANCE DAILY'!$AV$4:$AV$663,$CC66)),AE$14&gt;_xlfn.SINGLE(INDEX('[1]ATTENDANCE DAILY'!$AW$4:$AW$663,$CC66))),"",IF(_xlfn.SINGLE(INDEX('[1]ATTENDANCE DAILY'!$I$4:$AM$663,$CC66,DAY(AE$14)))="T-Late","T-L",IF(_xlfn.SINGLE(INDEX('[1]ATTENDANCE DAILY'!$I$4:$AM$663,$CC66,DAY(AE$14)))="T-Cutting","T-C",INDEX('[1]ATTENDANCE DAILY'!$I$4:$AM$663,$CC66,DAY(AE$14)))))),IFERROR(IF(_xlpm._r=0,"",_xlpm._r),""))</f>
        <v/>
      </c>
      <c r="AF66" s="102"/>
      <c r="AG66" s="99"/>
      <c r="AH66" s="100" t="str">
        <f>_xlfn.LET(_xlpm._r,_xlfn.SINGLE(IF(OR($CC66="",AH$14="",AH$14&lt;_xlfn.SINGLE(INDEX('[1]ATTENDANCE DAILY'!$AV$4:$AV$663,$CC66)),AH$14&gt;_xlfn.SINGLE(INDEX('[1]ATTENDANCE DAILY'!$AW$4:$AW$663,$CC66))),"",IF(_xlfn.SINGLE(INDEX('[1]ATTENDANCE DAILY'!$I$4:$AM$663,$CC66,DAY(AH$14)))="T-Late","T-L",IF(_xlfn.SINGLE(INDEX('[1]ATTENDANCE DAILY'!$I$4:$AM$663,$CC66,DAY(AH$14)))="T-Cutting","T-C",INDEX('[1]ATTENDANCE DAILY'!$I$4:$AM$663,$CC66,DAY(AH$14)))))),IFERROR(IF(_xlpm._r=0,"",_xlpm._r),""))</f>
        <v/>
      </c>
      <c r="AI66" s="101" t="str">
        <f>_xlfn.LET(_xlpm._r,_xlfn.SINGLE(IF(OR($CC66="",AI$14="",AI$14&lt;_xlfn.SINGLE(INDEX('[1]ATTENDANCE DAILY'!$AV$4:$AV$663,$CC66)),AI$14&gt;_xlfn.SINGLE(INDEX('[1]ATTENDANCE DAILY'!$AW$4:$AW$663,$CC66))),"",IF(_xlfn.SINGLE(INDEX('[1]ATTENDANCE DAILY'!$I$4:$AM$663,$CC66,DAY(AI$14)))="T-Late","T-L",IF(_xlfn.SINGLE(INDEX('[1]ATTENDANCE DAILY'!$I$4:$AM$663,$CC66,DAY(AI$14)))="T-Cutting","T-C",INDEX('[1]ATTENDANCE DAILY'!$I$4:$AM$663,$CC66,DAY(AI$14)))))),IFERROR(IF(_xlpm._r=0,"",_xlpm._r),""))</f>
        <v/>
      </c>
      <c r="AJ66" s="102"/>
      <c r="AK66" s="99"/>
      <c r="AL66" s="101" t="str">
        <f>_xlfn.LET(_xlpm._r,_xlfn.SINGLE(IF(OR($CC66="",AL$14="",AL$14&lt;_xlfn.SINGLE(INDEX('[1]ATTENDANCE DAILY'!$AV$4:$AV$663,$CC66)),AL$14&gt;_xlfn.SINGLE(INDEX('[1]ATTENDANCE DAILY'!$AW$4:$AW$663,$CC66))),"",IF(_xlfn.SINGLE(INDEX('[1]ATTENDANCE DAILY'!$I$4:$AM$663,$CC66,DAY(AL$14)))="T-Late","T-L",IF(_xlfn.SINGLE(INDEX('[1]ATTENDANCE DAILY'!$I$4:$AM$663,$CC66,DAY(AL$14)))="T-Cutting","T-C",INDEX('[1]ATTENDANCE DAILY'!$I$4:$AM$663,$CC66,DAY(AL$14)))))),IFERROR(IF(_xlpm._r=0,"",_xlpm._r),""))</f>
        <v/>
      </c>
      <c r="AM66" s="99"/>
      <c r="AN66" s="101" t="str">
        <f>_xlfn.LET(_xlpm._r,_xlfn.SINGLE(IF(OR($CC66="",AN$14="",AN$14&lt;_xlfn.SINGLE(INDEX('[1]ATTENDANCE DAILY'!$AV$4:$AV$663,$CC66)),AN$14&gt;_xlfn.SINGLE(INDEX('[1]ATTENDANCE DAILY'!$AW$4:$AW$663,$CC66))),"",IF(_xlfn.SINGLE(INDEX('[1]ATTENDANCE DAILY'!$I$4:$AM$663,$CC66,DAY(AN$14)))="T-Late","T-L",IF(_xlfn.SINGLE(INDEX('[1]ATTENDANCE DAILY'!$I$4:$AM$663,$CC66,DAY(AN$14)))="T-Cutting","T-C",INDEX('[1]ATTENDANCE DAILY'!$I$4:$AM$663,$CC66,DAY(AN$14)))))),IFERROR(IF(_xlpm._r=0,"",_xlpm._r),""))</f>
        <v/>
      </c>
      <c r="AO66" s="103"/>
      <c r="AP66" s="101" t="str">
        <f>_xlfn.LET(_xlpm._r,_xlfn.SINGLE(IF(OR($CC66="",AP$14="",AP$14&lt;_xlfn.SINGLE(INDEX('[1]ATTENDANCE DAILY'!$AV$4:$AV$663,$CC66)),AP$14&gt;_xlfn.SINGLE(INDEX('[1]ATTENDANCE DAILY'!$AW$4:$AW$663,$CC66))),"",IF(_xlfn.SINGLE(INDEX('[1]ATTENDANCE DAILY'!$I$4:$AM$663,$CC66,DAY(AP$14)))="T-Late","T-L",IF(_xlfn.SINGLE(INDEX('[1]ATTENDANCE DAILY'!$I$4:$AM$663,$CC66,DAY(AP$14)))="T-Cutting","T-C",INDEX('[1]ATTENDANCE DAILY'!$I$4:$AM$663,$CC66,DAY(AP$14)))))),IFERROR(IF(_xlpm._r=0,"",_xlpm._r),""))</f>
        <v/>
      </c>
      <c r="AQ66" s="99"/>
      <c r="AR66" s="100" t="str">
        <f>_xlfn.LET(_xlpm._r,_xlfn.SINGLE(IF(OR($CC66="",AR$14="",AR$14&lt;_xlfn.SINGLE(INDEX('[1]ATTENDANCE DAILY'!$AV$4:$AV$663,$CC66)),AR$14&gt;_xlfn.SINGLE(INDEX('[1]ATTENDANCE DAILY'!$AW$4:$AW$663,$CC66))),"",IF(_xlfn.SINGLE(INDEX('[1]ATTENDANCE DAILY'!$I$4:$AM$663,$CC66,DAY(AR$14)))="T-Late","T-L",IF(_xlfn.SINGLE(INDEX('[1]ATTENDANCE DAILY'!$I$4:$AM$663,$CC66,DAY(AR$14)))="T-Cutting","T-C",INDEX('[1]ATTENDANCE DAILY'!$I$4:$AM$663,$CC66,DAY(AR$14)))))),IFERROR(IF(_xlpm._r=0,"",_xlpm._r),""))</f>
        <v/>
      </c>
      <c r="AS66" s="101" t="str">
        <f>_xlfn.LET(_xlpm._r,_xlfn.SINGLE(IF(OR($CC66="",AS$14="",AS$14&lt;_xlfn.SINGLE(INDEX('[1]ATTENDANCE DAILY'!$AV$4:$AV$663,$CC66)),AS$14&gt;_xlfn.SINGLE(INDEX('[1]ATTENDANCE DAILY'!$AW$4:$AW$663,$CC66))),"",IF(_xlfn.SINGLE(INDEX('[1]ATTENDANCE DAILY'!$I$4:$AM$663,$CC66,DAY(AS$14)))="T-Late","T-L",IF(_xlfn.SINGLE(INDEX('[1]ATTENDANCE DAILY'!$I$4:$AM$663,$CC66,DAY(AS$14)))="T-Cutting","T-C",INDEX('[1]ATTENDANCE DAILY'!$I$4:$AM$663,$CC66,DAY(AS$14)))))),IFERROR(IF(_xlpm._r=0,"",_xlpm._r),""))</f>
        <v/>
      </c>
      <c r="AT66" s="99"/>
      <c r="AU66" s="100" t="str">
        <f>_xlfn.LET(_xlpm._r,_xlfn.SINGLE(IF(OR($CC66="",AU$14="",AU$14&lt;_xlfn.SINGLE(INDEX('[1]ATTENDANCE DAILY'!$AV$4:$AV$663,$CC66)),AU$14&gt;_xlfn.SINGLE(INDEX('[1]ATTENDANCE DAILY'!$AW$4:$AW$663,$CC66))),"",IF(_xlfn.SINGLE(INDEX('[1]ATTENDANCE DAILY'!$I$4:$AM$663,$CC66,DAY(AU$14)))="T-Late","T-L",IF(_xlfn.SINGLE(INDEX('[1]ATTENDANCE DAILY'!$I$4:$AM$663,$CC66,DAY(AU$14)))="T-Cutting","T-C",INDEX('[1]ATTENDANCE DAILY'!$I$4:$AM$663,$CC66,DAY(AU$14)))))),IFERROR(IF(_xlpm._r=0,"",_xlpm._r),""))</f>
        <v/>
      </c>
      <c r="AV66" s="104" t="str">
        <f>_xlfn.LET(_xlpm._r,_xlfn.SINGLE(IF(OR($CC66="",AV$14="",AV$14&lt;_xlfn.SINGLE(INDEX('[1]ATTENDANCE DAILY'!$AV$4:$AV$663,$CC66)),AV$14&gt;_xlfn.SINGLE(INDEX('[1]ATTENDANCE DAILY'!$AW$4:$AW$663,$CC66))),"",IF(_xlfn.SINGLE(INDEX('[1]ATTENDANCE DAILY'!$I$4:$AM$663,$CC66,DAY(AV$14)))="T-Late","T-L",IF(_xlfn.SINGLE(INDEX('[1]ATTENDANCE DAILY'!$I$4:$AM$663,$CC66,DAY(AV$14)))="T-Cutting","T-C",INDEX('[1]ATTENDANCE DAILY'!$I$4:$AM$663,$CC66,DAY(AV$14)))))),IFERROR(IF(_xlpm._r=0,"",_xlpm._r),""))</f>
        <v/>
      </c>
      <c r="AW66" s="101" t="str">
        <f>_xlfn.LET(_xlpm._r,_xlfn.SINGLE(IF(OR($CC66="",AW$14="",AW$14&lt;_xlfn.SINGLE(INDEX('[1]ATTENDANCE DAILY'!$AV$4:$AV$663,$CC66)),AW$14&gt;_xlfn.SINGLE(INDEX('[1]ATTENDANCE DAILY'!$AW$4:$AW$663,$CC66))),"",IF(_xlfn.SINGLE(INDEX('[1]ATTENDANCE DAILY'!$I$4:$AM$663,$CC66,DAY(AW$14)))="T-Late","T-L",IF(_xlfn.SINGLE(INDEX('[1]ATTENDANCE DAILY'!$I$4:$AM$663,$CC66,DAY(AW$14)))="T-Cutting","T-C",INDEX('[1]ATTENDANCE DAILY'!$I$4:$AM$663,$CC66,DAY(AW$14)))))),IFERROR(IF(_xlpm._r=0,"",_xlpm._r),""))</f>
        <v/>
      </c>
      <c r="AX66" s="99"/>
      <c r="AY66" s="101" t="str">
        <f>_xlfn.LET(_xlpm._r,_xlfn.SINGLE(IF(OR($CC66="",AY$14="",AY$14&lt;_xlfn.SINGLE(INDEX('[1]ATTENDANCE DAILY'!$AV$4:$AV$663,$CC66)),AY$14&gt;_xlfn.SINGLE(INDEX('[1]ATTENDANCE DAILY'!$AW$4:$AW$663,$CC66))),"",IF(_xlfn.SINGLE(INDEX('[1]ATTENDANCE DAILY'!$I$4:$AM$663,$CC66,DAY(AY$14)))="T-Late","T-L",IF(_xlfn.SINGLE(INDEX('[1]ATTENDANCE DAILY'!$I$4:$AM$663,$CC66,DAY(AY$14)))="T-Cutting","T-C",INDEX('[1]ATTENDANCE DAILY'!$I$4:$AM$663,$CC66,DAY(AY$14)))))),IFERROR(IF(_xlpm._r=0,"",_xlpm._r),""))</f>
        <v/>
      </c>
      <c r="AZ66" s="102"/>
      <c r="BA66" s="99"/>
      <c r="BB66" s="101" t="str">
        <f>_xlfn.LET(_xlpm._r,_xlfn.SINGLE(IF(OR($CC66="",BB$14="",BB$14&lt;_xlfn.SINGLE(INDEX('[1]ATTENDANCE DAILY'!$AV$4:$AV$663,$CC66)),BB$14&gt;_xlfn.SINGLE(INDEX('[1]ATTENDANCE DAILY'!$AW$4:$AW$663,$CC66))),"",IF(_xlfn.SINGLE(INDEX('[1]ATTENDANCE DAILY'!$I$4:$AM$663,$CC66,DAY(BB$14)))="T-Late","T-L",IF(_xlfn.SINGLE(INDEX('[1]ATTENDANCE DAILY'!$I$4:$AM$663,$CC66,DAY(BB$14)))="T-Cutting","T-C",INDEX('[1]ATTENDANCE DAILY'!$I$4:$AM$663,$CC66,DAY(BB$14)))))),IFERROR(IF(_xlpm._r=0,"",_xlpm._r),""))</f>
        <v/>
      </c>
      <c r="BC66" s="99"/>
      <c r="BD66" s="100" t="str">
        <f>_xlfn.LET(_xlpm._r,_xlfn.SINGLE(IF(OR($CC66="",BD$14="",BD$14&lt;_xlfn.SINGLE(INDEX('[1]ATTENDANCE DAILY'!$AV$4:$AV$663,$CC66)),BD$14&gt;_xlfn.SINGLE(INDEX('[1]ATTENDANCE DAILY'!$AW$4:$AW$663,$CC66))),"",IF(_xlfn.SINGLE(INDEX('[1]ATTENDANCE DAILY'!$I$4:$AM$663,$CC66,DAY(BD$14)))="T-Late","T-L",IF(_xlfn.SINGLE(INDEX('[1]ATTENDANCE DAILY'!$I$4:$AM$663,$CC66,DAY(BD$14)))="T-Cutting","T-C",INDEX('[1]ATTENDANCE DAILY'!$I$4:$AM$663,$CC66,DAY(BD$14)))))),IFERROR(IF(_xlpm._r=0,"",_xlpm._r),""))</f>
        <v/>
      </c>
      <c r="BE66" s="101" t="str">
        <f>_xlfn.LET(_xlpm._r,_xlfn.SINGLE(IF(OR($CC66="",BE$14="",BE$14&lt;_xlfn.SINGLE(INDEX('[1]ATTENDANCE DAILY'!$AV$4:$AV$663,$CC66)),BE$14&gt;_xlfn.SINGLE(INDEX('[1]ATTENDANCE DAILY'!$AW$4:$AW$663,$CC66))),"",IF(_xlfn.SINGLE(INDEX('[1]ATTENDANCE DAILY'!$I$4:$AM$663,$CC66,DAY(BE$14)))="T-Late","T-L",IF(_xlfn.SINGLE(INDEX('[1]ATTENDANCE DAILY'!$I$4:$AM$663,$CC66,DAY(BE$14)))="T-Cutting","T-C",INDEX('[1]ATTENDANCE DAILY'!$I$4:$AM$663,$CC66,DAY(BE$14)))))),IFERROR(IF(_xlpm._r=0,"",_xlpm._r),""))</f>
        <v/>
      </c>
      <c r="BF66" s="102"/>
      <c r="BG66" s="102"/>
      <c r="BH66" s="103"/>
      <c r="BI66" s="105" t="str">
        <f>IF($CC66="","",INDEX('[1]ATTENDANCE DAILY'!$AR$4:$AR$663,$CC66))</f>
        <v/>
      </c>
      <c r="BJ66" s="106"/>
      <c r="BK66" s="107"/>
      <c r="BL66" s="105" t="str">
        <f>IF($CC66="","",INDEX('[1]ATTENDANCE DAILY'!$AS$4:$AS$663,$CC66))</f>
        <v/>
      </c>
      <c r="BM66" s="106"/>
      <c r="BN66" s="106"/>
      <c r="BO66" s="107"/>
      <c r="BP66" s="105" t="str">
        <f>IF($CC66="","",IF(INDEX('[1]ATTENDANCE DAILY'!$AN$4:$AN$663,$CC66)="","",INDEX('[1]ATTENDANCE DAILY'!$AN$4:$AN$663,$CC66)&amp;IF(INDEX('[1]ATTENDANCE DAILY'!$AO$4:$AO$663,$CC66)="",""," ("&amp;TEXT(INDEX('[1]ATTENDANCE DAILY'!$AO$4:$AO$663,$CC66),"mm-dd-yyyy")&amp;")")&amp;IF(INDEX('[1]ATTENDANCE DAILY'!$AP$4:$AP$663,$CC66)="",""," - "&amp;INDEX('[1]ATTENDANCE DAILY'!$AP$4:$AP$663,$CC66))))</f>
        <v/>
      </c>
      <c r="BQ66" s="106"/>
      <c r="BR66" s="106"/>
      <c r="BS66" s="106"/>
      <c r="BT66" s="106"/>
      <c r="BU66" s="106"/>
      <c r="BV66" s="106"/>
      <c r="BW66" s="106"/>
      <c r="BX66" s="106"/>
      <c r="BY66" s="106"/>
      <c r="BZ66" s="106"/>
      <c r="CA66" s="107"/>
      <c r="CC66" t="str">
        <f>IF(COUNTIFS('[1]ATTENDANCE DAILY'!$C$4:$C$663,$BN$11,'[1]ATTENDANCE DAILY'!$F$4:$F$663,"Female",'[1]ATTENDANCE DAILY'!$G$4:$G$663,1,'[1]ATTENDANCE DAILY'!$BA$4:$BA$663,23)=0,"",SUMIFS('[1]ATTENDANCE DAILY'!$A$4:$A$663,'[1]ATTENDANCE DAILY'!$C$4:$C$663,$BN$11,'[1]ATTENDANCE DAILY'!$F$4:$F$663,"Female",'[1]ATTENDANCE DAILY'!$G$4:$G$663,1,'[1]ATTENDANCE DAILY'!$BA$4:$BA$663,23))</f>
        <v/>
      </c>
    </row>
    <row r="67" spans="1:81" ht="19.95" customHeight="1" thickTop="1" thickBot="1">
      <c r="A67" s="92">
        <v>24</v>
      </c>
      <c r="B67" s="93"/>
      <c r="C67" s="93"/>
      <c r="D67" s="93"/>
      <c r="E67" s="93"/>
      <c r="F67" s="94"/>
      <c r="G67" s="95" t="str">
        <f>IF($CC67="","",INDEX('[1]ATTENDANCE DAILY'!$E$4:$E$663,$CC67))</f>
        <v/>
      </c>
      <c r="H67" s="96"/>
      <c r="I67" s="96"/>
      <c r="J67" s="97"/>
      <c r="K67" s="98" t="str">
        <f>_xlfn.LET(_xlpm._r,_xlfn.SINGLE(IF(OR($CC67="",K$14="",K$14&lt;_xlfn.SINGLE(INDEX('[1]ATTENDANCE DAILY'!$AV$4:$AV$663,$CC67)),K$14&gt;_xlfn.SINGLE(INDEX('[1]ATTENDANCE DAILY'!$AW$4:$AW$663,$CC67))),"",IF(_xlfn.SINGLE(INDEX('[1]ATTENDANCE DAILY'!$I$4:$AM$663,$CC67,DAY(K$14)))="T-Late","T-L",IF(_xlfn.SINGLE(INDEX('[1]ATTENDANCE DAILY'!$I$4:$AM$663,$CC67,DAY(K$14)))="T-Cutting","T-C",INDEX('[1]ATTENDANCE DAILY'!$I$4:$AM$663,$CC67,DAY(K$14)))))),IFERROR(IF(_xlpm._r=0,"",_xlpm._r),""))</f>
        <v/>
      </c>
      <c r="L67" s="99"/>
      <c r="M67" s="100" t="str">
        <f>_xlfn.LET(_xlpm._r,_xlfn.SINGLE(IF(OR($CC67="",M$14="",M$14&lt;_xlfn.SINGLE(INDEX('[1]ATTENDANCE DAILY'!$AV$4:$AV$663,$CC67)),M$14&gt;_xlfn.SINGLE(INDEX('[1]ATTENDANCE DAILY'!$AW$4:$AW$663,$CC67))),"",IF(_xlfn.SINGLE(INDEX('[1]ATTENDANCE DAILY'!$I$4:$AM$663,$CC67,DAY(M$14)))="T-Late","T-L",IF(_xlfn.SINGLE(INDEX('[1]ATTENDANCE DAILY'!$I$4:$AM$663,$CC67,DAY(M$14)))="T-Cutting","T-C",INDEX('[1]ATTENDANCE DAILY'!$I$4:$AM$663,$CC67,DAY(M$14)))))),IFERROR(IF(_xlpm._r=0,"",_xlpm._r),""))</f>
        <v/>
      </c>
      <c r="N67" s="100" t="str">
        <f>_xlfn.LET(_xlpm._r,_xlfn.SINGLE(IF(OR($CC67="",N$14="",N$14&lt;_xlfn.SINGLE(INDEX('[1]ATTENDANCE DAILY'!$AV$4:$AV$663,$CC67)),N$14&gt;_xlfn.SINGLE(INDEX('[1]ATTENDANCE DAILY'!$AW$4:$AW$663,$CC67))),"",IF(_xlfn.SINGLE(INDEX('[1]ATTENDANCE DAILY'!$I$4:$AM$663,$CC67,DAY(N$14)))="T-Late","T-L",IF(_xlfn.SINGLE(INDEX('[1]ATTENDANCE DAILY'!$I$4:$AM$663,$CC67,DAY(N$14)))="T-Cutting","T-C",INDEX('[1]ATTENDANCE DAILY'!$I$4:$AM$663,$CC67,DAY(N$14)))))),IFERROR(IF(_xlpm._r=0,"",_xlpm._r),""))</f>
        <v/>
      </c>
      <c r="O67" s="101" t="str">
        <f>_xlfn.LET(_xlpm._r,_xlfn.SINGLE(IF(OR($CC67="",O$14="",O$14&lt;_xlfn.SINGLE(INDEX('[1]ATTENDANCE DAILY'!$AV$4:$AV$663,$CC67)),O$14&gt;_xlfn.SINGLE(INDEX('[1]ATTENDANCE DAILY'!$AW$4:$AW$663,$CC67))),"",IF(_xlfn.SINGLE(INDEX('[1]ATTENDANCE DAILY'!$I$4:$AM$663,$CC67,DAY(O$14)))="T-Late","T-L",IF(_xlfn.SINGLE(INDEX('[1]ATTENDANCE DAILY'!$I$4:$AM$663,$CC67,DAY(O$14)))="T-Cutting","T-C",INDEX('[1]ATTENDANCE DAILY'!$I$4:$AM$663,$CC67,DAY(O$14)))))),IFERROR(IF(_xlpm._r=0,"",_xlpm._r),""))</f>
        <v/>
      </c>
      <c r="P67" s="102"/>
      <c r="Q67" s="102"/>
      <c r="R67" s="99"/>
      <c r="S67" s="101" t="str">
        <f>_xlfn.LET(_xlpm._r,_xlfn.SINGLE(IF(OR($CC67="",S$14="",S$14&lt;_xlfn.SINGLE(INDEX('[1]ATTENDANCE DAILY'!$AV$4:$AV$663,$CC67)),S$14&gt;_xlfn.SINGLE(INDEX('[1]ATTENDANCE DAILY'!$AW$4:$AW$663,$CC67))),"",IF(_xlfn.SINGLE(INDEX('[1]ATTENDANCE DAILY'!$I$4:$AM$663,$CC67,DAY(S$14)))="T-Late","T-L",IF(_xlfn.SINGLE(INDEX('[1]ATTENDANCE DAILY'!$I$4:$AM$663,$CC67,DAY(S$14)))="T-Cutting","T-C",INDEX('[1]ATTENDANCE DAILY'!$I$4:$AM$663,$CC67,DAY(S$14)))))),IFERROR(IF(_xlpm._r=0,"",_xlpm._r),""))</f>
        <v/>
      </c>
      <c r="T67" s="102"/>
      <c r="U67" s="103"/>
      <c r="V67" s="100" t="str">
        <f>_xlfn.LET(_xlpm._r,_xlfn.SINGLE(IF(OR($CC67="",V$14="",V$14&lt;_xlfn.SINGLE(INDEX('[1]ATTENDANCE DAILY'!$AV$4:$AV$663,$CC67)),V$14&gt;_xlfn.SINGLE(INDEX('[1]ATTENDANCE DAILY'!$AW$4:$AW$663,$CC67))),"",IF(_xlfn.SINGLE(INDEX('[1]ATTENDANCE DAILY'!$I$4:$AM$663,$CC67,DAY(V$14)))="T-Late","T-L",IF(_xlfn.SINGLE(INDEX('[1]ATTENDANCE DAILY'!$I$4:$AM$663,$CC67,DAY(V$14)))="T-Cutting","T-C",INDEX('[1]ATTENDANCE DAILY'!$I$4:$AM$663,$CC67,DAY(V$14)))))),IFERROR(IF(_xlpm._r=0,"",_xlpm._r),""))</f>
        <v/>
      </c>
      <c r="W67" s="101" t="str">
        <f>_xlfn.LET(_xlpm._r,_xlfn.SINGLE(IF(OR($CC67="",W$14="",W$14&lt;_xlfn.SINGLE(INDEX('[1]ATTENDANCE DAILY'!$AV$4:$AV$663,$CC67)),W$14&gt;_xlfn.SINGLE(INDEX('[1]ATTENDANCE DAILY'!$AW$4:$AW$663,$CC67))),"",IF(_xlfn.SINGLE(INDEX('[1]ATTENDANCE DAILY'!$I$4:$AM$663,$CC67,DAY(W$14)))="T-Late","T-L",IF(_xlfn.SINGLE(INDEX('[1]ATTENDANCE DAILY'!$I$4:$AM$663,$CC67,DAY(W$14)))="T-Cutting","T-C",INDEX('[1]ATTENDANCE DAILY'!$I$4:$AM$663,$CC67,DAY(W$14)))))),IFERROR(IF(_xlpm._r=0,"",_xlpm._r),""))</f>
        <v/>
      </c>
      <c r="X67" s="102"/>
      <c r="Y67" s="99"/>
      <c r="Z67" s="100" t="str">
        <f>_xlfn.LET(_xlpm._r,_xlfn.SINGLE(IF(OR($CC67="",Z$14="",Z$14&lt;_xlfn.SINGLE(INDEX('[1]ATTENDANCE DAILY'!$AV$4:$AV$663,$CC67)),Z$14&gt;_xlfn.SINGLE(INDEX('[1]ATTENDANCE DAILY'!$AW$4:$AW$663,$CC67))),"",IF(_xlfn.SINGLE(INDEX('[1]ATTENDANCE DAILY'!$I$4:$AM$663,$CC67,DAY(Z$14)))="T-Late","T-L",IF(_xlfn.SINGLE(INDEX('[1]ATTENDANCE DAILY'!$I$4:$AM$663,$CC67,DAY(Z$14)))="T-Cutting","T-C",INDEX('[1]ATTENDANCE DAILY'!$I$4:$AM$663,$CC67,DAY(Z$14)))))),IFERROR(IF(_xlpm._r=0,"",_xlpm._r),""))</f>
        <v/>
      </c>
      <c r="AA67" s="100" t="str">
        <f>_xlfn.LET(_xlpm._r,_xlfn.SINGLE(IF(OR($CC67="",AA$14="",AA$14&lt;_xlfn.SINGLE(INDEX('[1]ATTENDANCE DAILY'!$AV$4:$AV$663,$CC67)),AA$14&gt;_xlfn.SINGLE(INDEX('[1]ATTENDANCE DAILY'!$AW$4:$AW$663,$CC67))),"",IF(_xlfn.SINGLE(INDEX('[1]ATTENDANCE DAILY'!$I$4:$AM$663,$CC67,DAY(AA$14)))="T-Late","T-L",IF(_xlfn.SINGLE(INDEX('[1]ATTENDANCE DAILY'!$I$4:$AM$663,$CC67,DAY(AA$14)))="T-Cutting","T-C",INDEX('[1]ATTENDANCE DAILY'!$I$4:$AM$663,$CC67,DAY(AA$14)))))),IFERROR(IF(_xlpm._r=0,"",_xlpm._r),""))</f>
        <v/>
      </c>
      <c r="AB67" s="101" t="str">
        <f>_xlfn.LET(_xlpm._r,_xlfn.SINGLE(IF(OR($CC67="",AB$14="",AB$14&lt;_xlfn.SINGLE(INDEX('[1]ATTENDANCE DAILY'!$AV$4:$AV$663,$CC67)),AB$14&gt;_xlfn.SINGLE(INDEX('[1]ATTENDANCE DAILY'!$AW$4:$AW$663,$CC67))),"",IF(_xlfn.SINGLE(INDEX('[1]ATTENDANCE DAILY'!$I$4:$AM$663,$CC67,DAY(AB$14)))="T-Late","T-L",IF(_xlfn.SINGLE(INDEX('[1]ATTENDANCE DAILY'!$I$4:$AM$663,$CC67,DAY(AB$14)))="T-Cutting","T-C",INDEX('[1]ATTENDANCE DAILY'!$I$4:$AM$663,$CC67,DAY(AB$14)))))),IFERROR(IF(_xlpm._r=0,"",_xlpm._r),""))</f>
        <v/>
      </c>
      <c r="AC67" s="102"/>
      <c r="AD67" s="103"/>
      <c r="AE67" s="101" t="str">
        <f>_xlfn.LET(_xlpm._r,_xlfn.SINGLE(IF(OR($CC67="",AE$14="",AE$14&lt;_xlfn.SINGLE(INDEX('[1]ATTENDANCE DAILY'!$AV$4:$AV$663,$CC67)),AE$14&gt;_xlfn.SINGLE(INDEX('[1]ATTENDANCE DAILY'!$AW$4:$AW$663,$CC67))),"",IF(_xlfn.SINGLE(INDEX('[1]ATTENDANCE DAILY'!$I$4:$AM$663,$CC67,DAY(AE$14)))="T-Late","T-L",IF(_xlfn.SINGLE(INDEX('[1]ATTENDANCE DAILY'!$I$4:$AM$663,$CC67,DAY(AE$14)))="T-Cutting","T-C",INDEX('[1]ATTENDANCE DAILY'!$I$4:$AM$663,$CC67,DAY(AE$14)))))),IFERROR(IF(_xlpm._r=0,"",_xlpm._r),""))</f>
        <v/>
      </c>
      <c r="AF67" s="102"/>
      <c r="AG67" s="99"/>
      <c r="AH67" s="100" t="str">
        <f>_xlfn.LET(_xlpm._r,_xlfn.SINGLE(IF(OR($CC67="",AH$14="",AH$14&lt;_xlfn.SINGLE(INDEX('[1]ATTENDANCE DAILY'!$AV$4:$AV$663,$CC67)),AH$14&gt;_xlfn.SINGLE(INDEX('[1]ATTENDANCE DAILY'!$AW$4:$AW$663,$CC67))),"",IF(_xlfn.SINGLE(INDEX('[1]ATTENDANCE DAILY'!$I$4:$AM$663,$CC67,DAY(AH$14)))="T-Late","T-L",IF(_xlfn.SINGLE(INDEX('[1]ATTENDANCE DAILY'!$I$4:$AM$663,$CC67,DAY(AH$14)))="T-Cutting","T-C",INDEX('[1]ATTENDANCE DAILY'!$I$4:$AM$663,$CC67,DAY(AH$14)))))),IFERROR(IF(_xlpm._r=0,"",_xlpm._r),""))</f>
        <v/>
      </c>
      <c r="AI67" s="101" t="str">
        <f>_xlfn.LET(_xlpm._r,_xlfn.SINGLE(IF(OR($CC67="",AI$14="",AI$14&lt;_xlfn.SINGLE(INDEX('[1]ATTENDANCE DAILY'!$AV$4:$AV$663,$CC67)),AI$14&gt;_xlfn.SINGLE(INDEX('[1]ATTENDANCE DAILY'!$AW$4:$AW$663,$CC67))),"",IF(_xlfn.SINGLE(INDEX('[1]ATTENDANCE DAILY'!$I$4:$AM$663,$CC67,DAY(AI$14)))="T-Late","T-L",IF(_xlfn.SINGLE(INDEX('[1]ATTENDANCE DAILY'!$I$4:$AM$663,$CC67,DAY(AI$14)))="T-Cutting","T-C",INDEX('[1]ATTENDANCE DAILY'!$I$4:$AM$663,$CC67,DAY(AI$14)))))),IFERROR(IF(_xlpm._r=0,"",_xlpm._r),""))</f>
        <v/>
      </c>
      <c r="AJ67" s="102"/>
      <c r="AK67" s="99"/>
      <c r="AL67" s="101" t="str">
        <f>_xlfn.LET(_xlpm._r,_xlfn.SINGLE(IF(OR($CC67="",AL$14="",AL$14&lt;_xlfn.SINGLE(INDEX('[1]ATTENDANCE DAILY'!$AV$4:$AV$663,$CC67)),AL$14&gt;_xlfn.SINGLE(INDEX('[1]ATTENDANCE DAILY'!$AW$4:$AW$663,$CC67))),"",IF(_xlfn.SINGLE(INDEX('[1]ATTENDANCE DAILY'!$I$4:$AM$663,$CC67,DAY(AL$14)))="T-Late","T-L",IF(_xlfn.SINGLE(INDEX('[1]ATTENDANCE DAILY'!$I$4:$AM$663,$CC67,DAY(AL$14)))="T-Cutting","T-C",INDEX('[1]ATTENDANCE DAILY'!$I$4:$AM$663,$CC67,DAY(AL$14)))))),IFERROR(IF(_xlpm._r=0,"",_xlpm._r),""))</f>
        <v/>
      </c>
      <c r="AM67" s="99"/>
      <c r="AN67" s="101" t="str">
        <f>_xlfn.LET(_xlpm._r,_xlfn.SINGLE(IF(OR($CC67="",AN$14="",AN$14&lt;_xlfn.SINGLE(INDEX('[1]ATTENDANCE DAILY'!$AV$4:$AV$663,$CC67)),AN$14&gt;_xlfn.SINGLE(INDEX('[1]ATTENDANCE DAILY'!$AW$4:$AW$663,$CC67))),"",IF(_xlfn.SINGLE(INDEX('[1]ATTENDANCE DAILY'!$I$4:$AM$663,$CC67,DAY(AN$14)))="T-Late","T-L",IF(_xlfn.SINGLE(INDEX('[1]ATTENDANCE DAILY'!$I$4:$AM$663,$CC67,DAY(AN$14)))="T-Cutting","T-C",INDEX('[1]ATTENDANCE DAILY'!$I$4:$AM$663,$CC67,DAY(AN$14)))))),IFERROR(IF(_xlpm._r=0,"",_xlpm._r),""))</f>
        <v/>
      </c>
      <c r="AO67" s="103"/>
      <c r="AP67" s="101" t="str">
        <f>_xlfn.LET(_xlpm._r,_xlfn.SINGLE(IF(OR($CC67="",AP$14="",AP$14&lt;_xlfn.SINGLE(INDEX('[1]ATTENDANCE DAILY'!$AV$4:$AV$663,$CC67)),AP$14&gt;_xlfn.SINGLE(INDEX('[1]ATTENDANCE DAILY'!$AW$4:$AW$663,$CC67))),"",IF(_xlfn.SINGLE(INDEX('[1]ATTENDANCE DAILY'!$I$4:$AM$663,$CC67,DAY(AP$14)))="T-Late","T-L",IF(_xlfn.SINGLE(INDEX('[1]ATTENDANCE DAILY'!$I$4:$AM$663,$CC67,DAY(AP$14)))="T-Cutting","T-C",INDEX('[1]ATTENDANCE DAILY'!$I$4:$AM$663,$CC67,DAY(AP$14)))))),IFERROR(IF(_xlpm._r=0,"",_xlpm._r),""))</f>
        <v/>
      </c>
      <c r="AQ67" s="99"/>
      <c r="AR67" s="100" t="str">
        <f>_xlfn.LET(_xlpm._r,_xlfn.SINGLE(IF(OR($CC67="",AR$14="",AR$14&lt;_xlfn.SINGLE(INDEX('[1]ATTENDANCE DAILY'!$AV$4:$AV$663,$CC67)),AR$14&gt;_xlfn.SINGLE(INDEX('[1]ATTENDANCE DAILY'!$AW$4:$AW$663,$CC67))),"",IF(_xlfn.SINGLE(INDEX('[1]ATTENDANCE DAILY'!$I$4:$AM$663,$CC67,DAY(AR$14)))="T-Late","T-L",IF(_xlfn.SINGLE(INDEX('[1]ATTENDANCE DAILY'!$I$4:$AM$663,$CC67,DAY(AR$14)))="T-Cutting","T-C",INDEX('[1]ATTENDANCE DAILY'!$I$4:$AM$663,$CC67,DAY(AR$14)))))),IFERROR(IF(_xlpm._r=0,"",_xlpm._r),""))</f>
        <v/>
      </c>
      <c r="AS67" s="101" t="str">
        <f>_xlfn.LET(_xlpm._r,_xlfn.SINGLE(IF(OR($CC67="",AS$14="",AS$14&lt;_xlfn.SINGLE(INDEX('[1]ATTENDANCE DAILY'!$AV$4:$AV$663,$CC67)),AS$14&gt;_xlfn.SINGLE(INDEX('[1]ATTENDANCE DAILY'!$AW$4:$AW$663,$CC67))),"",IF(_xlfn.SINGLE(INDEX('[1]ATTENDANCE DAILY'!$I$4:$AM$663,$CC67,DAY(AS$14)))="T-Late","T-L",IF(_xlfn.SINGLE(INDEX('[1]ATTENDANCE DAILY'!$I$4:$AM$663,$CC67,DAY(AS$14)))="T-Cutting","T-C",INDEX('[1]ATTENDANCE DAILY'!$I$4:$AM$663,$CC67,DAY(AS$14)))))),IFERROR(IF(_xlpm._r=0,"",_xlpm._r),""))</f>
        <v/>
      </c>
      <c r="AT67" s="99"/>
      <c r="AU67" s="100" t="str">
        <f>_xlfn.LET(_xlpm._r,_xlfn.SINGLE(IF(OR($CC67="",AU$14="",AU$14&lt;_xlfn.SINGLE(INDEX('[1]ATTENDANCE DAILY'!$AV$4:$AV$663,$CC67)),AU$14&gt;_xlfn.SINGLE(INDEX('[1]ATTENDANCE DAILY'!$AW$4:$AW$663,$CC67))),"",IF(_xlfn.SINGLE(INDEX('[1]ATTENDANCE DAILY'!$I$4:$AM$663,$CC67,DAY(AU$14)))="T-Late","T-L",IF(_xlfn.SINGLE(INDEX('[1]ATTENDANCE DAILY'!$I$4:$AM$663,$CC67,DAY(AU$14)))="T-Cutting","T-C",INDEX('[1]ATTENDANCE DAILY'!$I$4:$AM$663,$CC67,DAY(AU$14)))))),IFERROR(IF(_xlpm._r=0,"",_xlpm._r),""))</f>
        <v/>
      </c>
      <c r="AV67" s="104" t="str">
        <f>_xlfn.LET(_xlpm._r,_xlfn.SINGLE(IF(OR($CC67="",AV$14="",AV$14&lt;_xlfn.SINGLE(INDEX('[1]ATTENDANCE DAILY'!$AV$4:$AV$663,$CC67)),AV$14&gt;_xlfn.SINGLE(INDEX('[1]ATTENDANCE DAILY'!$AW$4:$AW$663,$CC67))),"",IF(_xlfn.SINGLE(INDEX('[1]ATTENDANCE DAILY'!$I$4:$AM$663,$CC67,DAY(AV$14)))="T-Late","T-L",IF(_xlfn.SINGLE(INDEX('[1]ATTENDANCE DAILY'!$I$4:$AM$663,$CC67,DAY(AV$14)))="T-Cutting","T-C",INDEX('[1]ATTENDANCE DAILY'!$I$4:$AM$663,$CC67,DAY(AV$14)))))),IFERROR(IF(_xlpm._r=0,"",_xlpm._r),""))</f>
        <v/>
      </c>
      <c r="AW67" s="101" t="str">
        <f>_xlfn.LET(_xlpm._r,_xlfn.SINGLE(IF(OR($CC67="",AW$14="",AW$14&lt;_xlfn.SINGLE(INDEX('[1]ATTENDANCE DAILY'!$AV$4:$AV$663,$CC67)),AW$14&gt;_xlfn.SINGLE(INDEX('[1]ATTENDANCE DAILY'!$AW$4:$AW$663,$CC67))),"",IF(_xlfn.SINGLE(INDEX('[1]ATTENDANCE DAILY'!$I$4:$AM$663,$CC67,DAY(AW$14)))="T-Late","T-L",IF(_xlfn.SINGLE(INDEX('[1]ATTENDANCE DAILY'!$I$4:$AM$663,$CC67,DAY(AW$14)))="T-Cutting","T-C",INDEX('[1]ATTENDANCE DAILY'!$I$4:$AM$663,$CC67,DAY(AW$14)))))),IFERROR(IF(_xlpm._r=0,"",_xlpm._r),""))</f>
        <v/>
      </c>
      <c r="AX67" s="99"/>
      <c r="AY67" s="101" t="str">
        <f>_xlfn.LET(_xlpm._r,_xlfn.SINGLE(IF(OR($CC67="",AY$14="",AY$14&lt;_xlfn.SINGLE(INDEX('[1]ATTENDANCE DAILY'!$AV$4:$AV$663,$CC67)),AY$14&gt;_xlfn.SINGLE(INDEX('[1]ATTENDANCE DAILY'!$AW$4:$AW$663,$CC67))),"",IF(_xlfn.SINGLE(INDEX('[1]ATTENDANCE DAILY'!$I$4:$AM$663,$CC67,DAY(AY$14)))="T-Late","T-L",IF(_xlfn.SINGLE(INDEX('[1]ATTENDANCE DAILY'!$I$4:$AM$663,$CC67,DAY(AY$14)))="T-Cutting","T-C",INDEX('[1]ATTENDANCE DAILY'!$I$4:$AM$663,$CC67,DAY(AY$14)))))),IFERROR(IF(_xlpm._r=0,"",_xlpm._r),""))</f>
        <v/>
      </c>
      <c r="AZ67" s="102"/>
      <c r="BA67" s="99"/>
      <c r="BB67" s="101" t="str">
        <f>_xlfn.LET(_xlpm._r,_xlfn.SINGLE(IF(OR($CC67="",BB$14="",BB$14&lt;_xlfn.SINGLE(INDEX('[1]ATTENDANCE DAILY'!$AV$4:$AV$663,$CC67)),BB$14&gt;_xlfn.SINGLE(INDEX('[1]ATTENDANCE DAILY'!$AW$4:$AW$663,$CC67))),"",IF(_xlfn.SINGLE(INDEX('[1]ATTENDANCE DAILY'!$I$4:$AM$663,$CC67,DAY(BB$14)))="T-Late","T-L",IF(_xlfn.SINGLE(INDEX('[1]ATTENDANCE DAILY'!$I$4:$AM$663,$CC67,DAY(BB$14)))="T-Cutting","T-C",INDEX('[1]ATTENDANCE DAILY'!$I$4:$AM$663,$CC67,DAY(BB$14)))))),IFERROR(IF(_xlpm._r=0,"",_xlpm._r),""))</f>
        <v/>
      </c>
      <c r="BC67" s="99"/>
      <c r="BD67" s="100" t="str">
        <f>_xlfn.LET(_xlpm._r,_xlfn.SINGLE(IF(OR($CC67="",BD$14="",BD$14&lt;_xlfn.SINGLE(INDEX('[1]ATTENDANCE DAILY'!$AV$4:$AV$663,$CC67)),BD$14&gt;_xlfn.SINGLE(INDEX('[1]ATTENDANCE DAILY'!$AW$4:$AW$663,$CC67))),"",IF(_xlfn.SINGLE(INDEX('[1]ATTENDANCE DAILY'!$I$4:$AM$663,$CC67,DAY(BD$14)))="T-Late","T-L",IF(_xlfn.SINGLE(INDEX('[1]ATTENDANCE DAILY'!$I$4:$AM$663,$CC67,DAY(BD$14)))="T-Cutting","T-C",INDEX('[1]ATTENDANCE DAILY'!$I$4:$AM$663,$CC67,DAY(BD$14)))))),IFERROR(IF(_xlpm._r=0,"",_xlpm._r),""))</f>
        <v/>
      </c>
      <c r="BE67" s="101" t="str">
        <f>_xlfn.LET(_xlpm._r,_xlfn.SINGLE(IF(OR($CC67="",BE$14="",BE$14&lt;_xlfn.SINGLE(INDEX('[1]ATTENDANCE DAILY'!$AV$4:$AV$663,$CC67)),BE$14&gt;_xlfn.SINGLE(INDEX('[1]ATTENDANCE DAILY'!$AW$4:$AW$663,$CC67))),"",IF(_xlfn.SINGLE(INDEX('[1]ATTENDANCE DAILY'!$I$4:$AM$663,$CC67,DAY(BE$14)))="T-Late","T-L",IF(_xlfn.SINGLE(INDEX('[1]ATTENDANCE DAILY'!$I$4:$AM$663,$CC67,DAY(BE$14)))="T-Cutting","T-C",INDEX('[1]ATTENDANCE DAILY'!$I$4:$AM$663,$CC67,DAY(BE$14)))))),IFERROR(IF(_xlpm._r=0,"",_xlpm._r),""))</f>
        <v/>
      </c>
      <c r="BF67" s="102"/>
      <c r="BG67" s="102"/>
      <c r="BH67" s="103"/>
      <c r="BI67" s="105" t="str">
        <f>IF($CC67="","",INDEX('[1]ATTENDANCE DAILY'!$AR$4:$AR$663,$CC67))</f>
        <v/>
      </c>
      <c r="BJ67" s="106"/>
      <c r="BK67" s="107"/>
      <c r="BL67" s="105" t="str">
        <f>IF($CC67="","",INDEX('[1]ATTENDANCE DAILY'!$AS$4:$AS$663,$CC67))</f>
        <v/>
      </c>
      <c r="BM67" s="106"/>
      <c r="BN67" s="106"/>
      <c r="BO67" s="107"/>
      <c r="BP67" s="105" t="str">
        <f>IF($CC67="","",IF(INDEX('[1]ATTENDANCE DAILY'!$AN$4:$AN$663,$CC67)="","",INDEX('[1]ATTENDANCE DAILY'!$AN$4:$AN$663,$CC67)&amp;IF(INDEX('[1]ATTENDANCE DAILY'!$AO$4:$AO$663,$CC67)="",""," ("&amp;TEXT(INDEX('[1]ATTENDANCE DAILY'!$AO$4:$AO$663,$CC67),"mm-dd-yyyy")&amp;")")&amp;IF(INDEX('[1]ATTENDANCE DAILY'!$AP$4:$AP$663,$CC67)="",""," - "&amp;INDEX('[1]ATTENDANCE DAILY'!$AP$4:$AP$663,$CC67))))</f>
        <v/>
      </c>
      <c r="BQ67" s="106"/>
      <c r="BR67" s="106"/>
      <c r="BS67" s="106"/>
      <c r="BT67" s="106"/>
      <c r="BU67" s="106"/>
      <c r="BV67" s="106"/>
      <c r="BW67" s="106"/>
      <c r="BX67" s="106"/>
      <c r="BY67" s="106"/>
      <c r="BZ67" s="106"/>
      <c r="CA67" s="107"/>
      <c r="CC67" t="str">
        <f>IF(COUNTIFS('[1]ATTENDANCE DAILY'!$C$4:$C$663,$BN$11,'[1]ATTENDANCE DAILY'!$F$4:$F$663,"Female",'[1]ATTENDANCE DAILY'!$G$4:$G$663,1,'[1]ATTENDANCE DAILY'!$BA$4:$BA$663,24)=0,"",SUMIFS('[1]ATTENDANCE DAILY'!$A$4:$A$663,'[1]ATTENDANCE DAILY'!$C$4:$C$663,$BN$11,'[1]ATTENDANCE DAILY'!$F$4:$F$663,"Female",'[1]ATTENDANCE DAILY'!$G$4:$G$663,1,'[1]ATTENDANCE DAILY'!$BA$4:$BA$663,24))</f>
        <v/>
      </c>
    </row>
    <row r="68" spans="1:81" ht="19.95" customHeight="1" thickTop="1" thickBot="1">
      <c r="A68" s="92">
        <v>25</v>
      </c>
      <c r="B68" s="93"/>
      <c r="C68" s="93"/>
      <c r="D68" s="93"/>
      <c r="E68" s="93"/>
      <c r="F68" s="94"/>
      <c r="G68" s="95" t="str">
        <f>IF($CC68="","",INDEX('[1]ATTENDANCE DAILY'!$E$4:$E$663,$CC68))</f>
        <v/>
      </c>
      <c r="H68" s="96"/>
      <c r="I68" s="96"/>
      <c r="J68" s="97"/>
      <c r="K68" s="98" t="str">
        <f>_xlfn.LET(_xlpm._r,_xlfn.SINGLE(IF(OR($CC68="",K$14="",K$14&lt;_xlfn.SINGLE(INDEX('[1]ATTENDANCE DAILY'!$AV$4:$AV$663,$CC68)),K$14&gt;_xlfn.SINGLE(INDEX('[1]ATTENDANCE DAILY'!$AW$4:$AW$663,$CC68))),"",IF(_xlfn.SINGLE(INDEX('[1]ATTENDANCE DAILY'!$I$4:$AM$663,$CC68,DAY(K$14)))="T-Late","T-L",IF(_xlfn.SINGLE(INDEX('[1]ATTENDANCE DAILY'!$I$4:$AM$663,$CC68,DAY(K$14)))="T-Cutting","T-C",INDEX('[1]ATTENDANCE DAILY'!$I$4:$AM$663,$CC68,DAY(K$14)))))),IFERROR(IF(_xlpm._r=0,"",_xlpm._r),""))</f>
        <v/>
      </c>
      <c r="L68" s="99"/>
      <c r="M68" s="100" t="str">
        <f>_xlfn.LET(_xlpm._r,_xlfn.SINGLE(IF(OR($CC68="",M$14="",M$14&lt;_xlfn.SINGLE(INDEX('[1]ATTENDANCE DAILY'!$AV$4:$AV$663,$CC68)),M$14&gt;_xlfn.SINGLE(INDEX('[1]ATTENDANCE DAILY'!$AW$4:$AW$663,$CC68))),"",IF(_xlfn.SINGLE(INDEX('[1]ATTENDANCE DAILY'!$I$4:$AM$663,$CC68,DAY(M$14)))="T-Late","T-L",IF(_xlfn.SINGLE(INDEX('[1]ATTENDANCE DAILY'!$I$4:$AM$663,$CC68,DAY(M$14)))="T-Cutting","T-C",INDEX('[1]ATTENDANCE DAILY'!$I$4:$AM$663,$CC68,DAY(M$14)))))),IFERROR(IF(_xlpm._r=0,"",_xlpm._r),""))</f>
        <v/>
      </c>
      <c r="N68" s="100" t="str">
        <f>_xlfn.LET(_xlpm._r,_xlfn.SINGLE(IF(OR($CC68="",N$14="",N$14&lt;_xlfn.SINGLE(INDEX('[1]ATTENDANCE DAILY'!$AV$4:$AV$663,$CC68)),N$14&gt;_xlfn.SINGLE(INDEX('[1]ATTENDANCE DAILY'!$AW$4:$AW$663,$CC68))),"",IF(_xlfn.SINGLE(INDEX('[1]ATTENDANCE DAILY'!$I$4:$AM$663,$CC68,DAY(N$14)))="T-Late","T-L",IF(_xlfn.SINGLE(INDEX('[1]ATTENDANCE DAILY'!$I$4:$AM$663,$CC68,DAY(N$14)))="T-Cutting","T-C",INDEX('[1]ATTENDANCE DAILY'!$I$4:$AM$663,$CC68,DAY(N$14)))))),IFERROR(IF(_xlpm._r=0,"",_xlpm._r),""))</f>
        <v/>
      </c>
      <c r="O68" s="101" t="str">
        <f>_xlfn.LET(_xlpm._r,_xlfn.SINGLE(IF(OR($CC68="",O$14="",O$14&lt;_xlfn.SINGLE(INDEX('[1]ATTENDANCE DAILY'!$AV$4:$AV$663,$CC68)),O$14&gt;_xlfn.SINGLE(INDEX('[1]ATTENDANCE DAILY'!$AW$4:$AW$663,$CC68))),"",IF(_xlfn.SINGLE(INDEX('[1]ATTENDANCE DAILY'!$I$4:$AM$663,$CC68,DAY(O$14)))="T-Late","T-L",IF(_xlfn.SINGLE(INDEX('[1]ATTENDANCE DAILY'!$I$4:$AM$663,$CC68,DAY(O$14)))="T-Cutting","T-C",INDEX('[1]ATTENDANCE DAILY'!$I$4:$AM$663,$CC68,DAY(O$14)))))),IFERROR(IF(_xlpm._r=0,"",_xlpm._r),""))</f>
        <v/>
      </c>
      <c r="P68" s="102"/>
      <c r="Q68" s="102"/>
      <c r="R68" s="99"/>
      <c r="S68" s="101" t="str">
        <f>_xlfn.LET(_xlpm._r,_xlfn.SINGLE(IF(OR($CC68="",S$14="",S$14&lt;_xlfn.SINGLE(INDEX('[1]ATTENDANCE DAILY'!$AV$4:$AV$663,$CC68)),S$14&gt;_xlfn.SINGLE(INDEX('[1]ATTENDANCE DAILY'!$AW$4:$AW$663,$CC68))),"",IF(_xlfn.SINGLE(INDEX('[1]ATTENDANCE DAILY'!$I$4:$AM$663,$CC68,DAY(S$14)))="T-Late","T-L",IF(_xlfn.SINGLE(INDEX('[1]ATTENDANCE DAILY'!$I$4:$AM$663,$CC68,DAY(S$14)))="T-Cutting","T-C",INDEX('[1]ATTENDANCE DAILY'!$I$4:$AM$663,$CC68,DAY(S$14)))))),IFERROR(IF(_xlpm._r=0,"",_xlpm._r),""))</f>
        <v/>
      </c>
      <c r="T68" s="102"/>
      <c r="U68" s="103"/>
      <c r="V68" s="100" t="str">
        <f>_xlfn.LET(_xlpm._r,_xlfn.SINGLE(IF(OR($CC68="",V$14="",V$14&lt;_xlfn.SINGLE(INDEX('[1]ATTENDANCE DAILY'!$AV$4:$AV$663,$CC68)),V$14&gt;_xlfn.SINGLE(INDEX('[1]ATTENDANCE DAILY'!$AW$4:$AW$663,$CC68))),"",IF(_xlfn.SINGLE(INDEX('[1]ATTENDANCE DAILY'!$I$4:$AM$663,$CC68,DAY(V$14)))="T-Late","T-L",IF(_xlfn.SINGLE(INDEX('[1]ATTENDANCE DAILY'!$I$4:$AM$663,$CC68,DAY(V$14)))="T-Cutting","T-C",INDEX('[1]ATTENDANCE DAILY'!$I$4:$AM$663,$CC68,DAY(V$14)))))),IFERROR(IF(_xlpm._r=0,"",_xlpm._r),""))</f>
        <v/>
      </c>
      <c r="W68" s="101" t="str">
        <f>_xlfn.LET(_xlpm._r,_xlfn.SINGLE(IF(OR($CC68="",W$14="",W$14&lt;_xlfn.SINGLE(INDEX('[1]ATTENDANCE DAILY'!$AV$4:$AV$663,$CC68)),W$14&gt;_xlfn.SINGLE(INDEX('[1]ATTENDANCE DAILY'!$AW$4:$AW$663,$CC68))),"",IF(_xlfn.SINGLE(INDEX('[1]ATTENDANCE DAILY'!$I$4:$AM$663,$CC68,DAY(W$14)))="T-Late","T-L",IF(_xlfn.SINGLE(INDEX('[1]ATTENDANCE DAILY'!$I$4:$AM$663,$CC68,DAY(W$14)))="T-Cutting","T-C",INDEX('[1]ATTENDANCE DAILY'!$I$4:$AM$663,$CC68,DAY(W$14)))))),IFERROR(IF(_xlpm._r=0,"",_xlpm._r),""))</f>
        <v/>
      </c>
      <c r="X68" s="102"/>
      <c r="Y68" s="99"/>
      <c r="Z68" s="100" t="str">
        <f>_xlfn.LET(_xlpm._r,_xlfn.SINGLE(IF(OR($CC68="",Z$14="",Z$14&lt;_xlfn.SINGLE(INDEX('[1]ATTENDANCE DAILY'!$AV$4:$AV$663,$CC68)),Z$14&gt;_xlfn.SINGLE(INDEX('[1]ATTENDANCE DAILY'!$AW$4:$AW$663,$CC68))),"",IF(_xlfn.SINGLE(INDEX('[1]ATTENDANCE DAILY'!$I$4:$AM$663,$CC68,DAY(Z$14)))="T-Late","T-L",IF(_xlfn.SINGLE(INDEX('[1]ATTENDANCE DAILY'!$I$4:$AM$663,$CC68,DAY(Z$14)))="T-Cutting","T-C",INDEX('[1]ATTENDANCE DAILY'!$I$4:$AM$663,$CC68,DAY(Z$14)))))),IFERROR(IF(_xlpm._r=0,"",_xlpm._r),""))</f>
        <v/>
      </c>
      <c r="AA68" s="100" t="str">
        <f>_xlfn.LET(_xlpm._r,_xlfn.SINGLE(IF(OR($CC68="",AA$14="",AA$14&lt;_xlfn.SINGLE(INDEX('[1]ATTENDANCE DAILY'!$AV$4:$AV$663,$CC68)),AA$14&gt;_xlfn.SINGLE(INDEX('[1]ATTENDANCE DAILY'!$AW$4:$AW$663,$CC68))),"",IF(_xlfn.SINGLE(INDEX('[1]ATTENDANCE DAILY'!$I$4:$AM$663,$CC68,DAY(AA$14)))="T-Late","T-L",IF(_xlfn.SINGLE(INDEX('[1]ATTENDANCE DAILY'!$I$4:$AM$663,$CC68,DAY(AA$14)))="T-Cutting","T-C",INDEX('[1]ATTENDANCE DAILY'!$I$4:$AM$663,$CC68,DAY(AA$14)))))),IFERROR(IF(_xlpm._r=0,"",_xlpm._r),""))</f>
        <v/>
      </c>
      <c r="AB68" s="101" t="str">
        <f>_xlfn.LET(_xlpm._r,_xlfn.SINGLE(IF(OR($CC68="",AB$14="",AB$14&lt;_xlfn.SINGLE(INDEX('[1]ATTENDANCE DAILY'!$AV$4:$AV$663,$CC68)),AB$14&gt;_xlfn.SINGLE(INDEX('[1]ATTENDANCE DAILY'!$AW$4:$AW$663,$CC68))),"",IF(_xlfn.SINGLE(INDEX('[1]ATTENDANCE DAILY'!$I$4:$AM$663,$CC68,DAY(AB$14)))="T-Late","T-L",IF(_xlfn.SINGLE(INDEX('[1]ATTENDANCE DAILY'!$I$4:$AM$663,$CC68,DAY(AB$14)))="T-Cutting","T-C",INDEX('[1]ATTENDANCE DAILY'!$I$4:$AM$663,$CC68,DAY(AB$14)))))),IFERROR(IF(_xlpm._r=0,"",_xlpm._r),""))</f>
        <v/>
      </c>
      <c r="AC68" s="102"/>
      <c r="AD68" s="103"/>
      <c r="AE68" s="101" t="str">
        <f>_xlfn.LET(_xlpm._r,_xlfn.SINGLE(IF(OR($CC68="",AE$14="",AE$14&lt;_xlfn.SINGLE(INDEX('[1]ATTENDANCE DAILY'!$AV$4:$AV$663,$CC68)),AE$14&gt;_xlfn.SINGLE(INDEX('[1]ATTENDANCE DAILY'!$AW$4:$AW$663,$CC68))),"",IF(_xlfn.SINGLE(INDEX('[1]ATTENDANCE DAILY'!$I$4:$AM$663,$CC68,DAY(AE$14)))="T-Late","T-L",IF(_xlfn.SINGLE(INDEX('[1]ATTENDANCE DAILY'!$I$4:$AM$663,$CC68,DAY(AE$14)))="T-Cutting","T-C",INDEX('[1]ATTENDANCE DAILY'!$I$4:$AM$663,$CC68,DAY(AE$14)))))),IFERROR(IF(_xlpm._r=0,"",_xlpm._r),""))</f>
        <v/>
      </c>
      <c r="AF68" s="102"/>
      <c r="AG68" s="99"/>
      <c r="AH68" s="100" t="str">
        <f>_xlfn.LET(_xlpm._r,_xlfn.SINGLE(IF(OR($CC68="",AH$14="",AH$14&lt;_xlfn.SINGLE(INDEX('[1]ATTENDANCE DAILY'!$AV$4:$AV$663,$CC68)),AH$14&gt;_xlfn.SINGLE(INDEX('[1]ATTENDANCE DAILY'!$AW$4:$AW$663,$CC68))),"",IF(_xlfn.SINGLE(INDEX('[1]ATTENDANCE DAILY'!$I$4:$AM$663,$CC68,DAY(AH$14)))="T-Late","T-L",IF(_xlfn.SINGLE(INDEX('[1]ATTENDANCE DAILY'!$I$4:$AM$663,$CC68,DAY(AH$14)))="T-Cutting","T-C",INDEX('[1]ATTENDANCE DAILY'!$I$4:$AM$663,$CC68,DAY(AH$14)))))),IFERROR(IF(_xlpm._r=0,"",_xlpm._r),""))</f>
        <v/>
      </c>
      <c r="AI68" s="101" t="str">
        <f>_xlfn.LET(_xlpm._r,_xlfn.SINGLE(IF(OR($CC68="",AI$14="",AI$14&lt;_xlfn.SINGLE(INDEX('[1]ATTENDANCE DAILY'!$AV$4:$AV$663,$CC68)),AI$14&gt;_xlfn.SINGLE(INDEX('[1]ATTENDANCE DAILY'!$AW$4:$AW$663,$CC68))),"",IF(_xlfn.SINGLE(INDEX('[1]ATTENDANCE DAILY'!$I$4:$AM$663,$CC68,DAY(AI$14)))="T-Late","T-L",IF(_xlfn.SINGLE(INDEX('[1]ATTENDANCE DAILY'!$I$4:$AM$663,$CC68,DAY(AI$14)))="T-Cutting","T-C",INDEX('[1]ATTENDANCE DAILY'!$I$4:$AM$663,$CC68,DAY(AI$14)))))),IFERROR(IF(_xlpm._r=0,"",_xlpm._r),""))</f>
        <v/>
      </c>
      <c r="AJ68" s="102"/>
      <c r="AK68" s="99"/>
      <c r="AL68" s="101" t="str">
        <f>_xlfn.LET(_xlpm._r,_xlfn.SINGLE(IF(OR($CC68="",AL$14="",AL$14&lt;_xlfn.SINGLE(INDEX('[1]ATTENDANCE DAILY'!$AV$4:$AV$663,$CC68)),AL$14&gt;_xlfn.SINGLE(INDEX('[1]ATTENDANCE DAILY'!$AW$4:$AW$663,$CC68))),"",IF(_xlfn.SINGLE(INDEX('[1]ATTENDANCE DAILY'!$I$4:$AM$663,$CC68,DAY(AL$14)))="T-Late","T-L",IF(_xlfn.SINGLE(INDEX('[1]ATTENDANCE DAILY'!$I$4:$AM$663,$CC68,DAY(AL$14)))="T-Cutting","T-C",INDEX('[1]ATTENDANCE DAILY'!$I$4:$AM$663,$CC68,DAY(AL$14)))))),IFERROR(IF(_xlpm._r=0,"",_xlpm._r),""))</f>
        <v/>
      </c>
      <c r="AM68" s="99"/>
      <c r="AN68" s="101" t="str">
        <f>_xlfn.LET(_xlpm._r,_xlfn.SINGLE(IF(OR($CC68="",AN$14="",AN$14&lt;_xlfn.SINGLE(INDEX('[1]ATTENDANCE DAILY'!$AV$4:$AV$663,$CC68)),AN$14&gt;_xlfn.SINGLE(INDEX('[1]ATTENDANCE DAILY'!$AW$4:$AW$663,$CC68))),"",IF(_xlfn.SINGLE(INDEX('[1]ATTENDANCE DAILY'!$I$4:$AM$663,$CC68,DAY(AN$14)))="T-Late","T-L",IF(_xlfn.SINGLE(INDEX('[1]ATTENDANCE DAILY'!$I$4:$AM$663,$CC68,DAY(AN$14)))="T-Cutting","T-C",INDEX('[1]ATTENDANCE DAILY'!$I$4:$AM$663,$CC68,DAY(AN$14)))))),IFERROR(IF(_xlpm._r=0,"",_xlpm._r),""))</f>
        <v/>
      </c>
      <c r="AO68" s="103"/>
      <c r="AP68" s="101" t="str">
        <f>_xlfn.LET(_xlpm._r,_xlfn.SINGLE(IF(OR($CC68="",AP$14="",AP$14&lt;_xlfn.SINGLE(INDEX('[1]ATTENDANCE DAILY'!$AV$4:$AV$663,$CC68)),AP$14&gt;_xlfn.SINGLE(INDEX('[1]ATTENDANCE DAILY'!$AW$4:$AW$663,$CC68))),"",IF(_xlfn.SINGLE(INDEX('[1]ATTENDANCE DAILY'!$I$4:$AM$663,$CC68,DAY(AP$14)))="T-Late","T-L",IF(_xlfn.SINGLE(INDEX('[1]ATTENDANCE DAILY'!$I$4:$AM$663,$CC68,DAY(AP$14)))="T-Cutting","T-C",INDEX('[1]ATTENDANCE DAILY'!$I$4:$AM$663,$CC68,DAY(AP$14)))))),IFERROR(IF(_xlpm._r=0,"",_xlpm._r),""))</f>
        <v/>
      </c>
      <c r="AQ68" s="99"/>
      <c r="AR68" s="100" t="str">
        <f>_xlfn.LET(_xlpm._r,_xlfn.SINGLE(IF(OR($CC68="",AR$14="",AR$14&lt;_xlfn.SINGLE(INDEX('[1]ATTENDANCE DAILY'!$AV$4:$AV$663,$CC68)),AR$14&gt;_xlfn.SINGLE(INDEX('[1]ATTENDANCE DAILY'!$AW$4:$AW$663,$CC68))),"",IF(_xlfn.SINGLE(INDEX('[1]ATTENDANCE DAILY'!$I$4:$AM$663,$CC68,DAY(AR$14)))="T-Late","T-L",IF(_xlfn.SINGLE(INDEX('[1]ATTENDANCE DAILY'!$I$4:$AM$663,$CC68,DAY(AR$14)))="T-Cutting","T-C",INDEX('[1]ATTENDANCE DAILY'!$I$4:$AM$663,$CC68,DAY(AR$14)))))),IFERROR(IF(_xlpm._r=0,"",_xlpm._r),""))</f>
        <v/>
      </c>
      <c r="AS68" s="101" t="str">
        <f>_xlfn.LET(_xlpm._r,_xlfn.SINGLE(IF(OR($CC68="",AS$14="",AS$14&lt;_xlfn.SINGLE(INDEX('[1]ATTENDANCE DAILY'!$AV$4:$AV$663,$CC68)),AS$14&gt;_xlfn.SINGLE(INDEX('[1]ATTENDANCE DAILY'!$AW$4:$AW$663,$CC68))),"",IF(_xlfn.SINGLE(INDEX('[1]ATTENDANCE DAILY'!$I$4:$AM$663,$CC68,DAY(AS$14)))="T-Late","T-L",IF(_xlfn.SINGLE(INDEX('[1]ATTENDANCE DAILY'!$I$4:$AM$663,$CC68,DAY(AS$14)))="T-Cutting","T-C",INDEX('[1]ATTENDANCE DAILY'!$I$4:$AM$663,$CC68,DAY(AS$14)))))),IFERROR(IF(_xlpm._r=0,"",_xlpm._r),""))</f>
        <v/>
      </c>
      <c r="AT68" s="99"/>
      <c r="AU68" s="100" t="str">
        <f>_xlfn.LET(_xlpm._r,_xlfn.SINGLE(IF(OR($CC68="",AU$14="",AU$14&lt;_xlfn.SINGLE(INDEX('[1]ATTENDANCE DAILY'!$AV$4:$AV$663,$CC68)),AU$14&gt;_xlfn.SINGLE(INDEX('[1]ATTENDANCE DAILY'!$AW$4:$AW$663,$CC68))),"",IF(_xlfn.SINGLE(INDEX('[1]ATTENDANCE DAILY'!$I$4:$AM$663,$CC68,DAY(AU$14)))="T-Late","T-L",IF(_xlfn.SINGLE(INDEX('[1]ATTENDANCE DAILY'!$I$4:$AM$663,$CC68,DAY(AU$14)))="T-Cutting","T-C",INDEX('[1]ATTENDANCE DAILY'!$I$4:$AM$663,$CC68,DAY(AU$14)))))),IFERROR(IF(_xlpm._r=0,"",_xlpm._r),""))</f>
        <v/>
      </c>
      <c r="AV68" s="104" t="str">
        <f>_xlfn.LET(_xlpm._r,_xlfn.SINGLE(IF(OR($CC68="",AV$14="",AV$14&lt;_xlfn.SINGLE(INDEX('[1]ATTENDANCE DAILY'!$AV$4:$AV$663,$CC68)),AV$14&gt;_xlfn.SINGLE(INDEX('[1]ATTENDANCE DAILY'!$AW$4:$AW$663,$CC68))),"",IF(_xlfn.SINGLE(INDEX('[1]ATTENDANCE DAILY'!$I$4:$AM$663,$CC68,DAY(AV$14)))="T-Late","T-L",IF(_xlfn.SINGLE(INDEX('[1]ATTENDANCE DAILY'!$I$4:$AM$663,$CC68,DAY(AV$14)))="T-Cutting","T-C",INDEX('[1]ATTENDANCE DAILY'!$I$4:$AM$663,$CC68,DAY(AV$14)))))),IFERROR(IF(_xlpm._r=0,"",_xlpm._r),""))</f>
        <v/>
      </c>
      <c r="AW68" s="101" t="str">
        <f>_xlfn.LET(_xlpm._r,_xlfn.SINGLE(IF(OR($CC68="",AW$14="",AW$14&lt;_xlfn.SINGLE(INDEX('[1]ATTENDANCE DAILY'!$AV$4:$AV$663,$CC68)),AW$14&gt;_xlfn.SINGLE(INDEX('[1]ATTENDANCE DAILY'!$AW$4:$AW$663,$CC68))),"",IF(_xlfn.SINGLE(INDEX('[1]ATTENDANCE DAILY'!$I$4:$AM$663,$CC68,DAY(AW$14)))="T-Late","T-L",IF(_xlfn.SINGLE(INDEX('[1]ATTENDANCE DAILY'!$I$4:$AM$663,$CC68,DAY(AW$14)))="T-Cutting","T-C",INDEX('[1]ATTENDANCE DAILY'!$I$4:$AM$663,$CC68,DAY(AW$14)))))),IFERROR(IF(_xlpm._r=0,"",_xlpm._r),""))</f>
        <v/>
      </c>
      <c r="AX68" s="99"/>
      <c r="AY68" s="101" t="str">
        <f>_xlfn.LET(_xlpm._r,_xlfn.SINGLE(IF(OR($CC68="",AY$14="",AY$14&lt;_xlfn.SINGLE(INDEX('[1]ATTENDANCE DAILY'!$AV$4:$AV$663,$CC68)),AY$14&gt;_xlfn.SINGLE(INDEX('[1]ATTENDANCE DAILY'!$AW$4:$AW$663,$CC68))),"",IF(_xlfn.SINGLE(INDEX('[1]ATTENDANCE DAILY'!$I$4:$AM$663,$CC68,DAY(AY$14)))="T-Late","T-L",IF(_xlfn.SINGLE(INDEX('[1]ATTENDANCE DAILY'!$I$4:$AM$663,$CC68,DAY(AY$14)))="T-Cutting","T-C",INDEX('[1]ATTENDANCE DAILY'!$I$4:$AM$663,$CC68,DAY(AY$14)))))),IFERROR(IF(_xlpm._r=0,"",_xlpm._r),""))</f>
        <v/>
      </c>
      <c r="AZ68" s="102"/>
      <c r="BA68" s="99"/>
      <c r="BB68" s="101" t="str">
        <f>_xlfn.LET(_xlpm._r,_xlfn.SINGLE(IF(OR($CC68="",BB$14="",BB$14&lt;_xlfn.SINGLE(INDEX('[1]ATTENDANCE DAILY'!$AV$4:$AV$663,$CC68)),BB$14&gt;_xlfn.SINGLE(INDEX('[1]ATTENDANCE DAILY'!$AW$4:$AW$663,$CC68))),"",IF(_xlfn.SINGLE(INDEX('[1]ATTENDANCE DAILY'!$I$4:$AM$663,$CC68,DAY(BB$14)))="T-Late","T-L",IF(_xlfn.SINGLE(INDEX('[1]ATTENDANCE DAILY'!$I$4:$AM$663,$CC68,DAY(BB$14)))="T-Cutting","T-C",INDEX('[1]ATTENDANCE DAILY'!$I$4:$AM$663,$CC68,DAY(BB$14)))))),IFERROR(IF(_xlpm._r=0,"",_xlpm._r),""))</f>
        <v/>
      </c>
      <c r="BC68" s="99"/>
      <c r="BD68" s="100" t="str">
        <f>_xlfn.LET(_xlpm._r,_xlfn.SINGLE(IF(OR($CC68="",BD$14="",BD$14&lt;_xlfn.SINGLE(INDEX('[1]ATTENDANCE DAILY'!$AV$4:$AV$663,$CC68)),BD$14&gt;_xlfn.SINGLE(INDEX('[1]ATTENDANCE DAILY'!$AW$4:$AW$663,$CC68))),"",IF(_xlfn.SINGLE(INDEX('[1]ATTENDANCE DAILY'!$I$4:$AM$663,$CC68,DAY(BD$14)))="T-Late","T-L",IF(_xlfn.SINGLE(INDEX('[1]ATTENDANCE DAILY'!$I$4:$AM$663,$CC68,DAY(BD$14)))="T-Cutting","T-C",INDEX('[1]ATTENDANCE DAILY'!$I$4:$AM$663,$CC68,DAY(BD$14)))))),IFERROR(IF(_xlpm._r=0,"",_xlpm._r),""))</f>
        <v/>
      </c>
      <c r="BE68" s="101" t="str">
        <f>_xlfn.LET(_xlpm._r,_xlfn.SINGLE(IF(OR($CC68="",BE$14="",BE$14&lt;_xlfn.SINGLE(INDEX('[1]ATTENDANCE DAILY'!$AV$4:$AV$663,$CC68)),BE$14&gt;_xlfn.SINGLE(INDEX('[1]ATTENDANCE DAILY'!$AW$4:$AW$663,$CC68))),"",IF(_xlfn.SINGLE(INDEX('[1]ATTENDANCE DAILY'!$I$4:$AM$663,$CC68,DAY(BE$14)))="T-Late","T-L",IF(_xlfn.SINGLE(INDEX('[1]ATTENDANCE DAILY'!$I$4:$AM$663,$CC68,DAY(BE$14)))="T-Cutting","T-C",INDEX('[1]ATTENDANCE DAILY'!$I$4:$AM$663,$CC68,DAY(BE$14)))))),IFERROR(IF(_xlpm._r=0,"",_xlpm._r),""))</f>
        <v/>
      </c>
      <c r="BF68" s="102"/>
      <c r="BG68" s="102"/>
      <c r="BH68" s="103"/>
      <c r="BI68" s="105" t="str">
        <f>IF($CC68="","",INDEX('[1]ATTENDANCE DAILY'!$AR$4:$AR$663,$CC68))</f>
        <v/>
      </c>
      <c r="BJ68" s="106"/>
      <c r="BK68" s="107"/>
      <c r="BL68" s="105" t="str">
        <f>IF($CC68="","",INDEX('[1]ATTENDANCE DAILY'!$AS$4:$AS$663,$CC68))</f>
        <v/>
      </c>
      <c r="BM68" s="106"/>
      <c r="BN68" s="106"/>
      <c r="BO68" s="107"/>
      <c r="BP68" s="105" t="str">
        <f>IF($CC68="","",IF(INDEX('[1]ATTENDANCE DAILY'!$AN$4:$AN$663,$CC68)="","",INDEX('[1]ATTENDANCE DAILY'!$AN$4:$AN$663,$CC68)&amp;IF(INDEX('[1]ATTENDANCE DAILY'!$AO$4:$AO$663,$CC68)="",""," ("&amp;TEXT(INDEX('[1]ATTENDANCE DAILY'!$AO$4:$AO$663,$CC68),"mm-dd-yyyy")&amp;")")&amp;IF(INDEX('[1]ATTENDANCE DAILY'!$AP$4:$AP$663,$CC68)="",""," - "&amp;INDEX('[1]ATTENDANCE DAILY'!$AP$4:$AP$663,$CC68))))</f>
        <v/>
      </c>
      <c r="BQ68" s="106"/>
      <c r="BR68" s="106"/>
      <c r="BS68" s="106"/>
      <c r="BT68" s="106"/>
      <c r="BU68" s="106"/>
      <c r="BV68" s="106"/>
      <c r="BW68" s="106"/>
      <c r="BX68" s="106"/>
      <c r="BY68" s="106"/>
      <c r="BZ68" s="106"/>
      <c r="CA68" s="107"/>
      <c r="CC68" t="str">
        <f>IF(COUNTIFS('[1]ATTENDANCE DAILY'!$C$4:$C$663,$BN$11,'[1]ATTENDANCE DAILY'!$F$4:$F$663,"Female",'[1]ATTENDANCE DAILY'!$G$4:$G$663,1,'[1]ATTENDANCE DAILY'!$BA$4:$BA$663,25)=0,"",SUMIFS('[1]ATTENDANCE DAILY'!$A$4:$A$663,'[1]ATTENDANCE DAILY'!$C$4:$C$663,$BN$11,'[1]ATTENDANCE DAILY'!$F$4:$F$663,"Female",'[1]ATTENDANCE DAILY'!$G$4:$G$663,1,'[1]ATTENDANCE DAILY'!$BA$4:$BA$663,25))</f>
        <v/>
      </c>
    </row>
    <row r="69" spans="1:81" ht="19.95" customHeight="1" thickTop="1" thickBot="1">
      <c r="A69" s="92"/>
      <c r="B69" s="93"/>
      <c r="C69" s="93"/>
      <c r="D69" s="93"/>
      <c r="E69" s="93"/>
      <c r="F69" s="94"/>
      <c r="G69" s="108" t="s">
        <v>22</v>
      </c>
      <c r="H69" s="109"/>
      <c r="I69" s="109"/>
      <c r="J69" s="110"/>
      <c r="K69" s="98">
        <f>IF(K$14="","",SUMPRODUCT(--('[1]ATTENDANCE DAILY'!$C$4:$C$663=$BN$11),--('[1]ATTENDANCE DAILY'!$F$4:$F$663="Female"),--('[1]ATTENDANCE DAILY'!$G$4:$G$663=1),--('[1]ATTENDANCE DAILY'!$AV$4:$AV$663&lt;=K$14),--('[1]ATTENDANCE DAILY'!$AW$4:$AW$663&gt;=K$14),--(INDEX('[1]ATTENDANCE DAILY'!$I$4:$AM$663,0,DAY(K$14))&lt;&gt;"X")))</f>
        <v>11</v>
      </c>
      <c r="L69" s="99"/>
      <c r="M69" s="100">
        <f>IF(M$14="","",SUMPRODUCT(--('[1]ATTENDANCE DAILY'!$C$4:$C$663=$BN$11),--('[1]ATTENDANCE DAILY'!$F$4:$F$663="Female"),--('[1]ATTENDANCE DAILY'!$G$4:$G$663=1),--('[1]ATTENDANCE DAILY'!$AV$4:$AV$663&lt;=M$14),--('[1]ATTENDANCE DAILY'!$AW$4:$AW$663&gt;=M$14),--(INDEX('[1]ATTENDANCE DAILY'!$I$4:$AM$663,0,DAY(M$14))&lt;&gt;"X")))</f>
        <v>11</v>
      </c>
      <c r="N69" s="100">
        <f>IF(N$14="","",SUMPRODUCT(--('[1]ATTENDANCE DAILY'!$C$4:$C$663=$BN$11),--('[1]ATTENDANCE DAILY'!$F$4:$F$663="Female"),--('[1]ATTENDANCE DAILY'!$G$4:$G$663=1),--('[1]ATTENDANCE DAILY'!$AV$4:$AV$663&lt;=N$14),--('[1]ATTENDANCE DAILY'!$AW$4:$AW$663&gt;=N$14),--(INDEX('[1]ATTENDANCE DAILY'!$I$4:$AM$663,0,DAY(N$14))&lt;&gt;"X")))</f>
        <v>11</v>
      </c>
      <c r="O69" s="101">
        <f>IF(O$14="","",SUMPRODUCT(--('[1]ATTENDANCE DAILY'!$C$4:$C$663=$BN$11),--('[1]ATTENDANCE DAILY'!$F$4:$F$663="Female"),--('[1]ATTENDANCE DAILY'!$G$4:$G$663=1),--('[1]ATTENDANCE DAILY'!$AV$4:$AV$663&lt;=O$14),--('[1]ATTENDANCE DAILY'!$AW$4:$AW$663&gt;=O$14),--(INDEX('[1]ATTENDANCE DAILY'!$I$4:$AM$663,0,DAY(O$14))&lt;&gt;"X")))</f>
        <v>11</v>
      </c>
      <c r="P69" s="102"/>
      <c r="Q69" s="102"/>
      <c r="R69" s="99"/>
      <c r="S69" s="101">
        <f>IF(S$14="","",SUMPRODUCT(--('[1]ATTENDANCE DAILY'!$C$4:$C$663=$BN$11),--('[1]ATTENDANCE DAILY'!$F$4:$F$663="Female"),--('[1]ATTENDANCE DAILY'!$G$4:$G$663=1),--('[1]ATTENDANCE DAILY'!$AV$4:$AV$663&lt;=S$14),--('[1]ATTENDANCE DAILY'!$AW$4:$AW$663&gt;=S$14),--(INDEX('[1]ATTENDANCE DAILY'!$I$4:$AM$663,0,DAY(S$14))&lt;&gt;"X")))</f>
        <v>11</v>
      </c>
      <c r="T69" s="102"/>
      <c r="U69" s="103"/>
      <c r="V69" s="100">
        <f>IF(V$14="","",SUMPRODUCT(--('[1]ATTENDANCE DAILY'!$C$4:$C$663=$BN$11),--('[1]ATTENDANCE DAILY'!$F$4:$F$663="Female"),--('[1]ATTENDANCE DAILY'!$G$4:$G$663=1),--('[1]ATTENDANCE DAILY'!$AV$4:$AV$663&lt;=V$14),--('[1]ATTENDANCE DAILY'!$AW$4:$AW$663&gt;=V$14),--(INDEX('[1]ATTENDANCE DAILY'!$I$4:$AM$663,0,DAY(V$14))&lt;&gt;"X")))</f>
        <v>11</v>
      </c>
      <c r="W69" s="101">
        <f>IF(W$14="","",SUMPRODUCT(--('[1]ATTENDANCE DAILY'!$C$4:$C$663=$BN$11),--('[1]ATTENDANCE DAILY'!$F$4:$F$663="Female"),--('[1]ATTENDANCE DAILY'!$G$4:$G$663=1),--('[1]ATTENDANCE DAILY'!$AV$4:$AV$663&lt;=W$14),--('[1]ATTENDANCE DAILY'!$AW$4:$AW$663&gt;=W$14),--(INDEX('[1]ATTENDANCE DAILY'!$I$4:$AM$663,0,DAY(W$14))&lt;&gt;"X")))</f>
        <v>11</v>
      </c>
      <c r="X69" s="102"/>
      <c r="Y69" s="99"/>
      <c r="Z69" s="100">
        <f>IF(Z$14="","",SUMPRODUCT(--('[1]ATTENDANCE DAILY'!$C$4:$C$663=$BN$11),--('[1]ATTENDANCE DAILY'!$F$4:$F$663="Female"),--('[1]ATTENDANCE DAILY'!$G$4:$G$663=1),--('[1]ATTENDANCE DAILY'!$AV$4:$AV$663&lt;=Z$14),--('[1]ATTENDANCE DAILY'!$AW$4:$AW$663&gt;=Z$14),--(INDEX('[1]ATTENDANCE DAILY'!$I$4:$AM$663,0,DAY(Z$14))&lt;&gt;"X")))</f>
        <v>11</v>
      </c>
      <c r="AA69" s="100">
        <f>IF(AA$14="","",SUMPRODUCT(--('[1]ATTENDANCE DAILY'!$C$4:$C$663=$BN$11),--('[1]ATTENDANCE DAILY'!$F$4:$F$663="Female"),--('[1]ATTENDANCE DAILY'!$G$4:$G$663=1),--('[1]ATTENDANCE DAILY'!$AV$4:$AV$663&lt;=AA$14),--('[1]ATTENDANCE DAILY'!$AW$4:$AW$663&gt;=AA$14),--(INDEX('[1]ATTENDANCE DAILY'!$I$4:$AM$663,0,DAY(AA$14))&lt;&gt;"X")))</f>
        <v>11</v>
      </c>
      <c r="AB69" s="101">
        <f>IF(AB$14="","",SUMPRODUCT(--('[1]ATTENDANCE DAILY'!$C$4:$C$663=$BN$11),--('[1]ATTENDANCE DAILY'!$F$4:$F$663="Female"),--('[1]ATTENDANCE DAILY'!$G$4:$G$663=1),--('[1]ATTENDANCE DAILY'!$AV$4:$AV$663&lt;=AB$14),--('[1]ATTENDANCE DAILY'!$AW$4:$AW$663&gt;=AB$14),--(INDEX('[1]ATTENDANCE DAILY'!$I$4:$AM$663,0,DAY(AB$14))&lt;&gt;"X")))</f>
        <v>11</v>
      </c>
      <c r="AC69" s="102"/>
      <c r="AD69" s="103"/>
      <c r="AE69" s="101">
        <f>IF(AE$14="","",SUMPRODUCT(--('[1]ATTENDANCE DAILY'!$C$4:$C$663=$BN$11),--('[1]ATTENDANCE DAILY'!$F$4:$F$663="Female"),--('[1]ATTENDANCE DAILY'!$G$4:$G$663=1),--('[1]ATTENDANCE DAILY'!$AV$4:$AV$663&lt;=AE$14),--('[1]ATTENDANCE DAILY'!$AW$4:$AW$663&gt;=AE$14),--(INDEX('[1]ATTENDANCE DAILY'!$I$4:$AM$663,0,DAY(AE$14))&lt;&gt;"X")))</f>
        <v>11</v>
      </c>
      <c r="AF69" s="102"/>
      <c r="AG69" s="99"/>
      <c r="AH69" s="100">
        <f>IF(AH$14="","",SUMPRODUCT(--('[1]ATTENDANCE DAILY'!$C$4:$C$663=$BN$11),--('[1]ATTENDANCE DAILY'!$F$4:$F$663="Female"),--('[1]ATTENDANCE DAILY'!$G$4:$G$663=1),--('[1]ATTENDANCE DAILY'!$AV$4:$AV$663&lt;=AH$14),--('[1]ATTENDANCE DAILY'!$AW$4:$AW$663&gt;=AH$14),--(INDEX('[1]ATTENDANCE DAILY'!$I$4:$AM$663,0,DAY(AH$14))&lt;&gt;"X")))</f>
        <v>11</v>
      </c>
      <c r="AI69" s="101">
        <f>IF(AI$14="","",SUMPRODUCT(--('[1]ATTENDANCE DAILY'!$C$4:$C$663=$BN$11),--('[1]ATTENDANCE DAILY'!$F$4:$F$663="Female"),--('[1]ATTENDANCE DAILY'!$G$4:$G$663=1),--('[1]ATTENDANCE DAILY'!$AV$4:$AV$663&lt;=AI$14),--('[1]ATTENDANCE DAILY'!$AW$4:$AW$663&gt;=AI$14),--(INDEX('[1]ATTENDANCE DAILY'!$I$4:$AM$663,0,DAY(AI$14))&lt;&gt;"X")))</f>
        <v>11</v>
      </c>
      <c r="AJ69" s="102"/>
      <c r="AK69" s="99"/>
      <c r="AL69" s="101">
        <f>IF(AL$14="","",SUMPRODUCT(--('[1]ATTENDANCE DAILY'!$C$4:$C$663=$BN$11),--('[1]ATTENDANCE DAILY'!$F$4:$F$663="Female"),--('[1]ATTENDANCE DAILY'!$G$4:$G$663=1),--('[1]ATTENDANCE DAILY'!$AV$4:$AV$663&lt;=AL$14),--('[1]ATTENDANCE DAILY'!$AW$4:$AW$663&gt;=AL$14),--(INDEX('[1]ATTENDANCE DAILY'!$I$4:$AM$663,0,DAY(AL$14))&lt;&gt;"X")))</f>
        <v>11</v>
      </c>
      <c r="AM69" s="99"/>
      <c r="AN69" s="101">
        <f>IF(AN$14="","",SUMPRODUCT(--('[1]ATTENDANCE DAILY'!$C$4:$C$663=$BN$11),--('[1]ATTENDANCE DAILY'!$F$4:$F$663="Female"),--('[1]ATTENDANCE DAILY'!$G$4:$G$663=1),--('[1]ATTENDANCE DAILY'!$AV$4:$AV$663&lt;=AN$14),--('[1]ATTENDANCE DAILY'!$AW$4:$AW$663&gt;=AN$14),--(INDEX('[1]ATTENDANCE DAILY'!$I$4:$AM$663,0,DAY(AN$14))&lt;&gt;"X")))</f>
        <v>11</v>
      </c>
      <c r="AO69" s="103"/>
      <c r="AP69" s="101">
        <f>IF(AP$14="","",SUMPRODUCT(--('[1]ATTENDANCE DAILY'!$C$4:$C$663=$BN$11),--('[1]ATTENDANCE DAILY'!$F$4:$F$663="Female"),--('[1]ATTENDANCE DAILY'!$G$4:$G$663=1),--('[1]ATTENDANCE DAILY'!$AV$4:$AV$663&lt;=AP$14),--('[1]ATTENDANCE DAILY'!$AW$4:$AW$663&gt;=AP$14),--(INDEX('[1]ATTENDANCE DAILY'!$I$4:$AM$663,0,DAY(AP$14))&lt;&gt;"X")))</f>
        <v>11</v>
      </c>
      <c r="AQ69" s="99"/>
      <c r="AR69" s="100">
        <f>IF(AR$14="","",SUMPRODUCT(--('[1]ATTENDANCE DAILY'!$C$4:$C$663=$BN$11),--('[1]ATTENDANCE DAILY'!$F$4:$F$663="Female"),--('[1]ATTENDANCE DAILY'!$G$4:$G$663=1),--('[1]ATTENDANCE DAILY'!$AV$4:$AV$663&lt;=AR$14),--('[1]ATTENDANCE DAILY'!$AW$4:$AW$663&gt;=AR$14),--(INDEX('[1]ATTENDANCE DAILY'!$I$4:$AM$663,0,DAY(AR$14))&lt;&gt;"X")))</f>
        <v>11</v>
      </c>
      <c r="AS69" s="101">
        <f>IF(AS$14="","",SUMPRODUCT(--('[1]ATTENDANCE DAILY'!$C$4:$C$663=$BN$11),--('[1]ATTENDANCE DAILY'!$F$4:$F$663="Female"),--('[1]ATTENDANCE DAILY'!$G$4:$G$663=1),--('[1]ATTENDANCE DAILY'!$AV$4:$AV$663&lt;=AS$14),--('[1]ATTENDANCE DAILY'!$AW$4:$AW$663&gt;=AS$14),--(INDEX('[1]ATTENDANCE DAILY'!$I$4:$AM$663,0,DAY(AS$14))&lt;&gt;"X")))</f>
        <v>11</v>
      </c>
      <c r="AT69" s="99"/>
      <c r="AU69" s="100">
        <f>IF(AU$14="","",SUMPRODUCT(--('[1]ATTENDANCE DAILY'!$C$4:$C$663=$BN$11),--('[1]ATTENDANCE DAILY'!$F$4:$F$663="Female"),--('[1]ATTENDANCE DAILY'!$G$4:$G$663=1),--('[1]ATTENDANCE DAILY'!$AV$4:$AV$663&lt;=AU$14),--('[1]ATTENDANCE DAILY'!$AW$4:$AW$663&gt;=AU$14),--(INDEX('[1]ATTENDANCE DAILY'!$I$4:$AM$663,0,DAY(AU$14))&lt;&gt;"X")))</f>
        <v>11</v>
      </c>
      <c r="AV69" s="104">
        <f>IF(AV$14="","",SUMPRODUCT(--('[1]ATTENDANCE DAILY'!$C$4:$C$663=$BN$11),--('[1]ATTENDANCE DAILY'!$F$4:$F$663="Female"),--('[1]ATTENDANCE DAILY'!$G$4:$G$663=1),--('[1]ATTENDANCE DAILY'!$AV$4:$AV$663&lt;=AV$14),--('[1]ATTENDANCE DAILY'!$AW$4:$AW$663&gt;=AV$14),--(INDEX('[1]ATTENDANCE DAILY'!$I$4:$AM$663,0,DAY(AV$14))&lt;&gt;"X")))</f>
        <v>11</v>
      </c>
      <c r="AW69" s="101">
        <f>IF(AW$14="","",SUMPRODUCT(--('[1]ATTENDANCE DAILY'!$C$4:$C$663=$BN$11),--('[1]ATTENDANCE DAILY'!$F$4:$F$663="Female"),--('[1]ATTENDANCE DAILY'!$G$4:$G$663=1),--('[1]ATTENDANCE DAILY'!$AV$4:$AV$663&lt;=AW$14),--('[1]ATTENDANCE DAILY'!$AW$4:$AW$663&gt;=AW$14),--(INDEX('[1]ATTENDANCE DAILY'!$I$4:$AM$663,0,DAY(AW$14))&lt;&gt;"X")))</f>
        <v>11</v>
      </c>
      <c r="AX69" s="99"/>
      <c r="AY69" s="101">
        <f>IF(AY$14="","",SUMPRODUCT(--('[1]ATTENDANCE DAILY'!$C$4:$C$663=$BN$11),--('[1]ATTENDANCE DAILY'!$F$4:$F$663="Female"),--('[1]ATTENDANCE DAILY'!$G$4:$G$663=1),--('[1]ATTENDANCE DAILY'!$AV$4:$AV$663&lt;=AY$14),--('[1]ATTENDANCE DAILY'!$AW$4:$AW$663&gt;=AY$14),--(INDEX('[1]ATTENDANCE DAILY'!$I$4:$AM$663,0,DAY(AY$14))&lt;&gt;"X")))</f>
        <v>11</v>
      </c>
      <c r="AZ69" s="102"/>
      <c r="BA69" s="99"/>
      <c r="BB69" s="101">
        <f>IF(BB$14="","",SUMPRODUCT(--('[1]ATTENDANCE DAILY'!$C$4:$C$663=$BN$11),--('[1]ATTENDANCE DAILY'!$F$4:$F$663="Female"),--('[1]ATTENDANCE DAILY'!$G$4:$G$663=1),--('[1]ATTENDANCE DAILY'!$AV$4:$AV$663&lt;=BB$14),--('[1]ATTENDANCE DAILY'!$AW$4:$AW$663&gt;=BB$14),--(INDEX('[1]ATTENDANCE DAILY'!$I$4:$AM$663,0,DAY(BB$14))&lt;&gt;"X")))</f>
        <v>11</v>
      </c>
      <c r="BC69" s="99"/>
      <c r="BD69" s="100" t="str">
        <f>IF(BD$14="","",SUMPRODUCT(--('[1]ATTENDANCE DAILY'!$C$4:$C$663=$BN$11),--('[1]ATTENDANCE DAILY'!$F$4:$F$663="Female"),--('[1]ATTENDANCE DAILY'!$G$4:$G$663=1),--('[1]ATTENDANCE DAILY'!$AV$4:$AV$663&lt;=BD$14),--('[1]ATTENDANCE DAILY'!$AW$4:$AW$663&gt;=BD$14),--(INDEX('[1]ATTENDANCE DAILY'!$I$4:$AM$663,0,DAY(BD$14))&lt;&gt;"X")))</f>
        <v/>
      </c>
      <c r="BE69" s="101" t="str">
        <f>IF(BE$14="","",SUMPRODUCT(--('[1]ATTENDANCE DAILY'!$C$4:$C$663=$BN$11),--('[1]ATTENDANCE DAILY'!$F$4:$F$663="Female"),--('[1]ATTENDANCE DAILY'!$G$4:$G$663=1),--('[1]ATTENDANCE DAILY'!$AV$4:$AV$663&lt;=BE$14),--('[1]ATTENDANCE DAILY'!$AW$4:$AW$663&gt;=BE$14),--(INDEX('[1]ATTENDANCE DAILY'!$I$4:$AM$663,0,DAY(BE$14))&lt;&gt;"X")))</f>
        <v/>
      </c>
      <c r="BF69" s="102"/>
      <c r="BG69" s="102"/>
      <c r="BH69" s="103"/>
      <c r="BI69" s="105">
        <f>SUMIFS('[1]ATTENDANCE DAILY'!$AR$4:$AR$663,'[1]ATTENDANCE DAILY'!$C$4:$C$663,$BN$11,'[1]ATTENDANCE DAILY'!$F$4:$F$663,"Female",'[1]ATTENDANCE DAILY'!$G$4:$G$663,1)</f>
        <v>0</v>
      </c>
      <c r="BJ69" s="106"/>
      <c r="BK69" s="107"/>
      <c r="BL69" s="105">
        <f>SUMIFS('[1]ATTENDANCE DAILY'!$AS$4:$AS$663,'[1]ATTENDANCE DAILY'!$C$4:$C$663,$BN$11,'[1]ATTENDANCE DAILY'!$F$4:$F$663,"Female",'[1]ATTENDANCE DAILY'!$G$4:$G$663,1)</f>
        <v>253</v>
      </c>
      <c r="BM69" s="106"/>
      <c r="BN69" s="106"/>
      <c r="BO69" s="107"/>
      <c r="BP69" s="105"/>
      <c r="BQ69" s="106"/>
      <c r="BR69" s="106"/>
      <c r="BS69" s="106"/>
      <c r="BT69" s="106"/>
      <c r="BU69" s="106"/>
      <c r="BV69" s="106"/>
      <c r="BW69" s="106"/>
      <c r="BX69" s="106"/>
      <c r="BY69" s="106"/>
      <c r="BZ69" s="106"/>
      <c r="CA69" s="107"/>
    </row>
    <row r="70" spans="1:81" ht="19.95" customHeight="1" thickBot="1">
      <c r="A70" s="92"/>
      <c r="B70" s="93"/>
      <c r="C70" s="93"/>
      <c r="D70" s="93"/>
      <c r="E70" s="93"/>
      <c r="F70" s="94"/>
      <c r="G70" s="111" t="s">
        <v>23</v>
      </c>
      <c r="H70" s="93"/>
      <c r="I70" s="93"/>
      <c r="J70" s="94"/>
      <c r="K70" s="98">
        <f>IF(K$14="","",K43+K69)</f>
        <v>25</v>
      </c>
      <c r="L70" s="99"/>
      <c r="M70" s="100">
        <f>IF(M$14="","",M43+M69)</f>
        <v>25</v>
      </c>
      <c r="N70" s="100">
        <f>IF(N$14="","",N43+N69)</f>
        <v>25</v>
      </c>
      <c r="O70" s="101">
        <f>IF(O$14="","",O43+O69)</f>
        <v>25</v>
      </c>
      <c r="P70" s="102"/>
      <c r="Q70" s="102"/>
      <c r="R70" s="99"/>
      <c r="S70" s="101">
        <f>IF(S$14="","",S43+S69)</f>
        <v>25</v>
      </c>
      <c r="T70" s="102"/>
      <c r="U70" s="103"/>
      <c r="V70" s="100">
        <f>IF(V$14="","",V43+V69)</f>
        <v>25</v>
      </c>
      <c r="W70" s="101">
        <f>IF(W$14="","",W43+W69)</f>
        <v>25</v>
      </c>
      <c r="X70" s="102"/>
      <c r="Y70" s="99"/>
      <c r="Z70" s="100">
        <f>IF(Z$14="","",Z43+Z69)</f>
        <v>25</v>
      </c>
      <c r="AA70" s="100">
        <f>IF(AA$14="","",AA43+AA69)</f>
        <v>25</v>
      </c>
      <c r="AB70" s="101">
        <f>IF(AB$14="","",AB43+AB69)</f>
        <v>25</v>
      </c>
      <c r="AC70" s="102"/>
      <c r="AD70" s="103"/>
      <c r="AE70" s="101">
        <f>IF(AE$14="","",AE43+AE69)</f>
        <v>25</v>
      </c>
      <c r="AF70" s="102"/>
      <c r="AG70" s="99"/>
      <c r="AH70" s="100">
        <f>IF(AH$14="","",AH43+AH69)</f>
        <v>25</v>
      </c>
      <c r="AI70" s="101">
        <f>IF(AI$14="","",AI43+AI69)</f>
        <v>25</v>
      </c>
      <c r="AJ70" s="102"/>
      <c r="AK70" s="99"/>
      <c r="AL70" s="101">
        <f>IF(AL$14="","",AL43+AL69)</f>
        <v>25</v>
      </c>
      <c r="AM70" s="99"/>
      <c r="AN70" s="101">
        <f>IF(AN$14="","",AN43+AN69)</f>
        <v>25</v>
      </c>
      <c r="AO70" s="103"/>
      <c r="AP70" s="101">
        <f>IF(AP$14="","",AP43+AP69)</f>
        <v>25</v>
      </c>
      <c r="AQ70" s="99"/>
      <c r="AR70" s="100">
        <f>IF(AR$14="","",AR43+AR69)</f>
        <v>25</v>
      </c>
      <c r="AS70" s="101">
        <f>IF(AS$14="","",AS43+AS69)</f>
        <v>25</v>
      </c>
      <c r="AT70" s="99"/>
      <c r="AU70" s="100">
        <f>IF(AU$14="","",AU43+AU69)</f>
        <v>25</v>
      </c>
      <c r="AV70" s="104">
        <f>IF(AV$14="","",AV43+AV69)</f>
        <v>25</v>
      </c>
      <c r="AW70" s="101">
        <f>IF(AW$14="","",AW43+AW69)</f>
        <v>25</v>
      </c>
      <c r="AX70" s="99"/>
      <c r="AY70" s="101">
        <f>IF(AY$14="","",AY43+AY69)</f>
        <v>25</v>
      </c>
      <c r="AZ70" s="102"/>
      <c r="BA70" s="99"/>
      <c r="BB70" s="101">
        <f>IF(BB$14="","",BB43+BB69)</f>
        <v>25</v>
      </c>
      <c r="BC70" s="99"/>
      <c r="BD70" s="100" t="str">
        <f>IF(BD$14="","",BD43+BD69)</f>
        <v/>
      </c>
      <c r="BE70" s="101" t="str">
        <f>IF(BE$14="","",BE43+BE69)</f>
        <v/>
      </c>
      <c r="BF70" s="102"/>
      <c r="BG70" s="102"/>
      <c r="BH70" s="103"/>
      <c r="BI70" s="105">
        <f>BI43+BI69</f>
        <v>0</v>
      </c>
      <c r="BJ70" s="106"/>
      <c r="BK70" s="107"/>
      <c r="BL70" s="105">
        <f>BL43+BL69</f>
        <v>575</v>
      </c>
      <c r="BM70" s="106"/>
      <c r="BN70" s="106"/>
      <c r="BO70" s="107"/>
      <c r="BP70" s="105"/>
      <c r="BQ70" s="106"/>
      <c r="BR70" s="106"/>
      <c r="BS70" s="106"/>
      <c r="BT70" s="106"/>
      <c r="BU70" s="106"/>
      <c r="BV70" s="106"/>
      <c r="BW70" s="106"/>
      <c r="BX70" s="106"/>
      <c r="BY70" s="106"/>
      <c r="BZ70" s="106"/>
      <c r="CA70" s="107"/>
    </row>
    <row r="71" spans="1:81" ht="10.050000000000001" customHeight="1">
      <c r="A71" s="112" t="s">
        <v>24</v>
      </c>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
      <c r="AP71" s="113" t="s">
        <v>25</v>
      </c>
      <c r="AQ71" s="114"/>
      <c r="AR71" s="114"/>
      <c r="AS71" s="114"/>
      <c r="AT71" s="114"/>
      <c r="AU71" s="114"/>
      <c r="AV71" s="114"/>
      <c r="AW71" s="114"/>
      <c r="AX71" s="114"/>
      <c r="AY71" s="114"/>
      <c r="AZ71" s="114"/>
      <c r="BA71" s="114"/>
      <c r="BB71" s="114"/>
      <c r="BC71" s="114"/>
      <c r="BD71" s="114"/>
      <c r="BE71" s="115"/>
      <c r="BF71" s="1"/>
      <c r="BG71" s="1"/>
      <c r="BH71" s="1"/>
      <c r="BI71" s="116" t="str">
        <f>"Month: "&amp;$BN$11</f>
        <v>Month: July</v>
      </c>
      <c r="BJ71" s="117"/>
      <c r="BK71" s="117"/>
      <c r="BL71" s="117"/>
      <c r="BM71" s="117"/>
      <c r="BN71" s="118"/>
      <c r="BO71" s="116" t="str">
        <f>"No. of Days of Classes: "&amp;_xlfn.XLOOKUP($BN$11,'[1]SF2 CALENDAR'!$A$4:$A$14,'[1]SF2 CALENDAR'!$G$4:$G$14,"")</f>
        <v>No. of Days of Classes: 23</v>
      </c>
      <c r="BP71" s="117"/>
      <c r="BQ71" s="117"/>
      <c r="BR71" s="117"/>
      <c r="BS71" s="117"/>
      <c r="BT71" s="118"/>
      <c r="BU71" s="119" t="s">
        <v>26</v>
      </c>
      <c r="BV71" s="120"/>
      <c r="BW71" s="120"/>
      <c r="BX71" s="120"/>
      <c r="BY71" s="120"/>
      <c r="BZ71" s="120"/>
      <c r="CA71" s="121"/>
    </row>
    <row r="72" spans="1:81" ht="10.050000000000001" customHeight="1" thickBot="1">
      <c r="A72" s="122" t="s">
        <v>27</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
      <c r="AP72" s="123" t="s">
        <v>28</v>
      </c>
      <c r="AQ72" s="124"/>
      <c r="AR72" s="124"/>
      <c r="AS72" s="124"/>
      <c r="AT72" s="124"/>
      <c r="AU72" s="124"/>
      <c r="AV72" s="124"/>
      <c r="AW72" s="124"/>
      <c r="AX72" s="124"/>
      <c r="AY72" s="124"/>
      <c r="AZ72" s="124"/>
      <c r="BA72" s="124"/>
      <c r="BB72" s="124"/>
      <c r="BC72" s="124"/>
      <c r="BD72" s="124"/>
      <c r="BE72" s="125"/>
      <c r="BF72" s="1"/>
      <c r="BG72" s="1"/>
      <c r="BH72" s="1"/>
      <c r="BI72" s="126"/>
      <c r="BJ72" s="127"/>
      <c r="BK72" s="127"/>
      <c r="BL72" s="127"/>
      <c r="BM72" s="127"/>
      <c r="BN72" s="128"/>
      <c r="BO72" s="126"/>
      <c r="BP72" s="127"/>
      <c r="BQ72" s="127"/>
      <c r="BR72" s="127"/>
      <c r="BS72" s="127"/>
      <c r="BT72" s="128"/>
      <c r="BU72" s="129" t="s">
        <v>29</v>
      </c>
      <c r="BV72" s="130"/>
      <c r="BW72" s="131" t="s">
        <v>30</v>
      </c>
      <c r="BX72" s="129" t="s">
        <v>31</v>
      </c>
      <c r="BY72" s="132"/>
      <c r="BZ72" s="132"/>
      <c r="CA72" s="133"/>
    </row>
    <row r="73" spans="1:81" ht="1.0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
      <c r="AP73" s="123"/>
      <c r="AQ73" s="10"/>
      <c r="AR73" s="10"/>
      <c r="AS73" s="10"/>
      <c r="AT73" s="10"/>
      <c r="AU73" s="10"/>
      <c r="AV73" s="10"/>
      <c r="AW73" s="10"/>
      <c r="AX73" s="10"/>
      <c r="AY73" s="10"/>
      <c r="AZ73" s="10"/>
      <c r="BA73" s="10"/>
      <c r="BB73" s="10"/>
      <c r="BC73" s="10"/>
      <c r="BD73" s="10"/>
      <c r="BE73" s="125"/>
      <c r="BF73" s="1"/>
      <c r="BG73" s="1"/>
      <c r="BH73" s="1"/>
      <c r="BI73" s="1"/>
      <c r="BJ73" s="1"/>
      <c r="BK73" s="1"/>
      <c r="BL73" s="1"/>
      <c r="BM73" s="1"/>
      <c r="BN73" s="1"/>
      <c r="BO73" s="1"/>
      <c r="BP73" s="1"/>
      <c r="BQ73" s="1"/>
      <c r="BR73" s="1"/>
      <c r="BS73" s="1"/>
      <c r="BT73" s="1"/>
      <c r="BU73" s="134"/>
      <c r="BV73" s="135"/>
      <c r="BW73" s="136"/>
      <c r="BX73" s="134"/>
      <c r="BY73" s="137"/>
      <c r="BZ73" s="137"/>
      <c r="CA73" s="138"/>
    </row>
    <row r="74" spans="1:81" ht="9"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
      <c r="AP74" s="123"/>
      <c r="AQ74" s="124"/>
      <c r="AR74" s="124"/>
      <c r="AS74" s="124"/>
      <c r="AT74" s="124"/>
      <c r="AU74" s="124"/>
      <c r="AV74" s="124"/>
      <c r="AW74" s="124"/>
      <c r="AX74" s="124"/>
      <c r="AY74" s="124"/>
      <c r="AZ74" s="124"/>
      <c r="BA74" s="124"/>
      <c r="BB74" s="124"/>
      <c r="BC74" s="124"/>
      <c r="BD74" s="124"/>
      <c r="BE74" s="125"/>
      <c r="BF74" s="1"/>
      <c r="BG74" s="1"/>
      <c r="BH74" s="1"/>
      <c r="BI74" s="139" t="s">
        <v>32</v>
      </c>
      <c r="BJ74" s="140"/>
      <c r="BK74" s="140"/>
      <c r="BL74" s="140"/>
      <c r="BM74" s="140"/>
      <c r="BN74" s="140"/>
      <c r="BO74" s="140"/>
      <c r="BP74" s="140"/>
      <c r="BQ74" s="140"/>
      <c r="BR74" s="140"/>
      <c r="BS74" s="140"/>
      <c r="BT74" s="141"/>
      <c r="BU74" s="142">
        <f>COUNTIFS('[1]ATTENDANCE DAILY'!$C$4:$C$663,"June",'[1]ATTENDANCE DAILY'!$F$4:$F$663,"Male",'[1]ATTENDANCE DAILY'!$D$4:$D$663,"&lt;&gt;",'[1]ATTENDANCE DAILY'!$AV$4:$AV$663,"&lt;="&amp;DATE(2026,6,12),'[1]ATTENDANCE DAILY'!$AW$4:$AW$663,"&gt;="&amp;DATE(2026,6,12))</f>
        <v>14</v>
      </c>
      <c r="BV74" s="143"/>
      <c r="BW74" s="144">
        <f>COUNTIFS('[1]ATTENDANCE DAILY'!$C$4:$C$663,"June",'[1]ATTENDANCE DAILY'!$F$4:$F$663,"Female",'[1]ATTENDANCE DAILY'!$D$4:$D$663,"&lt;&gt;",'[1]ATTENDANCE DAILY'!$AV$4:$AV$663,"&lt;="&amp;DATE(2026,6,12),'[1]ATTENDANCE DAILY'!$AW$4:$AW$663,"&gt;="&amp;DATE(2026,6,12))</f>
        <v>11</v>
      </c>
      <c r="BX74" s="142">
        <f>BU74+BW74</f>
        <v>25</v>
      </c>
      <c r="BY74" s="10"/>
      <c r="BZ74" s="10"/>
      <c r="CA74" s="145"/>
    </row>
    <row r="75" spans="1:81" ht="4.9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
      <c r="AP75" s="146" t="s">
        <v>33</v>
      </c>
      <c r="AQ75" s="147"/>
      <c r="AR75" s="147"/>
      <c r="AS75" s="147"/>
      <c r="AT75" s="147"/>
      <c r="AU75" s="147"/>
      <c r="AV75" s="147"/>
      <c r="AW75" s="147"/>
      <c r="AX75" s="147"/>
      <c r="AY75" s="147"/>
      <c r="AZ75" s="147"/>
      <c r="BA75" s="147"/>
      <c r="BB75" s="147"/>
      <c r="BC75" s="147"/>
      <c r="BD75" s="147"/>
      <c r="BE75" s="148"/>
      <c r="BF75" s="1"/>
      <c r="BG75" s="1"/>
      <c r="BH75" s="1"/>
      <c r="BI75" s="139"/>
      <c r="BJ75" s="10"/>
      <c r="BK75" s="10"/>
      <c r="BL75" s="10"/>
      <c r="BM75" s="10"/>
      <c r="BN75" s="10"/>
      <c r="BO75" s="10"/>
      <c r="BP75" s="10"/>
      <c r="BQ75" s="10"/>
      <c r="BR75" s="10"/>
      <c r="BS75" s="10"/>
      <c r="BT75" s="141"/>
      <c r="BU75" s="149"/>
      <c r="BV75" s="150"/>
      <c r="BW75" s="151"/>
      <c r="BX75" s="149"/>
      <c r="BY75" s="152"/>
      <c r="BZ75" s="152"/>
      <c r="CA75" s="153"/>
    </row>
    <row r="76" spans="1:81" ht="1.0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
      <c r="AP76" s="146"/>
      <c r="AQ76" s="10"/>
      <c r="AR76" s="10"/>
      <c r="AS76" s="10"/>
      <c r="AT76" s="10"/>
      <c r="AU76" s="10"/>
      <c r="AV76" s="10"/>
      <c r="AW76" s="10"/>
      <c r="AX76" s="10"/>
      <c r="AY76" s="10"/>
      <c r="AZ76" s="10"/>
      <c r="BA76" s="10"/>
      <c r="BB76" s="10"/>
      <c r="BC76" s="10"/>
      <c r="BD76" s="10"/>
      <c r="BE76" s="148"/>
      <c r="BF76" s="1"/>
      <c r="BG76" s="1"/>
      <c r="BH76" s="1"/>
      <c r="BI76" s="154"/>
      <c r="BJ76" s="155"/>
      <c r="BK76" s="155"/>
      <c r="BL76" s="155"/>
      <c r="BM76" s="155"/>
      <c r="BN76" s="155"/>
      <c r="BO76" s="155"/>
      <c r="BP76" s="155"/>
      <c r="BQ76" s="155"/>
      <c r="BR76" s="155"/>
      <c r="BS76" s="155"/>
      <c r="BT76" s="156"/>
      <c r="BU76" s="1"/>
      <c r="BV76" s="1"/>
      <c r="BW76" s="1"/>
      <c r="BX76" s="1"/>
      <c r="BY76" s="1"/>
      <c r="BZ76" s="1"/>
      <c r="CA76" s="1"/>
    </row>
    <row r="77" spans="1:81" ht="4.0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
      <c r="AP77" s="146"/>
      <c r="AQ77" s="147"/>
      <c r="AR77" s="147"/>
      <c r="AS77" s="147"/>
      <c r="AT77" s="147"/>
      <c r="AU77" s="147"/>
      <c r="AV77" s="147"/>
      <c r="AW77" s="147"/>
      <c r="AX77" s="147"/>
      <c r="AY77" s="147"/>
      <c r="AZ77" s="147"/>
      <c r="BA77" s="147"/>
      <c r="BB77" s="147"/>
      <c r="BC77" s="147"/>
      <c r="BD77" s="147"/>
      <c r="BE77" s="148"/>
      <c r="BF77" s="1"/>
      <c r="BG77" s="1"/>
      <c r="BH77" s="1"/>
      <c r="BI77" s="157" t="s">
        <v>34</v>
      </c>
      <c r="BJ77" s="158"/>
      <c r="BK77" s="158"/>
      <c r="BL77" s="159"/>
      <c r="BM77" s="160" t="s">
        <v>35</v>
      </c>
      <c r="BN77" s="160"/>
      <c r="BO77" s="160"/>
      <c r="BP77" s="160"/>
      <c r="BQ77" s="160"/>
      <c r="BR77" s="160"/>
      <c r="BS77" s="160"/>
      <c r="BT77" s="161"/>
      <c r="BU77" s="162">
        <f>COUNTIFS('[1]ATTENDANCE DAILY'!$C$4:$C$663,$BN$11,'[1]ATTENDANCE DAILY'!$F$4:$F$663,"Male",'[1]ATTENDANCE DAILY'!$AN$4:$AN$663,"Late Enrollment")</f>
        <v>0</v>
      </c>
      <c r="BV77" s="163"/>
      <c r="BW77" s="164">
        <f>COUNTIFS('[1]ATTENDANCE DAILY'!$C$4:$C$663,$BN$11,'[1]ATTENDANCE DAILY'!$F$4:$F$663,"Female",'[1]ATTENDANCE DAILY'!$AN$4:$AN$663,"Late Enrollment")</f>
        <v>0</v>
      </c>
      <c r="BX77" s="162">
        <f>BU77+BW77</f>
        <v>0</v>
      </c>
      <c r="BY77" s="137"/>
      <c r="BZ77" s="137"/>
      <c r="CA77" s="138"/>
    </row>
    <row r="78" spans="1:81" ht="9" customHeight="1">
      <c r="A78" s="1"/>
      <c r="B78" s="1"/>
      <c r="C78" s="1"/>
      <c r="D78" s="1"/>
      <c r="E78" s="1"/>
      <c r="F78" s="165" t="s">
        <v>36</v>
      </c>
      <c r="G78" s="10"/>
      <c r="H78" s="10"/>
      <c r="I78" s="10"/>
      <c r="J78" s="10"/>
      <c r="K78" s="10"/>
      <c r="L78" s="166" t="s">
        <v>37</v>
      </c>
      <c r="M78" s="166"/>
      <c r="N78" s="166"/>
      <c r="O78" s="166"/>
      <c r="P78" s="166"/>
      <c r="Q78" s="166"/>
      <c r="R78" s="166"/>
      <c r="S78" s="166"/>
      <c r="T78" s="166"/>
      <c r="U78" s="166"/>
      <c r="V78" s="166"/>
      <c r="W78" s="166"/>
      <c r="X78" s="166"/>
      <c r="Y78" s="166"/>
      <c r="Z78" s="166"/>
      <c r="AA78" s="166"/>
      <c r="AB78" s="166"/>
      <c r="AC78" s="166"/>
      <c r="AD78" s="166"/>
      <c r="AE78" s="166"/>
      <c r="AF78" s="166"/>
      <c r="AG78" s="166"/>
      <c r="AH78" s="167" t="s">
        <v>38</v>
      </c>
      <c r="AI78" s="10"/>
      <c r="AJ78" s="10"/>
      <c r="AK78" s="10"/>
      <c r="AL78" s="10"/>
      <c r="AM78" s="1"/>
      <c r="AN78" s="1"/>
      <c r="AO78" s="1"/>
      <c r="AP78" s="146" t="s">
        <v>39</v>
      </c>
      <c r="AQ78" s="147"/>
      <c r="AR78" s="147"/>
      <c r="AS78" s="147"/>
      <c r="AT78" s="147"/>
      <c r="AU78" s="147"/>
      <c r="AV78" s="147"/>
      <c r="AW78" s="147"/>
      <c r="AX78" s="147"/>
      <c r="AY78" s="147"/>
      <c r="AZ78" s="147"/>
      <c r="BA78" s="147"/>
      <c r="BB78" s="147"/>
      <c r="BC78" s="147"/>
      <c r="BD78" s="147"/>
      <c r="BE78" s="148"/>
      <c r="BF78" s="1"/>
      <c r="BG78" s="1"/>
      <c r="BH78" s="1"/>
      <c r="BI78" s="157"/>
      <c r="BJ78" s="158"/>
      <c r="BK78" s="158"/>
      <c r="BL78" s="159"/>
      <c r="BM78" s="160"/>
      <c r="BN78" s="160"/>
      <c r="BO78" s="160"/>
      <c r="BP78" s="160"/>
      <c r="BQ78" s="160"/>
      <c r="BR78" s="160"/>
      <c r="BS78" s="160"/>
      <c r="BT78" s="161"/>
      <c r="BU78" s="168"/>
      <c r="BV78" s="169"/>
      <c r="BW78" s="170"/>
      <c r="BX78" s="168"/>
      <c r="BY78" s="10"/>
      <c r="BZ78" s="10"/>
      <c r="CA78" s="145"/>
    </row>
    <row r="79" spans="1:81" ht="1.05" customHeight="1">
      <c r="A79" s="1"/>
      <c r="B79" s="1"/>
      <c r="C79" s="1"/>
      <c r="D79" s="1"/>
      <c r="E79" s="1"/>
      <c r="F79" s="10"/>
      <c r="G79" s="10"/>
      <c r="H79" s="10"/>
      <c r="I79" s="10"/>
      <c r="J79" s="10"/>
      <c r="K79" s="10"/>
      <c r="L79" s="33"/>
      <c r="M79" s="33"/>
      <c r="N79" s="33"/>
      <c r="O79" s="33"/>
      <c r="P79" s="33"/>
      <c r="Q79" s="33"/>
      <c r="R79" s="33"/>
      <c r="S79" s="33"/>
      <c r="T79" s="33"/>
      <c r="U79" s="33"/>
      <c r="V79" s="33"/>
      <c r="W79" s="33"/>
      <c r="X79" s="33"/>
      <c r="Y79" s="33"/>
      <c r="Z79" s="33"/>
      <c r="AA79" s="33"/>
      <c r="AB79" s="33"/>
      <c r="AC79" s="33"/>
      <c r="AD79" s="33"/>
      <c r="AE79" s="33"/>
      <c r="AF79" s="33"/>
      <c r="AG79" s="33"/>
      <c r="AH79" s="10"/>
      <c r="AI79" s="10"/>
      <c r="AJ79" s="10"/>
      <c r="AK79" s="10"/>
      <c r="AL79" s="10"/>
      <c r="AM79" s="1"/>
      <c r="AN79" s="1"/>
      <c r="AO79" s="1"/>
      <c r="AP79" s="146"/>
      <c r="AQ79" s="147"/>
      <c r="AR79" s="147"/>
      <c r="AS79" s="147"/>
      <c r="AT79" s="147"/>
      <c r="AU79" s="147"/>
      <c r="AV79" s="147"/>
      <c r="AW79" s="147"/>
      <c r="AX79" s="147"/>
      <c r="AY79" s="147"/>
      <c r="AZ79" s="147"/>
      <c r="BA79" s="147"/>
      <c r="BB79" s="147"/>
      <c r="BC79" s="147"/>
      <c r="BD79" s="147"/>
      <c r="BE79" s="148"/>
      <c r="BF79" s="1"/>
      <c r="BG79" s="1"/>
      <c r="BH79" s="1"/>
      <c r="BI79" s="157" t="s">
        <v>40</v>
      </c>
      <c r="BJ79" s="158"/>
      <c r="BK79" s="158"/>
      <c r="BL79" s="158"/>
      <c r="BM79" s="158"/>
      <c r="BN79" s="158"/>
      <c r="BO79" s="158"/>
      <c r="BP79" s="158"/>
      <c r="BQ79" s="158"/>
      <c r="BR79" s="158"/>
      <c r="BS79" s="158"/>
      <c r="BT79" s="1"/>
      <c r="BU79" s="168"/>
      <c r="BV79" s="169"/>
      <c r="BW79" s="170"/>
      <c r="BX79" s="168"/>
      <c r="BY79" s="10"/>
      <c r="BZ79" s="10"/>
      <c r="CA79" s="145"/>
    </row>
    <row r="80" spans="1:81" ht="1.05" customHeight="1">
      <c r="A80" s="1"/>
      <c r="B80" s="1"/>
      <c r="C80" s="1"/>
      <c r="D80" s="1"/>
      <c r="E80" s="1"/>
      <c r="F80" s="10"/>
      <c r="G80" s="10"/>
      <c r="H80" s="10"/>
      <c r="I80" s="10"/>
      <c r="J80" s="10"/>
      <c r="K80" s="10"/>
      <c r="L80" s="167" t="s">
        <v>41</v>
      </c>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
      <c r="AN80" s="1"/>
      <c r="AO80" s="1"/>
      <c r="AP80" s="171" t="s">
        <v>42</v>
      </c>
      <c r="AQ80" s="172"/>
      <c r="AR80" s="172"/>
      <c r="AS80" s="172"/>
      <c r="AT80" s="172"/>
      <c r="AU80" s="172"/>
      <c r="AV80" s="172"/>
      <c r="AW80" s="172"/>
      <c r="AX80" s="172"/>
      <c r="AY80" s="172"/>
      <c r="AZ80" s="172"/>
      <c r="BA80" s="172"/>
      <c r="BB80" s="172"/>
      <c r="BC80" s="172"/>
      <c r="BD80" s="172"/>
      <c r="BE80" s="173"/>
      <c r="BF80" s="1"/>
      <c r="BG80" s="1"/>
      <c r="BH80" s="1"/>
      <c r="BI80" s="157"/>
      <c r="BJ80" s="10"/>
      <c r="BK80" s="10"/>
      <c r="BL80" s="10"/>
      <c r="BM80" s="10"/>
      <c r="BN80" s="10"/>
      <c r="BO80" s="10"/>
      <c r="BP80" s="10"/>
      <c r="BQ80" s="10"/>
      <c r="BR80" s="10"/>
      <c r="BS80" s="158"/>
      <c r="BT80" s="1"/>
      <c r="BU80" s="168"/>
      <c r="BV80" s="169"/>
      <c r="BW80" s="170"/>
      <c r="BX80" s="168"/>
      <c r="BY80" s="174"/>
      <c r="BZ80" s="174"/>
      <c r="CA80" s="145"/>
    </row>
    <row r="81" spans="1:79" ht="9" customHeight="1">
      <c r="A81" s="1"/>
      <c r="B81" s="1"/>
      <c r="C81" s="1"/>
      <c r="D81" s="1"/>
      <c r="E81" s="1"/>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
      <c r="AN81" s="1"/>
      <c r="AO81" s="1"/>
      <c r="AP81" s="171"/>
      <c r="AQ81" s="10"/>
      <c r="AR81" s="10"/>
      <c r="AS81" s="10"/>
      <c r="AT81" s="10"/>
      <c r="AU81" s="10"/>
      <c r="AV81" s="10"/>
      <c r="AW81" s="10"/>
      <c r="AX81" s="10"/>
      <c r="AY81" s="10"/>
      <c r="AZ81" s="10"/>
      <c r="BA81" s="10"/>
      <c r="BB81" s="10"/>
      <c r="BC81" s="10"/>
      <c r="BD81" s="10"/>
      <c r="BE81" s="173"/>
      <c r="BF81" s="1"/>
      <c r="BG81" s="1"/>
      <c r="BH81" s="1"/>
      <c r="BI81" s="175"/>
      <c r="BJ81" s="176"/>
      <c r="BK81" s="176"/>
      <c r="BL81" s="176"/>
      <c r="BM81" s="176"/>
      <c r="BN81" s="176"/>
      <c r="BO81" s="176"/>
      <c r="BP81" s="176"/>
      <c r="BQ81" s="176"/>
      <c r="BR81" s="176"/>
      <c r="BS81" s="176"/>
      <c r="BT81" s="1"/>
      <c r="BU81" s="177"/>
      <c r="BV81" s="178"/>
      <c r="BW81" s="179"/>
      <c r="BX81" s="177"/>
      <c r="BY81" s="180"/>
      <c r="BZ81" s="180"/>
      <c r="CA81" s="181"/>
    </row>
    <row r="82" spans="1:79" ht="10.050000000000001" customHeight="1">
      <c r="A82" s="1"/>
      <c r="B82" s="1"/>
      <c r="C82" s="1"/>
      <c r="D82" s="1"/>
      <c r="E82" s="1"/>
      <c r="F82" s="165" t="s">
        <v>43</v>
      </c>
      <c r="G82" s="10"/>
      <c r="H82" s="10"/>
      <c r="I82" s="10"/>
      <c r="J82" s="10"/>
      <c r="K82" s="10"/>
      <c r="L82" s="33" t="s">
        <v>44</v>
      </c>
      <c r="M82" s="33"/>
      <c r="N82" s="33"/>
      <c r="O82" s="33"/>
      <c r="P82" s="33"/>
      <c r="Q82" s="33"/>
      <c r="R82" s="33"/>
      <c r="S82" s="33"/>
      <c r="T82" s="33"/>
      <c r="U82" s="33"/>
      <c r="V82" s="33"/>
      <c r="W82" s="33"/>
      <c r="X82" s="33"/>
      <c r="Y82" s="33"/>
      <c r="Z82" s="33"/>
      <c r="AA82" s="33"/>
      <c r="AB82" s="33"/>
      <c r="AC82" s="33"/>
      <c r="AD82" s="33"/>
      <c r="AE82" s="33"/>
      <c r="AF82" s="33"/>
      <c r="AG82" s="33"/>
      <c r="AH82" s="1"/>
      <c r="AI82" s="1"/>
      <c r="AJ82" s="1"/>
      <c r="AK82" s="1"/>
      <c r="AL82" s="1"/>
      <c r="AM82" s="1"/>
      <c r="AN82" s="1"/>
      <c r="AO82" s="1"/>
      <c r="AP82" s="171"/>
      <c r="AQ82" s="10"/>
      <c r="AR82" s="10"/>
      <c r="AS82" s="10"/>
      <c r="AT82" s="10"/>
      <c r="AU82" s="10"/>
      <c r="AV82" s="10"/>
      <c r="AW82" s="10"/>
      <c r="AX82" s="10"/>
      <c r="AY82" s="10"/>
      <c r="AZ82" s="10"/>
      <c r="BA82" s="10"/>
      <c r="BB82" s="10"/>
      <c r="BC82" s="10"/>
      <c r="BD82" s="10"/>
      <c r="BE82" s="173"/>
      <c r="BF82" s="1"/>
      <c r="BG82" s="1"/>
      <c r="BH82" s="1"/>
      <c r="BI82" s="182" t="s">
        <v>45</v>
      </c>
      <c r="BJ82" s="183"/>
      <c r="BK82" s="183"/>
      <c r="BL82" s="183"/>
      <c r="BM82" s="183"/>
      <c r="BN82" s="183"/>
      <c r="BO82" s="183"/>
      <c r="BP82" s="183"/>
      <c r="BQ82" s="183"/>
      <c r="BR82" s="183"/>
      <c r="BS82" s="183"/>
      <c r="BT82" s="184"/>
      <c r="BU82" s="185">
        <f>COUNTIFS('[1]ATTENDANCE DAILY'!$C$4:$C$663,$BN$11,'[1]ATTENDANCE DAILY'!$F$4:$F$663,"Male",'[1]ATTENDANCE DAILY'!$H$4:$H$663,1)</f>
        <v>14</v>
      </c>
      <c r="BV82" s="186"/>
      <c r="BW82" s="187">
        <f>COUNTIFS('[1]ATTENDANCE DAILY'!$C$4:$C$663,$BN$11,'[1]ATTENDANCE DAILY'!$F$4:$F$663,"Female",'[1]ATTENDANCE DAILY'!$H$4:$H$663,1)</f>
        <v>11</v>
      </c>
      <c r="BX82" s="185">
        <f>BU82+BW82</f>
        <v>25</v>
      </c>
      <c r="BY82" s="188"/>
      <c r="BZ82" s="188"/>
      <c r="CA82" s="189"/>
    </row>
    <row r="83" spans="1:79" ht="10.050000000000001" customHeight="1">
      <c r="A83" s="1"/>
      <c r="B83" s="1"/>
      <c r="C83" s="1"/>
      <c r="D83" s="1"/>
      <c r="E83" s="1"/>
      <c r="F83" s="10"/>
      <c r="G83" s="10"/>
      <c r="H83" s="10"/>
      <c r="I83" s="10"/>
      <c r="J83" s="10"/>
      <c r="K83" s="10"/>
      <c r="L83" s="167" t="s">
        <v>46</v>
      </c>
      <c r="M83" s="10"/>
      <c r="N83" s="10"/>
      <c r="O83" s="10"/>
      <c r="P83" s="10"/>
      <c r="Q83" s="10"/>
      <c r="R83" s="10"/>
      <c r="S83" s="10"/>
      <c r="T83" s="10"/>
      <c r="U83" s="10"/>
      <c r="V83" s="10"/>
      <c r="W83" s="10"/>
      <c r="X83" s="10"/>
      <c r="Y83" s="10"/>
      <c r="Z83" s="10"/>
      <c r="AA83" s="10"/>
      <c r="AB83" s="10"/>
      <c r="AC83" s="10"/>
      <c r="AD83" s="10"/>
      <c r="AE83" s="10"/>
      <c r="AF83" s="10"/>
      <c r="AG83" s="10"/>
      <c r="AH83" s="1"/>
      <c r="AI83" s="1"/>
      <c r="AJ83" s="1"/>
      <c r="AK83" s="1"/>
      <c r="AL83" s="1"/>
      <c r="AM83" s="1"/>
      <c r="AN83" s="1"/>
      <c r="AO83" s="1"/>
      <c r="AP83" s="171"/>
      <c r="AQ83" s="10"/>
      <c r="AR83" s="10"/>
      <c r="AS83" s="10"/>
      <c r="AT83" s="10"/>
      <c r="AU83" s="10"/>
      <c r="AV83" s="10"/>
      <c r="AW83" s="10"/>
      <c r="AX83" s="10"/>
      <c r="AY83" s="10"/>
      <c r="AZ83" s="10"/>
      <c r="BA83" s="10"/>
      <c r="BB83" s="10"/>
      <c r="BC83" s="10"/>
      <c r="BD83" s="10"/>
      <c r="BE83" s="173"/>
      <c r="BF83" s="1"/>
      <c r="BG83" s="1"/>
      <c r="BH83" s="1"/>
      <c r="BI83" s="190" t="s">
        <v>47</v>
      </c>
      <c r="BJ83" s="191"/>
      <c r="BK83" s="191"/>
      <c r="BL83" s="191"/>
      <c r="BM83" s="191"/>
      <c r="BN83" s="191"/>
      <c r="BO83" s="191"/>
      <c r="BP83" s="191"/>
      <c r="BQ83" s="191"/>
      <c r="BR83" s="191"/>
      <c r="BS83" s="191"/>
      <c r="BT83" s="192"/>
      <c r="BU83" s="193"/>
      <c r="BV83" s="194"/>
      <c r="BW83" s="195"/>
      <c r="BX83" s="193"/>
      <c r="BY83" s="196"/>
      <c r="BZ83" s="196"/>
      <c r="CA83" s="197"/>
    </row>
    <row r="84" spans="1:79" ht="10.050000000000001" customHeight="1">
      <c r="A84" s="1"/>
      <c r="B84" s="1"/>
      <c r="C84" s="1"/>
      <c r="D84" s="1"/>
      <c r="E84" s="1"/>
      <c r="F84" s="165" t="s">
        <v>48</v>
      </c>
      <c r="G84" s="10"/>
      <c r="H84" s="10"/>
      <c r="I84" s="10"/>
      <c r="J84" s="10"/>
      <c r="K84" s="10"/>
      <c r="L84" s="33" t="s">
        <v>49</v>
      </c>
      <c r="M84" s="33"/>
      <c r="N84" s="33"/>
      <c r="O84" s="33"/>
      <c r="P84" s="33"/>
      <c r="Q84" s="33"/>
      <c r="R84" s="33"/>
      <c r="S84" s="33"/>
      <c r="T84" s="33"/>
      <c r="U84" s="33"/>
      <c r="V84" s="33"/>
      <c r="W84" s="33"/>
      <c r="X84" s="33"/>
      <c r="Y84" s="33"/>
      <c r="Z84" s="33"/>
      <c r="AA84" s="33"/>
      <c r="AB84" s="33"/>
      <c r="AC84" s="33"/>
      <c r="AD84" s="33"/>
      <c r="AE84" s="33"/>
      <c r="AF84" s="33"/>
      <c r="AG84" s="33"/>
      <c r="AH84" s="167" t="s">
        <v>38</v>
      </c>
      <c r="AI84" s="10"/>
      <c r="AJ84" s="10"/>
      <c r="AK84" s="10"/>
      <c r="AL84" s="10"/>
      <c r="AM84" s="1"/>
      <c r="AN84" s="1"/>
      <c r="AO84" s="1"/>
      <c r="AP84" s="171"/>
      <c r="AQ84" s="172"/>
      <c r="AR84" s="172"/>
      <c r="AS84" s="172"/>
      <c r="AT84" s="172"/>
      <c r="AU84" s="172"/>
      <c r="AV84" s="172"/>
      <c r="AW84" s="172"/>
      <c r="AX84" s="172"/>
      <c r="AY84" s="172"/>
      <c r="AZ84" s="172"/>
      <c r="BA84" s="172"/>
      <c r="BB84" s="172"/>
      <c r="BC84" s="172"/>
      <c r="BD84" s="172"/>
      <c r="BE84" s="173"/>
      <c r="BF84" s="1"/>
      <c r="BG84" s="1"/>
      <c r="BH84" s="1"/>
      <c r="BI84" s="182" t="s">
        <v>50</v>
      </c>
      <c r="BJ84" s="183"/>
      <c r="BK84" s="183"/>
      <c r="BL84" s="183"/>
      <c r="BM84" s="183"/>
      <c r="BN84" s="183"/>
      <c r="BO84" s="183"/>
      <c r="BP84" s="183"/>
      <c r="BQ84" s="183"/>
      <c r="BR84" s="183"/>
      <c r="BS84" s="183"/>
      <c r="BT84" s="184"/>
      <c r="BU84" s="198">
        <f>IFERROR(BU82/BU74,0)</f>
        <v>1</v>
      </c>
      <c r="BV84" s="199"/>
      <c r="BW84" s="200">
        <f>IFERROR(BW82/BW74,0)</f>
        <v>1</v>
      </c>
      <c r="BX84" s="198">
        <f>IFERROR(BX82/BX74,0)</f>
        <v>1</v>
      </c>
      <c r="BY84" s="188"/>
      <c r="BZ84" s="188"/>
      <c r="CA84" s="189"/>
    </row>
    <row r="85" spans="1:79" ht="10.050000000000001" customHeight="1">
      <c r="A85" s="1"/>
      <c r="B85" s="1"/>
      <c r="C85" s="1"/>
      <c r="D85" s="1"/>
      <c r="E85" s="1"/>
      <c r="F85" s="10"/>
      <c r="G85" s="10"/>
      <c r="H85" s="10"/>
      <c r="I85" s="10"/>
      <c r="J85" s="10"/>
      <c r="K85" s="10"/>
      <c r="L85" s="167" t="s">
        <v>37</v>
      </c>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
      <c r="AN85" s="1"/>
      <c r="AO85" s="1"/>
      <c r="AP85" s="146" t="s">
        <v>51</v>
      </c>
      <c r="AQ85" s="147"/>
      <c r="AR85" s="147"/>
      <c r="AS85" s="147"/>
      <c r="AT85" s="147"/>
      <c r="AU85" s="147"/>
      <c r="AV85" s="147"/>
      <c r="AW85" s="147"/>
      <c r="AX85" s="147"/>
      <c r="AY85" s="147"/>
      <c r="AZ85" s="147"/>
      <c r="BA85" s="147"/>
      <c r="BB85" s="147"/>
      <c r="BC85" s="147"/>
      <c r="BD85" s="147"/>
      <c r="BE85" s="148"/>
      <c r="BF85" s="1"/>
      <c r="BG85" s="1"/>
      <c r="BH85" s="1"/>
      <c r="BI85" s="190" t="s">
        <v>47</v>
      </c>
      <c r="BJ85" s="191"/>
      <c r="BK85" s="191"/>
      <c r="BL85" s="191"/>
      <c r="BM85" s="191"/>
      <c r="BN85" s="191"/>
      <c r="BO85" s="191"/>
      <c r="BP85" s="191"/>
      <c r="BQ85" s="191"/>
      <c r="BR85" s="191"/>
      <c r="BS85" s="191"/>
      <c r="BT85" s="192"/>
      <c r="BU85" s="193"/>
      <c r="BV85" s="194"/>
      <c r="BW85" s="195"/>
      <c r="BX85" s="193"/>
      <c r="BY85" s="196"/>
      <c r="BZ85" s="196"/>
      <c r="CA85" s="197"/>
    </row>
    <row r="86" spans="1:79" ht="10.050000000000001"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71" t="s">
        <v>52</v>
      </c>
      <c r="AQ86" s="172"/>
      <c r="AR86" s="172"/>
      <c r="AS86" s="172"/>
      <c r="AT86" s="172"/>
      <c r="AU86" s="172"/>
      <c r="AV86" s="172"/>
      <c r="AW86" s="172"/>
      <c r="AX86" s="172"/>
      <c r="AY86" s="172"/>
      <c r="AZ86" s="172"/>
      <c r="BA86" s="172"/>
      <c r="BB86" s="172"/>
      <c r="BC86" s="172"/>
      <c r="BD86" s="172"/>
      <c r="BE86" s="173"/>
      <c r="BF86" s="1"/>
      <c r="BG86" s="1"/>
      <c r="BH86" s="1"/>
      <c r="BI86" s="157" t="s">
        <v>53</v>
      </c>
      <c r="BJ86" s="158"/>
      <c r="BK86" s="158"/>
      <c r="BL86" s="158"/>
      <c r="BM86" s="158"/>
      <c r="BN86" s="158"/>
      <c r="BO86" s="158"/>
      <c r="BP86" s="158"/>
      <c r="BQ86" s="158"/>
      <c r="BR86" s="158"/>
      <c r="BS86" s="158"/>
      <c r="BT86" s="201"/>
      <c r="BU86" s="185">
        <f>IFERROR(SUMIFS('[1]ATTENDANCE DAILY'!$AS$4:$AS$663,'[1]ATTENDANCE DAILY'!$C$4:$C$663,$BN$11,'[1]ATTENDANCE DAILY'!$F$4:$F$663,"Male")/_xlfn.XLOOKUP($BN$11,'[1]SF2 CALENDAR'!$A$4:$A$14,'[1]SF2 CALENDAR'!$G$4:$G$14),0)</f>
        <v>14</v>
      </c>
      <c r="BV86" s="186"/>
      <c r="BW86" s="187">
        <f>IFERROR(SUMIFS('[1]ATTENDANCE DAILY'!$AS$4:$AS$663,'[1]ATTENDANCE DAILY'!$C$4:$C$663,$BN$11,'[1]ATTENDANCE DAILY'!$F$4:$F$663,"Female")/_xlfn.XLOOKUP($BN$11,'[1]SF2 CALENDAR'!$A$4:$A$14,'[1]SF2 CALENDAR'!$G$4:$G$14),0)</f>
        <v>11</v>
      </c>
      <c r="BX86" s="185">
        <f>BU86+BW86</f>
        <v>25</v>
      </c>
      <c r="BY86" s="188"/>
      <c r="BZ86" s="188"/>
      <c r="CA86" s="189"/>
    </row>
    <row r="87" spans="1:79" ht="4.95" customHeight="1">
      <c r="A87" s="202" t="s">
        <v>54</v>
      </c>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
      <c r="AP87" s="171"/>
      <c r="AQ87" s="10"/>
      <c r="AR87" s="10"/>
      <c r="AS87" s="10"/>
      <c r="AT87" s="10"/>
      <c r="AU87" s="10"/>
      <c r="AV87" s="10"/>
      <c r="AW87" s="10"/>
      <c r="AX87" s="10"/>
      <c r="AY87" s="10"/>
      <c r="AZ87" s="10"/>
      <c r="BA87" s="10"/>
      <c r="BB87" s="10"/>
      <c r="BC87" s="10"/>
      <c r="BD87" s="10"/>
      <c r="BE87" s="173"/>
      <c r="BF87" s="1"/>
      <c r="BG87" s="1"/>
      <c r="BH87" s="1"/>
      <c r="BI87" s="175"/>
      <c r="BJ87" s="176"/>
      <c r="BK87" s="176"/>
      <c r="BL87" s="176"/>
      <c r="BM87" s="176"/>
      <c r="BN87" s="176"/>
      <c r="BO87" s="176"/>
      <c r="BP87" s="176"/>
      <c r="BQ87" s="176"/>
      <c r="BR87" s="176"/>
      <c r="BS87" s="176"/>
      <c r="BT87" s="203"/>
      <c r="BU87" s="193"/>
      <c r="BV87" s="194"/>
      <c r="BW87" s="195"/>
      <c r="BX87" s="193"/>
      <c r="BY87" s="196"/>
      <c r="BZ87" s="196"/>
      <c r="CA87" s="197"/>
    </row>
    <row r="88" spans="1:79" ht="1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
      <c r="AP88" s="171"/>
      <c r="AQ88" s="10"/>
      <c r="AR88" s="10"/>
      <c r="AS88" s="10"/>
      <c r="AT88" s="10"/>
      <c r="AU88" s="10"/>
      <c r="AV88" s="10"/>
      <c r="AW88" s="10"/>
      <c r="AX88" s="10"/>
      <c r="AY88" s="10"/>
      <c r="AZ88" s="10"/>
      <c r="BA88" s="10"/>
      <c r="BB88" s="10"/>
      <c r="BC88" s="10"/>
      <c r="BD88" s="10"/>
      <c r="BE88" s="173"/>
      <c r="BF88" s="1"/>
      <c r="BG88" s="1"/>
      <c r="BH88" s="1"/>
      <c r="BI88" s="175" t="s">
        <v>55</v>
      </c>
      <c r="BJ88" s="176"/>
      <c r="BK88" s="176"/>
      <c r="BL88" s="176"/>
      <c r="BM88" s="176"/>
      <c r="BN88" s="176"/>
      <c r="BO88" s="176"/>
      <c r="BP88" s="176"/>
      <c r="BQ88" s="176"/>
      <c r="BR88" s="176"/>
      <c r="BS88" s="176"/>
      <c r="BT88" s="203"/>
      <c r="BU88" s="204">
        <f>IFERROR(BU86/BU82,0)</f>
        <v>1</v>
      </c>
      <c r="BV88" s="205"/>
      <c r="BW88" s="206">
        <f>IFERROR(BW86/BW82,0)</f>
        <v>1</v>
      </c>
      <c r="BX88" s="204">
        <f>IFERROR(BX86/BX82,0)</f>
        <v>1</v>
      </c>
      <c r="BY88" s="207"/>
      <c r="BZ88" s="207"/>
      <c r="CA88" s="208"/>
    </row>
    <row r="89" spans="1:79" ht="21"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
      <c r="AP89" s="171"/>
      <c r="AQ89" s="10"/>
      <c r="AR89" s="10"/>
      <c r="AS89" s="10"/>
      <c r="AT89" s="10"/>
      <c r="AU89" s="10"/>
      <c r="AV89" s="10"/>
      <c r="AW89" s="10"/>
      <c r="AX89" s="10"/>
      <c r="AY89" s="10"/>
      <c r="AZ89" s="10"/>
      <c r="BA89" s="10"/>
      <c r="BB89" s="10"/>
      <c r="BC89" s="10"/>
      <c r="BD89" s="10"/>
      <c r="BE89" s="173"/>
      <c r="BF89" s="1"/>
      <c r="BG89" s="1"/>
      <c r="BH89" s="1"/>
      <c r="BI89" s="175" t="s">
        <v>56</v>
      </c>
      <c r="BJ89" s="176"/>
      <c r="BK89" s="176"/>
      <c r="BL89" s="176"/>
      <c r="BM89" s="176"/>
      <c r="BN89" s="176"/>
      <c r="BO89" s="176"/>
      <c r="BP89" s="176"/>
      <c r="BQ89" s="176"/>
      <c r="BR89" s="176"/>
      <c r="BS89" s="176"/>
      <c r="BT89" s="203"/>
      <c r="BU89" s="209">
        <f>SUMIFS('[1]ATTENDANCE DAILY'!$AU$4:$AU$663,'[1]ATTENDANCE DAILY'!$C$4:$C$663,$BN$11,'[1]ATTENDANCE DAILY'!$F$4:$F$663,"Male")</f>
        <v>0</v>
      </c>
      <c r="BV89" s="210"/>
      <c r="BW89" s="211">
        <f>SUMIFS('[1]ATTENDANCE DAILY'!$AU$4:$AU$663,'[1]ATTENDANCE DAILY'!$C$4:$C$663,$BN$11,'[1]ATTENDANCE DAILY'!$F$4:$F$663,"Female")</f>
        <v>0</v>
      </c>
      <c r="BX89" s="209">
        <f>BU89+BW89</f>
        <v>0</v>
      </c>
      <c r="BY89" s="207"/>
      <c r="BZ89" s="207"/>
      <c r="CA89" s="208"/>
    </row>
    <row r="90" spans="1:79" ht="9"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
      <c r="AP90" s="171"/>
      <c r="AQ90" s="172"/>
      <c r="AR90" s="172"/>
      <c r="AS90" s="172"/>
      <c r="AT90" s="172"/>
      <c r="AU90" s="172"/>
      <c r="AV90" s="172"/>
      <c r="AW90" s="172"/>
      <c r="AX90" s="172"/>
      <c r="AY90" s="172"/>
      <c r="AZ90" s="172"/>
      <c r="BA90" s="172"/>
      <c r="BB90" s="172"/>
      <c r="BC90" s="172"/>
      <c r="BD90" s="172"/>
      <c r="BE90" s="173"/>
      <c r="BF90" s="1"/>
      <c r="BG90" s="1"/>
      <c r="BH90" s="1"/>
      <c r="BI90" s="212"/>
      <c r="BJ90" s="213"/>
      <c r="BK90" s="213"/>
      <c r="BL90" s="213"/>
      <c r="BM90" s="213"/>
      <c r="BN90" s="213"/>
      <c r="BO90" s="213"/>
      <c r="BP90" s="213"/>
      <c r="BQ90" s="213"/>
      <c r="BR90" s="213"/>
      <c r="BS90" s="213"/>
      <c r="BT90" s="214"/>
      <c r="BU90" s="215"/>
      <c r="BV90" s="216"/>
      <c r="BW90" s="217"/>
      <c r="BX90" s="215"/>
      <c r="BY90" s="218"/>
      <c r="BZ90" s="218"/>
      <c r="CA90" s="219"/>
    </row>
    <row r="91" spans="1:79" ht="4.0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46" t="s">
        <v>57</v>
      </c>
      <c r="AQ91" s="147"/>
      <c r="AR91" s="147"/>
      <c r="AS91" s="147"/>
      <c r="AT91" s="147"/>
      <c r="AU91" s="147"/>
      <c r="AV91" s="147"/>
      <c r="AW91" s="147"/>
      <c r="AX91" s="147"/>
      <c r="AY91" s="147"/>
      <c r="AZ91" s="147"/>
      <c r="BA91" s="147"/>
      <c r="BB91" s="147"/>
      <c r="BC91" s="147"/>
      <c r="BD91" s="147"/>
      <c r="BE91" s="148"/>
      <c r="BF91" s="1"/>
      <c r="BG91" s="1"/>
      <c r="BH91" s="1"/>
      <c r="BI91" s="220"/>
      <c r="BJ91" s="221"/>
      <c r="BK91" s="221"/>
      <c r="BL91" s="221"/>
      <c r="BM91" s="221"/>
      <c r="BN91" s="221"/>
      <c r="BO91" s="221"/>
      <c r="BP91" s="221"/>
      <c r="BQ91" s="221"/>
      <c r="BR91" s="221"/>
      <c r="BS91" s="221"/>
      <c r="BT91" s="222"/>
      <c r="BU91" s="223"/>
      <c r="BV91" s="224"/>
      <c r="BW91" s="225"/>
      <c r="BX91" s="223"/>
      <c r="BY91" s="226"/>
      <c r="BZ91" s="226"/>
      <c r="CA91" s="227"/>
    </row>
    <row r="92" spans="1:79" ht="6"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46"/>
      <c r="AQ92" s="147"/>
      <c r="AR92" s="147"/>
      <c r="AS92" s="147"/>
      <c r="AT92" s="147"/>
      <c r="AU92" s="147"/>
      <c r="AV92" s="147"/>
      <c r="AW92" s="147"/>
      <c r="AX92" s="147"/>
      <c r="AY92" s="147"/>
      <c r="AZ92" s="147"/>
      <c r="BA92" s="147"/>
      <c r="BB92" s="147"/>
      <c r="BC92" s="147"/>
      <c r="BD92" s="147"/>
      <c r="BE92" s="148"/>
      <c r="BF92" s="1"/>
      <c r="BG92" s="1"/>
      <c r="BH92" s="1"/>
      <c r="BI92" s="228" t="s">
        <v>58</v>
      </c>
      <c r="BJ92" s="229"/>
      <c r="BK92" s="229"/>
      <c r="BL92" s="229"/>
      <c r="BM92" s="229"/>
      <c r="BN92" s="229"/>
      <c r="BO92" s="229"/>
      <c r="BP92" s="229"/>
      <c r="BQ92" s="229"/>
      <c r="BR92" s="229"/>
      <c r="BS92" s="229"/>
      <c r="BT92" s="230"/>
      <c r="BU92" s="185">
        <f>COUNTIFS('[1]ATTENDANCE DAILY'!$C$4:$C$663,$BN$11,'[1]ATTENDANCE DAILY'!$F$4:$F$663,"Male",'[1]ATTENDANCE DAILY'!$AN$4:$AN$663,"No Longer in School (NLS)")+COUNTIFS('[1]ATTENDANCE DAILY'!$C$4:$C$663,$BN$11,'[1]ATTENDANCE DAILY'!$F$4:$F$663,"Male",'[1]ATTENDANCE DAILY'!$AN$4:$AN$663,"Dropped")</f>
        <v>0</v>
      </c>
      <c r="BV92" s="186"/>
      <c r="BW92" s="187">
        <f>COUNTIFS('[1]ATTENDANCE DAILY'!$C$4:$C$663,$BN$11,'[1]ATTENDANCE DAILY'!$F$4:$F$663,"Female",'[1]ATTENDANCE DAILY'!$AN$4:$AN$663,"No Longer in School (NLS)")+COUNTIFS('[1]ATTENDANCE DAILY'!$C$4:$C$663,$BN$11,'[1]ATTENDANCE DAILY'!$F$4:$F$663,"Female",'[1]ATTENDANCE DAILY'!$AN$4:$AN$663,"Dropped")</f>
        <v>0</v>
      </c>
      <c r="BX92" s="185">
        <f>BU92+BW92</f>
        <v>0</v>
      </c>
      <c r="BY92" s="188"/>
      <c r="BZ92" s="188"/>
      <c r="CA92" s="189"/>
    </row>
    <row r="93" spans="1:79" ht="4.0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71" t="s">
        <v>59</v>
      </c>
      <c r="AQ93" s="172"/>
      <c r="AR93" s="172"/>
      <c r="AS93" s="172"/>
      <c r="AT93" s="172"/>
      <c r="AU93" s="172"/>
      <c r="AV93" s="172"/>
      <c r="AW93" s="172"/>
      <c r="AX93" s="172"/>
      <c r="AY93" s="172"/>
      <c r="AZ93" s="172"/>
      <c r="BA93" s="172"/>
      <c r="BB93" s="172"/>
      <c r="BC93" s="172"/>
      <c r="BD93" s="172"/>
      <c r="BE93" s="173"/>
      <c r="BF93" s="1"/>
      <c r="BG93" s="1"/>
      <c r="BH93" s="1"/>
      <c r="BI93" s="231"/>
      <c r="BJ93" s="232"/>
      <c r="BK93" s="232"/>
      <c r="BL93" s="232"/>
      <c r="BM93" s="232"/>
      <c r="BN93" s="232"/>
      <c r="BO93" s="232"/>
      <c r="BP93" s="232"/>
      <c r="BQ93" s="232"/>
      <c r="BR93" s="232"/>
      <c r="BS93" s="232"/>
      <c r="BT93" s="233"/>
      <c r="BU93" s="234"/>
      <c r="BV93" s="235"/>
      <c r="BW93" s="236"/>
      <c r="BX93" s="234"/>
      <c r="BY93" s="10"/>
      <c r="BZ93" s="10"/>
      <c r="CA93" s="237"/>
    </row>
    <row r="94" spans="1:79" ht="10.050000000000001"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71"/>
      <c r="AQ94" s="10"/>
      <c r="AR94" s="10"/>
      <c r="AS94" s="10"/>
      <c r="AT94" s="10"/>
      <c r="AU94" s="10"/>
      <c r="AV94" s="10"/>
      <c r="AW94" s="10"/>
      <c r="AX94" s="10"/>
      <c r="AY94" s="10"/>
      <c r="AZ94" s="10"/>
      <c r="BA94" s="10"/>
      <c r="BB94" s="10"/>
      <c r="BC94" s="10"/>
      <c r="BD94" s="10"/>
      <c r="BE94" s="173"/>
      <c r="BF94" s="1"/>
      <c r="BG94" s="1"/>
      <c r="BH94" s="1"/>
      <c r="BI94" s="238"/>
      <c r="BJ94" s="239"/>
      <c r="BK94" s="239"/>
      <c r="BL94" s="239"/>
      <c r="BM94" s="239"/>
      <c r="BN94" s="239"/>
      <c r="BO94" s="239"/>
      <c r="BP94" s="239"/>
      <c r="BQ94" s="239"/>
      <c r="BR94" s="239"/>
      <c r="BS94" s="239"/>
      <c r="BT94" s="240"/>
      <c r="BU94" s="193"/>
      <c r="BV94" s="194"/>
      <c r="BW94" s="195"/>
      <c r="BX94" s="193"/>
      <c r="BY94" s="196"/>
      <c r="BZ94" s="196"/>
      <c r="CA94" s="197"/>
    </row>
    <row r="95" spans="1:79" ht="10.050000000000001"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71"/>
      <c r="AQ95" s="10"/>
      <c r="AR95" s="10"/>
      <c r="AS95" s="10"/>
      <c r="AT95" s="10"/>
      <c r="AU95" s="10"/>
      <c r="AV95" s="10"/>
      <c r="AW95" s="10"/>
      <c r="AX95" s="10"/>
      <c r="AY95" s="10"/>
      <c r="AZ95" s="10"/>
      <c r="BA95" s="10"/>
      <c r="BB95" s="10"/>
      <c r="BC95" s="10"/>
      <c r="BD95" s="10"/>
      <c r="BE95" s="173"/>
      <c r="BF95" s="1"/>
      <c r="BG95" s="1"/>
      <c r="BH95" s="1"/>
      <c r="BI95" s="228" t="s">
        <v>60</v>
      </c>
      <c r="BJ95" s="229"/>
      <c r="BK95" s="229"/>
      <c r="BL95" s="229"/>
      <c r="BM95" s="229"/>
      <c r="BN95" s="229"/>
      <c r="BO95" s="229"/>
      <c r="BP95" s="229"/>
      <c r="BQ95" s="229"/>
      <c r="BR95" s="229"/>
      <c r="BS95" s="229"/>
      <c r="BT95" s="230"/>
      <c r="BU95" s="185">
        <f>COUNTIFS('[1]ATTENDANCE DAILY'!$C$4:$C$663,$BN$11,'[1]ATTENDANCE DAILY'!$F$4:$F$663,"Male",'[1]ATTENDANCE DAILY'!$AN$4:$AN$663,"Transferred Out")</f>
        <v>0</v>
      </c>
      <c r="BV95" s="186"/>
      <c r="BW95" s="187">
        <f>COUNTIFS('[1]ATTENDANCE DAILY'!$C$4:$C$663,$BN$11,'[1]ATTENDANCE DAILY'!$F$4:$F$663,"Female",'[1]ATTENDANCE DAILY'!$AN$4:$AN$663,"Transferred Out")</f>
        <v>0</v>
      </c>
      <c r="BX95" s="185">
        <f>BU95+BW95</f>
        <v>0</v>
      </c>
      <c r="BY95" s="188"/>
      <c r="BZ95" s="188"/>
      <c r="CA95" s="189"/>
    </row>
    <row r="96" spans="1:79" ht="6"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71"/>
      <c r="AQ96" s="172"/>
      <c r="AR96" s="172"/>
      <c r="AS96" s="172"/>
      <c r="AT96" s="172"/>
      <c r="AU96" s="172"/>
      <c r="AV96" s="172"/>
      <c r="AW96" s="172"/>
      <c r="AX96" s="172"/>
      <c r="AY96" s="172"/>
      <c r="AZ96" s="172"/>
      <c r="BA96" s="172"/>
      <c r="BB96" s="172"/>
      <c r="BC96" s="172"/>
      <c r="BD96" s="172"/>
      <c r="BE96" s="173"/>
      <c r="BF96" s="1"/>
      <c r="BG96" s="1"/>
      <c r="BH96" s="1"/>
      <c r="BI96" s="241"/>
      <c r="BJ96" s="242"/>
      <c r="BK96" s="242"/>
      <c r="BL96" s="242"/>
      <c r="BM96" s="242"/>
      <c r="BN96" s="242"/>
      <c r="BO96" s="242"/>
      <c r="BP96" s="242"/>
      <c r="BQ96" s="242"/>
      <c r="BR96" s="242"/>
      <c r="BS96" s="242"/>
      <c r="BT96" s="243"/>
      <c r="BU96" s="234"/>
      <c r="BV96" s="235"/>
      <c r="BW96" s="236"/>
      <c r="BX96" s="234"/>
      <c r="BY96" s="10"/>
      <c r="BZ96" s="10"/>
      <c r="CA96" s="237"/>
    </row>
    <row r="97" spans="1:79" ht="4.0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46" t="s">
        <v>61</v>
      </c>
      <c r="AQ97" s="147"/>
      <c r="AR97" s="147"/>
      <c r="AS97" s="147"/>
      <c r="AT97" s="147"/>
      <c r="AU97" s="147"/>
      <c r="AV97" s="147"/>
      <c r="AW97" s="147"/>
      <c r="AX97" s="147"/>
      <c r="AY97" s="147"/>
      <c r="AZ97" s="147"/>
      <c r="BA97" s="147"/>
      <c r="BB97" s="147"/>
      <c r="BC97" s="147"/>
      <c r="BD97" s="147"/>
      <c r="BE97" s="148"/>
      <c r="BF97" s="1"/>
      <c r="BG97" s="1"/>
      <c r="BH97" s="1"/>
      <c r="BI97" s="238"/>
      <c r="BJ97" s="239"/>
      <c r="BK97" s="239"/>
      <c r="BL97" s="239"/>
      <c r="BM97" s="239"/>
      <c r="BN97" s="239"/>
      <c r="BO97" s="239"/>
      <c r="BP97" s="239"/>
      <c r="BQ97" s="239"/>
      <c r="BR97" s="239"/>
      <c r="BS97" s="239"/>
      <c r="BT97" s="240"/>
      <c r="BU97" s="193"/>
      <c r="BV97" s="194"/>
      <c r="BW97" s="195"/>
      <c r="BX97" s="193"/>
      <c r="BY97" s="196"/>
      <c r="BZ97" s="196"/>
      <c r="CA97" s="197"/>
    </row>
    <row r="98" spans="1:79" ht="6"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46"/>
      <c r="AQ98" s="147"/>
      <c r="AR98" s="147"/>
      <c r="AS98" s="147"/>
      <c r="AT98" s="147"/>
      <c r="AU98" s="147"/>
      <c r="AV98" s="147"/>
      <c r="AW98" s="147"/>
      <c r="AX98" s="147"/>
      <c r="AY98" s="147"/>
      <c r="AZ98" s="147"/>
      <c r="BA98" s="147"/>
      <c r="BB98" s="147"/>
      <c r="BC98" s="147"/>
      <c r="BD98" s="147"/>
      <c r="BE98" s="148"/>
      <c r="BF98" s="1"/>
      <c r="BG98" s="1"/>
      <c r="BH98" s="1"/>
      <c r="BI98" s="244" t="s">
        <v>62</v>
      </c>
      <c r="BJ98" s="245"/>
      <c r="BK98" s="245"/>
      <c r="BL98" s="245"/>
      <c r="BM98" s="245"/>
      <c r="BN98" s="245"/>
      <c r="BO98" s="245"/>
      <c r="BP98" s="245"/>
      <c r="BQ98" s="245"/>
      <c r="BR98" s="245"/>
      <c r="BS98" s="245"/>
      <c r="BT98" s="235"/>
      <c r="BU98" s="185">
        <f>COUNTIFS('[1]ATTENDANCE DAILY'!$C$4:$C$663,$BN$11,'[1]ATTENDANCE DAILY'!$F$4:$F$663,"Male",'[1]ATTENDANCE DAILY'!$AN$4:$AN$663,"Transferred In")</f>
        <v>0</v>
      </c>
      <c r="BV98" s="186"/>
      <c r="BW98" s="187">
        <f>COUNTIFS('[1]ATTENDANCE DAILY'!$C$4:$C$663,$BN$11,'[1]ATTENDANCE DAILY'!$F$4:$F$663,"Female",'[1]ATTENDANCE DAILY'!$AN$4:$AN$663,"Transferred In")</f>
        <v>0</v>
      </c>
      <c r="BX98" s="185">
        <f>BU98+BW98</f>
        <v>0</v>
      </c>
      <c r="BY98" s="188"/>
      <c r="BZ98" s="188"/>
      <c r="CA98" s="189"/>
    </row>
    <row r="99" spans="1:79" ht="9"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71" t="s">
        <v>63</v>
      </c>
      <c r="AQ99" s="172"/>
      <c r="AR99" s="172"/>
      <c r="AS99" s="172"/>
      <c r="AT99" s="172"/>
      <c r="AU99" s="172"/>
      <c r="AV99" s="172"/>
      <c r="AW99" s="172"/>
      <c r="AX99" s="172"/>
      <c r="AY99" s="172"/>
      <c r="AZ99" s="172"/>
      <c r="BA99" s="172"/>
      <c r="BB99" s="172"/>
      <c r="BC99" s="172"/>
      <c r="BD99" s="172"/>
      <c r="BE99" s="173"/>
      <c r="BF99" s="1"/>
      <c r="BG99" s="1"/>
      <c r="BH99" s="1"/>
      <c r="BI99" s="246"/>
      <c r="BJ99" s="196"/>
      <c r="BK99" s="196"/>
      <c r="BL99" s="196"/>
      <c r="BM99" s="196"/>
      <c r="BN99" s="196"/>
      <c r="BO99" s="196"/>
      <c r="BP99" s="196"/>
      <c r="BQ99" s="196"/>
      <c r="BR99" s="196"/>
      <c r="BS99" s="196"/>
      <c r="BT99" s="194"/>
      <c r="BU99" s="193"/>
      <c r="BV99" s="194"/>
      <c r="BW99" s="195"/>
      <c r="BX99" s="193"/>
      <c r="BY99" s="196"/>
      <c r="BZ99" s="196"/>
      <c r="CA99" s="197"/>
    </row>
    <row r="100" spans="1:79" ht="1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71"/>
      <c r="AQ100" s="10"/>
      <c r="AR100" s="10"/>
      <c r="AS100" s="10"/>
      <c r="AT100" s="10"/>
      <c r="AU100" s="10"/>
      <c r="AV100" s="10"/>
      <c r="AW100" s="10"/>
      <c r="AX100" s="10"/>
      <c r="AY100" s="10"/>
      <c r="AZ100" s="10"/>
      <c r="BA100" s="10"/>
      <c r="BB100" s="10"/>
      <c r="BC100" s="10"/>
      <c r="BD100" s="10"/>
      <c r="BE100" s="173"/>
      <c r="BF100" s="1"/>
      <c r="BG100" s="1"/>
      <c r="BH100" s="1"/>
      <c r="BI100" s="246" t="s">
        <v>64</v>
      </c>
      <c r="BJ100" s="196"/>
      <c r="BK100" s="196"/>
      <c r="BL100" s="196"/>
      <c r="BM100" s="196"/>
      <c r="BN100" s="196"/>
      <c r="BO100" s="196"/>
      <c r="BP100" s="196"/>
      <c r="BQ100" s="196"/>
      <c r="BR100" s="196"/>
      <c r="BS100" s="196"/>
      <c r="BT100" s="194"/>
      <c r="BU100" s="209">
        <f>COUNTIFS('[1]ATTENDANCE DAILY'!$C$4:$C$663,$BN$11,'[1]ATTENDANCE DAILY'!$F$4:$F$663,"Male",'[1]ATTENDANCE DAILY'!$AN$4:$AN$663,"Shifted Out")</f>
        <v>0</v>
      </c>
      <c r="BV100" s="210"/>
      <c r="BW100" s="211">
        <f>COUNTIFS('[1]ATTENDANCE DAILY'!$C$4:$C$663,$BN$11,'[1]ATTENDANCE DAILY'!$F$4:$F$663,"Female",'[1]ATTENDANCE DAILY'!$AN$4:$AN$663,"Shifted Out")</f>
        <v>0</v>
      </c>
      <c r="BX100" s="209">
        <f>BU100+BW100</f>
        <v>0</v>
      </c>
      <c r="BY100" s="207"/>
      <c r="BZ100" s="207"/>
      <c r="CA100" s="208"/>
    </row>
    <row r="101" spans="1:79" ht="6"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71"/>
      <c r="AQ101" s="172"/>
      <c r="AR101" s="172"/>
      <c r="AS101" s="172"/>
      <c r="AT101" s="172"/>
      <c r="AU101" s="172"/>
      <c r="AV101" s="172"/>
      <c r="AW101" s="172"/>
      <c r="AX101" s="172"/>
      <c r="AY101" s="172"/>
      <c r="AZ101" s="172"/>
      <c r="BA101" s="172"/>
      <c r="BB101" s="172"/>
      <c r="BC101" s="172"/>
      <c r="BD101" s="172"/>
      <c r="BE101" s="173"/>
      <c r="BF101" s="1"/>
      <c r="BG101" s="1"/>
      <c r="BH101" s="1"/>
      <c r="BI101" s="244" t="s">
        <v>65</v>
      </c>
      <c r="BJ101" s="245"/>
      <c r="BK101" s="245"/>
      <c r="BL101" s="245"/>
      <c r="BM101" s="245"/>
      <c r="BN101" s="245"/>
      <c r="BO101" s="245"/>
      <c r="BP101" s="245"/>
      <c r="BQ101" s="245"/>
      <c r="BR101" s="245"/>
      <c r="BS101" s="245"/>
      <c r="BT101" s="235"/>
      <c r="BU101" s="185">
        <f>COUNTIFS('[1]ATTENDANCE DAILY'!$C$4:$C$663,$BN$11,'[1]ATTENDANCE DAILY'!$F$4:$F$663,"Male",'[1]ATTENDANCE DAILY'!$AN$4:$AN$663,"Shifted In")</f>
        <v>0</v>
      </c>
      <c r="BV101" s="186"/>
      <c r="BW101" s="187">
        <f>COUNTIFS('[1]ATTENDANCE DAILY'!$C$4:$C$663,$BN$11,'[1]ATTENDANCE DAILY'!$F$4:$F$663,"Female",'[1]ATTENDANCE DAILY'!$AN$4:$AN$663,"Shifted In")</f>
        <v>0</v>
      </c>
      <c r="BX101" s="185">
        <f>BU101+BW101</f>
        <v>0</v>
      </c>
      <c r="BY101" s="188"/>
      <c r="BZ101" s="188"/>
      <c r="CA101" s="189"/>
    </row>
    <row r="102" spans="1:79" ht="10.05000000000000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46" t="s">
        <v>66</v>
      </c>
      <c r="AQ102" s="147"/>
      <c r="AR102" s="147"/>
      <c r="AS102" s="147"/>
      <c r="AT102" s="147"/>
      <c r="AU102" s="147"/>
      <c r="AV102" s="147"/>
      <c r="AW102" s="147"/>
      <c r="AX102" s="147"/>
      <c r="AY102" s="147"/>
      <c r="AZ102" s="147"/>
      <c r="BA102" s="147"/>
      <c r="BB102" s="147"/>
      <c r="BC102" s="147"/>
      <c r="BD102" s="147"/>
      <c r="BE102" s="148"/>
      <c r="BF102" s="1"/>
      <c r="BG102" s="1"/>
      <c r="BH102" s="1"/>
      <c r="BI102" s="244"/>
      <c r="BJ102" s="10"/>
      <c r="BK102" s="10"/>
      <c r="BL102" s="10"/>
      <c r="BM102" s="10"/>
      <c r="BN102" s="10"/>
      <c r="BO102" s="10"/>
      <c r="BP102" s="10"/>
      <c r="BQ102" s="10"/>
      <c r="BR102" s="10"/>
      <c r="BS102" s="10"/>
      <c r="BT102" s="235"/>
      <c r="BU102" s="234"/>
      <c r="BV102" s="235"/>
      <c r="BW102" s="236"/>
      <c r="BX102" s="234"/>
      <c r="BY102" s="10"/>
      <c r="BZ102" s="10"/>
      <c r="CA102" s="237"/>
    </row>
    <row r="103" spans="1:79" ht="4.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71" t="s">
        <v>67</v>
      </c>
      <c r="AQ103" s="172"/>
      <c r="AR103" s="172"/>
      <c r="AS103" s="172"/>
      <c r="AT103" s="172"/>
      <c r="AU103" s="172"/>
      <c r="AV103" s="172"/>
      <c r="AW103" s="172"/>
      <c r="AX103" s="172"/>
      <c r="AY103" s="172"/>
      <c r="AZ103" s="172"/>
      <c r="BA103" s="172"/>
      <c r="BB103" s="172"/>
      <c r="BC103" s="172"/>
      <c r="BD103" s="172"/>
      <c r="BE103" s="173"/>
      <c r="BF103" s="1"/>
      <c r="BG103" s="1"/>
      <c r="BH103" s="1"/>
      <c r="BI103" s="246"/>
      <c r="BJ103" s="196"/>
      <c r="BK103" s="196"/>
      <c r="BL103" s="196"/>
      <c r="BM103" s="196"/>
      <c r="BN103" s="196"/>
      <c r="BO103" s="196"/>
      <c r="BP103" s="196"/>
      <c r="BQ103" s="196"/>
      <c r="BR103" s="196"/>
      <c r="BS103" s="196"/>
      <c r="BT103" s="194"/>
      <c r="BU103" s="193"/>
      <c r="BV103" s="194"/>
      <c r="BW103" s="195"/>
      <c r="BX103" s="193"/>
      <c r="BY103" s="196"/>
      <c r="BZ103" s="196"/>
      <c r="CA103" s="197"/>
    </row>
    <row r="104" spans="1:79" ht="3"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71"/>
      <c r="AQ104" s="10"/>
      <c r="AR104" s="10"/>
      <c r="AS104" s="10"/>
      <c r="AT104" s="10"/>
      <c r="AU104" s="10"/>
      <c r="AV104" s="10"/>
      <c r="AW104" s="10"/>
      <c r="AX104" s="10"/>
      <c r="AY104" s="10"/>
      <c r="AZ104" s="10"/>
      <c r="BA104" s="10"/>
      <c r="BB104" s="10"/>
      <c r="BC104" s="10"/>
      <c r="BD104" s="10"/>
      <c r="BE104" s="173"/>
      <c r="BF104" s="1"/>
      <c r="BG104" s="1"/>
      <c r="BH104" s="1"/>
      <c r="BI104" s="1"/>
      <c r="BJ104" s="1"/>
      <c r="BK104" s="1"/>
      <c r="BL104" s="1"/>
      <c r="BM104" s="1"/>
      <c r="BN104" s="1"/>
      <c r="BO104" s="1"/>
      <c r="BP104" s="1"/>
      <c r="BQ104" s="1"/>
      <c r="BR104" s="1"/>
      <c r="BS104" s="1"/>
      <c r="BT104" s="1"/>
      <c r="BU104" s="1"/>
      <c r="BV104" s="1"/>
      <c r="BW104" s="1"/>
      <c r="BX104" s="1"/>
      <c r="BY104" s="1"/>
      <c r="BZ104" s="1"/>
      <c r="CA104" s="1"/>
    </row>
    <row r="105" spans="1:79"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71"/>
      <c r="AQ105" s="172"/>
      <c r="AR105" s="172"/>
      <c r="AS105" s="172"/>
      <c r="AT105" s="172"/>
      <c r="AU105" s="172"/>
      <c r="AV105" s="172"/>
      <c r="AW105" s="172"/>
      <c r="AX105" s="172"/>
      <c r="AY105" s="172"/>
      <c r="AZ105" s="172"/>
      <c r="BA105" s="172"/>
      <c r="BB105" s="172"/>
      <c r="BC105" s="172"/>
      <c r="BD105" s="172"/>
      <c r="BE105" s="173"/>
      <c r="BF105" s="1"/>
      <c r="BG105" s="1"/>
      <c r="BH105" s="1"/>
      <c r="BI105" s="247" t="s">
        <v>68</v>
      </c>
      <c r="BJ105" s="10"/>
      <c r="BK105" s="10"/>
      <c r="BL105" s="10"/>
      <c r="BM105" s="10"/>
      <c r="BN105" s="10"/>
      <c r="BO105" s="10"/>
      <c r="BP105" s="10"/>
      <c r="BQ105" s="10"/>
      <c r="BR105" s="10"/>
      <c r="BS105" s="10"/>
      <c r="BT105" s="10"/>
      <c r="BU105" s="10"/>
      <c r="BV105" s="10"/>
      <c r="BW105" s="10"/>
      <c r="BX105" s="10"/>
      <c r="BY105" s="10"/>
      <c r="BZ105" s="10"/>
      <c r="CA105" s="10"/>
    </row>
    <row r="106" spans="1:79"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248" t="s">
        <v>69</v>
      </c>
      <c r="AQ106" s="249"/>
      <c r="AR106" s="249"/>
      <c r="AS106" s="249"/>
      <c r="AT106" s="249"/>
      <c r="AU106" s="249"/>
      <c r="AV106" s="249"/>
      <c r="AW106" s="249"/>
      <c r="AX106" s="249"/>
      <c r="AY106" s="249"/>
      <c r="AZ106" s="249"/>
      <c r="BA106" s="249"/>
      <c r="BB106" s="249"/>
      <c r="BC106" s="249"/>
      <c r="BD106" s="249"/>
      <c r="BE106" s="250"/>
      <c r="BF106" s="1"/>
      <c r="BG106" s="1"/>
      <c r="BH106" s="1"/>
      <c r="BI106" s="10"/>
      <c r="BJ106" s="10"/>
      <c r="BK106" s="10"/>
      <c r="BL106" s="10"/>
      <c r="BM106" s="10"/>
      <c r="BN106" s="10"/>
      <c r="BO106" s="10"/>
      <c r="BP106" s="10"/>
      <c r="BQ106" s="10"/>
      <c r="BR106" s="10"/>
      <c r="BS106" s="10"/>
      <c r="BT106" s="10"/>
      <c r="BU106" s="10"/>
      <c r="BV106" s="10"/>
      <c r="BW106" s="10"/>
      <c r="BX106" s="10"/>
      <c r="BY106" s="10"/>
      <c r="BZ106" s="10"/>
      <c r="CA106" s="10"/>
    </row>
    <row r="107" spans="1:79" ht="3"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251"/>
      <c r="AQ107" s="252"/>
      <c r="AR107" s="252"/>
      <c r="AS107" s="252"/>
      <c r="AT107" s="252"/>
      <c r="AU107" s="252"/>
      <c r="AV107" s="252"/>
      <c r="AW107" s="252"/>
      <c r="AX107" s="252"/>
      <c r="AY107" s="252"/>
      <c r="AZ107" s="252"/>
      <c r="BA107" s="252"/>
      <c r="BB107" s="252"/>
      <c r="BC107" s="252"/>
      <c r="BD107" s="252"/>
      <c r="BE107" s="253"/>
      <c r="BF107" s="1"/>
      <c r="BG107" s="1"/>
      <c r="BH107" s="1"/>
      <c r="BI107" s="1"/>
      <c r="BJ107" s="254" t="str">
        <f>[1]SETUP!$B$12</f>
        <v>ANDRES BONIFACIO</v>
      </c>
      <c r="BK107" s="254"/>
      <c r="BL107" s="254"/>
      <c r="BM107" s="254"/>
      <c r="BN107" s="254"/>
      <c r="BO107" s="254"/>
      <c r="BP107" s="254"/>
      <c r="BQ107" s="254"/>
      <c r="BR107" s="254"/>
      <c r="BS107" s="254"/>
      <c r="BT107" s="254"/>
      <c r="BU107" s="254"/>
      <c r="BV107" s="254"/>
      <c r="BW107" s="254"/>
      <c r="BX107" s="254"/>
      <c r="BY107" s="254"/>
      <c r="BZ107" s="254"/>
      <c r="CA107" s="1"/>
    </row>
    <row r="108" spans="1:79" ht="27" customHeight="1"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255"/>
      <c r="BK108" s="255"/>
      <c r="BL108" s="255"/>
      <c r="BM108" s="255"/>
      <c r="BN108" s="255"/>
      <c r="BO108" s="255"/>
      <c r="BP108" s="255"/>
      <c r="BQ108" s="255"/>
      <c r="BR108" s="255"/>
      <c r="BS108" s="255"/>
      <c r="BT108" s="255"/>
      <c r="BU108" s="255"/>
      <c r="BV108" s="255"/>
      <c r="BW108" s="255"/>
      <c r="BX108" s="255"/>
      <c r="BY108" s="255"/>
      <c r="BZ108" s="255"/>
      <c r="CA108" s="1"/>
    </row>
    <row r="109" spans="1:79" ht="19.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256" t="s">
        <v>70</v>
      </c>
      <c r="BL109" s="10"/>
      <c r="BM109" s="10"/>
      <c r="BN109" s="10"/>
      <c r="BO109" s="10"/>
      <c r="BP109" s="10"/>
      <c r="BQ109" s="10"/>
      <c r="BR109" s="10"/>
      <c r="BS109" s="10"/>
      <c r="BT109" s="10"/>
      <c r="BU109" s="10"/>
      <c r="BV109" s="10"/>
      <c r="BW109" s="10"/>
      <c r="BX109" s="10"/>
      <c r="BY109" s="10"/>
      <c r="BZ109" s="10"/>
      <c r="CA109" s="10"/>
    </row>
    <row r="110" spans="1:79" ht="19.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247" t="s">
        <v>71</v>
      </c>
      <c r="BJ110" s="10"/>
      <c r="BK110" s="10"/>
      <c r="BL110" s="10"/>
      <c r="BM110" s="10"/>
      <c r="BN110" s="10"/>
      <c r="BO110" s="10"/>
      <c r="BP110" s="10"/>
      <c r="BQ110" s="10"/>
      <c r="BR110" s="10"/>
      <c r="BS110" s="10"/>
      <c r="BT110" s="10"/>
      <c r="BU110" s="10"/>
      <c r="BV110" s="10"/>
      <c r="BW110" s="10"/>
      <c r="BX110" s="10"/>
      <c r="BY110" s="10"/>
      <c r="BZ110" s="10"/>
      <c r="CA110" s="10"/>
    </row>
    <row r="111" spans="1:79" ht="25.05" customHeight="1"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255" t="str">
        <f>[1]SETUP!$B$10</f>
        <v>HERMES P. VARGAS</v>
      </c>
      <c r="BL111" s="255"/>
      <c r="BM111" s="255"/>
      <c r="BN111" s="255"/>
      <c r="BO111" s="255"/>
      <c r="BP111" s="255"/>
      <c r="BQ111" s="255"/>
      <c r="BR111" s="255"/>
      <c r="BS111" s="255"/>
      <c r="BT111" s="255"/>
      <c r="BU111" s="255"/>
      <c r="BV111" s="255"/>
      <c r="BW111" s="255"/>
      <c r="BX111" s="255"/>
      <c r="BY111" s="255"/>
      <c r="BZ111" s="255"/>
      <c r="CA111" s="255"/>
    </row>
    <row r="112" spans="1:79" ht="10.05000000000000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257" t="s">
        <v>72</v>
      </c>
      <c r="AQ112" s="257"/>
      <c r="AR112" s="257"/>
      <c r="AS112" s="257"/>
      <c r="AT112" s="257"/>
      <c r="AU112" s="257"/>
      <c r="AV112" s="257"/>
      <c r="AW112" s="257"/>
      <c r="AX112" s="257"/>
      <c r="AY112" s="257"/>
      <c r="AZ112" s="257"/>
      <c r="BA112" s="257"/>
      <c r="BB112" s="257"/>
      <c r="BC112" s="257"/>
      <c r="BD112" s="257"/>
      <c r="BE112" s="257"/>
      <c r="BF112" s="1"/>
      <c r="BG112" s="1"/>
      <c r="BH112" s="1"/>
      <c r="BI112" s="1"/>
      <c r="BJ112" s="1"/>
      <c r="BK112" s="256" t="s">
        <v>73</v>
      </c>
      <c r="BL112" s="10"/>
      <c r="BM112" s="10"/>
      <c r="BN112" s="10"/>
      <c r="BO112" s="10"/>
      <c r="BP112" s="10"/>
      <c r="BQ112" s="10"/>
      <c r="BR112" s="10"/>
      <c r="BS112" s="10"/>
      <c r="BT112" s="10"/>
      <c r="BU112" s="10"/>
      <c r="BV112" s="10"/>
      <c r="BW112" s="10"/>
      <c r="BX112" s="10"/>
      <c r="BY112" s="10"/>
      <c r="BZ112" s="10"/>
      <c r="CA112" s="10"/>
    </row>
  </sheetData>
  <mergeCells count="1219">
    <mergeCell ref="BI110:CA110"/>
    <mergeCell ref="BK111:CA111"/>
    <mergeCell ref="AP112:BE112"/>
    <mergeCell ref="BK112:CA112"/>
    <mergeCell ref="AP102:BE102"/>
    <mergeCell ref="AP103:BE105"/>
    <mergeCell ref="BI105:CA106"/>
    <mergeCell ref="AP106:BE107"/>
    <mergeCell ref="BJ107:BZ108"/>
    <mergeCell ref="BK109:CA109"/>
    <mergeCell ref="BU100:BV100"/>
    <mergeCell ref="BX100:CA100"/>
    <mergeCell ref="BI101:BT103"/>
    <mergeCell ref="BU101:BV103"/>
    <mergeCell ref="BW101:BW103"/>
    <mergeCell ref="BX101:CA103"/>
    <mergeCell ref="BW95:BW97"/>
    <mergeCell ref="BX95:CA97"/>
    <mergeCell ref="BI96:BT97"/>
    <mergeCell ref="AP97:BE98"/>
    <mergeCell ref="BI98:BT99"/>
    <mergeCell ref="BU98:BV99"/>
    <mergeCell ref="BW98:BW99"/>
    <mergeCell ref="BX98:CA99"/>
    <mergeCell ref="AP99:BE101"/>
    <mergeCell ref="BI100:BT100"/>
    <mergeCell ref="BX90:CA91"/>
    <mergeCell ref="AP91:BE92"/>
    <mergeCell ref="BI92:BT93"/>
    <mergeCell ref="BU92:BV94"/>
    <mergeCell ref="BW92:BW94"/>
    <mergeCell ref="BX92:CA94"/>
    <mergeCell ref="AP93:BE96"/>
    <mergeCell ref="BI94:BT94"/>
    <mergeCell ref="BI95:BT95"/>
    <mergeCell ref="BU95:BV97"/>
    <mergeCell ref="A87:AN90"/>
    <mergeCell ref="BI88:BT88"/>
    <mergeCell ref="BU88:BV88"/>
    <mergeCell ref="BX88:CA88"/>
    <mergeCell ref="BI89:BT89"/>
    <mergeCell ref="BU89:BV89"/>
    <mergeCell ref="BX89:CA89"/>
    <mergeCell ref="BI90:BT91"/>
    <mergeCell ref="BU90:BV91"/>
    <mergeCell ref="BW90:BW91"/>
    <mergeCell ref="BW84:BW85"/>
    <mergeCell ref="BX84:CA85"/>
    <mergeCell ref="L85:AG85"/>
    <mergeCell ref="AP85:BE85"/>
    <mergeCell ref="BI85:BT85"/>
    <mergeCell ref="AP86:BE90"/>
    <mergeCell ref="BI86:BT87"/>
    <mergeCell ref="BU86:BV87"/>
    <mergeCell ref="BW86:BW87"/>
    <mergeCell ref="BX86:CA87"/>
    <mergeCell ref="BU82:BV83"/>
    <mergeCell ref="BW82:BW83"/>
    <mergeCell ref="BX82:CA83"/>
    <mergeCell ref="L83:AG83"/>
    <mergeCell ref="BI83:BT83"/>
    <mergeCell ref="F84:K85"/>
    <mergeCell ref="L84:AG84"/>
    <mergeCell ref="AH84:AL85"/>
    <mergeCell ref="BI84:BT84"/>
    <mergeCell ref="BU84:BV85"/>
    <mergeCell ref="F78:K81"/>
    <mergeCell ref="L78:AG79"/>
    <mergeCell ref="AH78:AL81"/>
    <mergeCell ref="AP78:BE79"/>
    <mergeCell ref="BI79:BS81"/>
    <mergeCell ref="L80:AG81"/>
    <mergeCell ref="AP80:BE84"/>
    <mergeCell ref="F82:K83"/>
    <mergeCell ref="L82:AG82"/>
    <mergeCell ref="BI82:BT82"/>
    <mergeCell ref="BU73:BV75"/>
    <mergeCell ref="BW73:BW75"/>
    <mergeCell ref="BX73:CA75"/>
    <mergeCell ref="BI74:BT76"/>
    <mergeCell ref="AP75:BE77"/>
    <mergeCell ref="BI77:BL78"/>
    <mergeCell ref="BM77:BT78"/>
    <mergeCell ref="BU77:BV80"/>
    <mergeCell ref="BW77:BW80"/>
    <mergeCell ref="BX77:CA80"/>
    <mergeCell ref="BP70:CA70"/>
    <mergeCell ref="A71:AN71"/>
    <mergeCell ref="AP71:BE71"/>
    <mergeCell ref="BI71:BN72"/>
    <mergeCell ref="BO71:BT72"/>
    <mergeCell ref="BU71:CA71"/>
    <mergeCell ref="A72:AN77"/>
    <mergeCell ref="AP72:BE74"/>
    <mergeCell ref="BU72:BV72"/>
    <mergeCell ref="BX72:CA72"/>
    <mergeCell ref="AW70:AX70"/>
    <mergeCell ref="AY70:BA70"/>
    <mergeCell ref="BB70:BC70"/>
    <mergeCell ref="BE70:BH70"/>
    <mergeCell ref="BI70:BK70"/>
    <mergeCell ref="BL70:BO70"/>
    <mergeCell ref="AE70:AG70"/>
    <mergeCell ref="AI70:AK70"/>
    <mergeCell ref="AL70:AM70"/>
    <mergeCell ref="AN70:AO70"/>
    <mergeCell ref="AP70:AQ70"/>
    <mergeCell ref="AS70:AT70"/>
    <mergeCell ref="BI69:BK69"/>
    <mergeCell ref="BL69:BO69"/>
    <mergeCell ref="BP69:CA69"/>
    <mergeCell ref="A70:F70"/>
    <mergeCell ref="G70:J70"/>
    <mergeCell ref="K70:L70"/>
    <mergeCell ref="O70:R70"/>
    <mergeCell ref="S70:U70"/>
    <mergeCell ref="W70:Y70"/>
    <mergeCell ref="AB70:AD70"/>
    <mergeCell ref="AP69:AQ69"/>
    <mergeCell ref="AS69:AT69"/>
    <mergeCell ref="AW69:AX69"/>
    <mergeCell ref="AY69:BA69"/>
    <mergeCell ref="BB69:BC69"/>
    <mergeCell ref="BE69:BH69"/>
    <mergeCell ref="W69:Y69"/>
    <mergeCell ref="AB69:AD69"/>
    <mergeCell ref="AE69:AG69"/>
    <mergeCell ref="AI69:AK69"/>
    <mergeCell ref="AL69:AM69"/>
    <mergeCell ref="AN69:AO69"/>
    <mergeCell ref="BB68:BC68"/>
    <mergeCell ref="BE68:BH68"/>
    <mergeCell ref="BI68:BK68"/>
    <mergeCell ref="BL68:BO68"/>
    <mergeCell ref="BP68:CA68"/>
    <mergeCell ref="A69:F69"/>
    <mergeCell ref="G69:J69"/>
    <mergeCell ref="K69:L69"/>
    <mergeCell ref="O69:R69"/>
    <mergeCell ref="S69:U69"/>
    <mergeCell ref="AL68:AM68"/>
    <mergeCell ref="AN68:AO68"/>
    <mergeCell ref="AP68:AQ68"/>
    <mergeCell ref="AS68:AT68"/>
    <mergeCell ref="AW68:AX68"/>
    <mergeCell ref="AY68:BA68"/>
    <mergeCell ref="BP67:CA67"/>
    <mergeCell ref="A68:F68"/>
    <mergeCell ref="G68:J68"/>
    <mergeCell ref="K68:L68"/>
    <mergeCell ref="O68:R68"/>
    <mergeCell ref="S68:U68"/>
    <mergeCell ref="W68:Y68"/>
    <mergeCell ref="AB68:AD68"/>
    <mergeCell ref="AE68:AG68"/>
    <mergeCell ref="AI68:AK68"/>
    <mergeCell ref="AW67:AX67"/>
    <mergeCell ref="AY67:BA67"/>
    <mergeCell ref="BB67:BC67"/>
    <mergeCell ref="BE67:BH67"/>
    <mergeCell ref="BI67:BK67"/>
    <mergeCell ref="BL67:BO67"/>
    <mergeCell ref="AE67:AG67"/>
    <mergeCell ref="AI67:AK67"/>
    <mergeCell ref="AL67:AM67"/>
    <mergeCell ref="AN67:AO67"/>
    <mergeCell ref="AP67:AQ67"/>
    <mergeCell ref="AS67:AT67"/>
    <mergeCell ref="BI66:BK66"/>
    <mergeCell ref="BL66:BO66"/>
    <mergeCell ref="BP66:CA66"/>
    <mergeCell ref="A67:F67"/>
    <mergeCell ref="G67:J67"/>
    <mergeCell ref="K67:L67"/>
    <mergeCell ref="O67:R67"/>
    <mergeCell ref="S67:U67"/>
    <mergeCell ref="W67:Y67"/>
    <mergeCell ref="AB67:AD67"/>
    <mergeCell ref="AP66:AQ66"/>
    <mergeCell ref="AS66:AT66"/>
    <mergeCell ref="AW66:AX66"/>
    <mergeCell ref="AY66:BA66"/>
    <mergeCell ref="BB66:BC66"/>
    <mergeCell ref="BE66:BH66"/>
    <mergeCell ref="W66:Y66"/>
    <mergeCell ref="AB66:AD66"/>
    <mergeCell ref="AE66:AG66"/>
    <mergeCell ref="AI66:AK66"/>
    <mergeCell ref="AL66:AM66"/>
    <mergeCell ref="AN66:AO66"/>
    <mergeCell ref="BB65:BC65"/>
    <mergeCell ref="BE65:BH65"/>
    <mergeCell ref="BI65:BK65"/>
    <mergeCell ref="BL65:BO65"/>
    <mergeCell ref="BP65:CA65"/>
    <mergeCell ref="A66:F66"/>
    <mergeCell ref="G66:J66"/>
    <mergeCell ref="K66:L66"/>
    <mergeCell ref="O66:R66"/>
    <mergeCell ref="S66:U66"/>
    <mergeCell ref="AL65:AM65"/>
    <mergeCell ref="AN65:AO65"/>
    <mergeCell ref="AP65:AQ65"/>
    <mergeCell ref="AS65:AT65"/>
    <mergeCell ref="AW65:AX65"/>
    <mergeCell ref="AY65:BA65"/>
    <mergeCell ref="BP64:CA64"/>
    <mergeCell ref="A65:F65"/>
    <mergeCell ref="G65:J65"/>
    <mergeCell ref="K65:L65"/>
    <mergeCell ref="O65:R65"/>
    <mergeCell ref="S65:U65"/>
    <mergeCell ref="W65:Y65"/>
    <mergeCell ref="AB65:AD65"/>
    <mergeCell ref="AE65:AG65"/>
    <mergeCell ref="AI65:AK65"/>
    <mergeCell ref="AW64:AX64"/>
    <mergeCell ref="AY64:BA64"/>
    <mergeCell ref="BB64:BC64"/>
    <mergeCell ref="BE64:BH64"/>
    <mergeCell ref="BI64:BK64"/>
    <mergeCell ref="BL64:BO64"/>
    <mergeCell ref="AE64:AG64"/>
    <mergeCell ref="AI64:AK64"/>
    <mergeCell ref="AL64:AM64"/>
    <mergeCell ref="AN64:AO64"/>
    <mergeCell ref="AP64:AQ64"/>
    <mergeCell ref="AS64:AT64"/>
    <mergeCell ref="BI63:BK63"/>
    <mergeCell ref="BL63:BO63"/>
    <mergeCell ref="BP63:CA63"/>
    <mergeCell ref="A64:F64"/>
    <mergeCell ref="G64:J64"/>
    <mergeCell ref="K64:L64"/>
    <mergeCell ref="O64:R64"/>
    <mergeCell ref="S64:U64"/>
    <mergeCell ref="W64:Y64"/>
    <mergeCell ref="AB64:AD64"/>
    <mergeCell ref="AP63:AQ63"/>
    <mergeCell ref="AS63:AT63"/>
    <mergeCell ref="AW63:AX63"/>
    <mergeCell ref="AY63:BA63"/>
    <mergeCell ref="BB63:BC63"/>
    <mergeCell ref="BE63:BH63"/>
    <mergeCell ref="W63:Y63"/>
    <mergeCell ref="AB63:AD63"/>
    <mergeCell ref="AE63:AG63"/>
    <mergeCell ref="AI63:AK63"/>
    <mergeCell ref="AL63:AM63"/>
    <mergeCell ref="AN63:AO63"/>
    <mergeCell ref="BB62:BC62"/>
    <mergeCell ref="BE62:BH62"/>
    <mergeCell ref="BI62:BK62"/>
    <mergeCell ref="BL62:BO62"/>
    <mergeCell ref="BP62:CA62"/>
    <mergeCell ref="A63:F63"/>
    <mergeCell ref="G63:J63"/>
    <mergeCell ref="K63:L63"/>
    <mergeCell ref="O63:R63"/>
    <mergeCell ref="S63:U63"/>
    <mergeCell ref="AL62:AM62"/>
    <mergeCell ref="AN62:AO62"/>
    <mergeCell ref="AP62:AQ62"/>
    <mergeCell ref="AS62:AT62"/>
    <mergeCell ref="AW62:AX62"/>
    <mergeCell ref="AY62:BA62"/>
    <mergeCell ref="BP61:CA61"/>
    <mergeCell ref="A62:F62"/>
    <mergeCell ref="G62:J62"/>
    <mergeCell ref="K62:L62"/>
    <mergeCell ref="O62:R62"/>
    <mergeCell ref="S62:U62"/>
    <mergeCell ref="W62:Y62"/>
    <mergeCell ref="AB62:AD62"/>
    <mergeCell ref="AE62:AG62"/>
    <mergeCell ref="AI62:AK62"/>
    <mergeCell ref="AW61:AX61"/>
    <mergeCell ref="AY61:BA61"/>
    <mergeCell ref="BB61:BC61"/>
    <mergeCell ref="BE61:BH61"/>
    <mergeCell ref="BI61:BK61"/>
    <mergeCell ref="BL61:BO61"/>
    <mergeCell ref="AE61:AG61"/>
    <mergeCell ref="AI61:AK61"/>
    <mergeCell ref="AL61:AM61"/>
    <mergeCell ref="AN61:AO61"/>
    <mergeCell ref="AP61:AQ61"/>
    <mergeCell ref="AS61:AT61"/>
    <mergeCell ref="BI60:BK60"/>
    <mergeCell ref="BL60:BO60"/>
    <mergeCell ref="BP60:CA60"/>
    <mergeCell ref="A61:F61"/>
    <mergeCell ref="G61:J61"/>
    <mergeCell ref="K61:L61"/>
    <mergeCell ref="O61:R61"/>
    <mergeCell ref="S61:U61"/>
    <mergeCell ref="W61:Y61"/>
    <mergeCell ref="AB61:AD61"/>
    <mergeCell ref="AP60:AQ60"/>
    <mergeCell ref="AS60:AT60"/>
    <mergeCell ref="AW60:AX60"/>
    <mergeCell ref="AY60:BA60"/>
    <mergeCell ref="BB60:BC60"/>
    <mergeCell ref="BE60:BH60"/>
    <mergeCell ref="W60:Y60"/>
    <mergeCell ref="AB60:AD60"/>
    <mergeCell ref="AE60:AG60"/>
    <mergeCell ref="AI60:AK60"/>
    <mergeCell ref="AL60:AM60"/>
    <mergeCell ref="AN60:AO60"/>
    <mergeCell ref="BB59:BC59"/>
    <mergeCell ref="BE59:BH59"/>
    <mergeCell ref="BI59:BK59"/>
    <mergeCell ref="BL59:BO59"/>
    <mergeCell ref="BP59:CA59"/>
    <mergeCell ref="A60:F60"/>
    <mergeCell ref="G60:J60"/>
    <mergeCell ref="K60:L60"/>
    <mergeCell ref="O60:R60"/>
    <mergeCell ref="S60:U60"/>
    <mergeCell ref="AL59:AM59"/>
    <mergeCell ref="AN59:AO59"/>
    <mergeCell ref="AP59:AQ59"/>
    <mergeCell ref="AS59:AT59"/>
    <mergeCell ref="AW59:AX59"/>
    <mergeCell ref="AY59:BA59"/>
    <mergeCell ref="BP58:CA58"/>
    <mergeCell ref="A59:F59"/>
    <mergeCell ref="G59:J59"/>
    <mergeCell ref="K59:L59"/>
    <mergeCell ref="O59:R59"/>
    <mergeCell ref="S59:U59"/>
    <mergeCell ref="W59:Y59"/>
    <mergeCell ref="AB59:AD59"/>
    <mergeCell ref="AE59:AG59"/>
    <mergeCell ref="AI59:AK59"/>
    <mergeCell ref="AW58:AX58"/>
    <mergeCell ref="AY58:BA58"/>
    <mergeCell ref="BB58:BC58"/>
    <mergeCell ref="BE58:BH58"/>
    <mergeCell ref="BI58:BK58"/>
    <mergeCell ref="BL58:BO58"/>
    <mergeCell ref="AE58:AG58"/>
    <mergeCell ref="AI58:AK58"/>
    <mergeCell ref="AL58:AM58"/>
    <mergeCell ref="AN58:AO58"/>
    <mergeCell ref="AP58:AQ58"/>
    <mergeCell ref="AS58:AT58"/>
    <mergeCell ref="BI57:BK57"/>
    <mergeCell ref="BL57:BO57"/>
    <mergeCell ref="BP57:CA57"/>
    <mergeCell ref="A58:F58"/>
    <mergeCell ref="G58:J58"/>
    <mergeCell ref="K58:L58"/>
    <mergeCell ref="O58:R58"/>
    <mergeCell ref="S58:U58"/>
    <mergeCell ref="W58:Y58"/>
    <mergeCell ref="AB58:AD58"/>
    <mergeCell ref="AP57:AQ57"/>
    <mergeCell ref="AS57:AT57"/>
    <mergeCell ref="AW57:AX57"/>
    <mergeCell ref="AY57:BA57"/>
    <mergeCell ref="BB57:BC57"/>
    <mergeCell ref="BE57:BH57"/>
    <mergeCell ref="W57:Y57"/>
    <mergeCell ref="AB57:AD57"/>
    <mergeCell ref="AE57:AG57"/>
    <mergeCell ref="AI57:AK57"/>
    <mergeCell ref="AL57:AM57"/>
    <mergeCell ref="AN57:AO57"/>
    <mergeCell ref="BB56:BC56"/>
    <mergeCell ref="BE56:BH56"/>
    <mergeCell ref="BI56:BK56"/>
    <mergeCell ref="BL56:BO56"/>
    <mergeCell ref="BP56:CA56"/>
    <mergeCell ref="A57:F57"/>
    <mergeCell ref="G57:J57"/>
    <mergeCell ref="K57:L57"/>
    <mergeCell ref="O57:R57"/>
    <mergeCell ref="S57:U57"/>
    <mergeCell ref="AL56:AM56"/>
    <mergeCell ref="AN56:AO56"/>
    <mergeCell ref="AP56:AQ56"/>
    <mergeCell ref="AS56:AT56"/>
    <mergeCell ref="AW56:AX56"/>
    <mergeCell ref="AY56:BA56"/>
    <mergeCell ref="BP55:CA55"/>
    <mergeCell ref="A56:F56"/>
    <mergeCell ref="G56:J56"/>
    <mergeCell ref="K56:L56"/>
    <mergeCell ref="O56:R56"/>
    <mergeCell ref="S56:U56"/>
    <mergeCell ref="W56:Y56"/>
    <mergeCell ref="AB56:AD56"/>
    <mergeCell ref="AE56:AG56"/>
    <mergeCell ref="AI56:AK56"/>
    <mergeCell ref="AW55:AX55"/>
    <mergeCell ref="AY55:BA55"/>
    <mergeCell ref="BB55:BC55"/>
    <mergeCell ref="BE55:BH55"/>
    <mergeCell ref="BI55:BK55"/>
    <mergeCell ref="BL55:BO55"/>
    <mergeCell ref="AE55:AG55"/>
    <mergeCell ref="AI55:AK55"/>
    <mergeCell ref="AL55:AM55"/>
    <mergeCell ref="AN55:AO55"/>
    <mergeCell ref="AP55:AQ55"/>
    <mergeCell ref="AS55:AT55"/>
    <mergeCell ref="BI54:BK54"/>
    <mergeCell ref="BL54:BO54"/>
    <mergeCell ref="BP54:CA54"/>
    <mergeCell ref="A55:F55"/>
    <mergeCell ref="G55:J55"/>
    <mergeCell ref="K55:L55"/>
    <mergeCell ref="O55:R55"/>
    <mergeCell ref="S55:U55"/>
    <mergeCell ref="W55:Y55"/>
    <mergeCell ref="AB55:AD55"/>
    <mergeCell ref="AP54:AQ54"/>
    <mergeCell ref="AS54:AT54"/>
    <mergeCell ref="AW54:AX54"/>
    <mergeCell ref="AY54:BA54"/>
    <mergeCell ref="BB54:BC54"/>
    <mergeCell ref="BE54:BH54"/>
    <mergeCell ref="W54:Y54"/>
    <mergeCell ref="AB54:AD54"/>
    <mergeCell ref="AE54:AG54"/>
    <mergeCell ref="AI54:AK54"/>
    <mergeCell ref="AL54:AM54"/>
    <mergeCell ref="AN54:AO54"/>
    <mergeCell ref="BB53:BC53"/>
    <mergeCell ref="BE53:BH53"/>
    <mergeCell ref="BI53:BK53"/>
    <mergeCell ref="BL53:BO53"/>
    <mergeCell ref="BP53:CA53"/>
    <mergeCell ref="A54:F54"/>
    <mergeCell ref="G54:J54"/>
    <mergeCell ref="K54:L54"/>
    <mergeCell ref="O54:R54"/>
    <mergeCell ref="S54:U54"/>
    <mergeCell ref="AL53:AM53"/>
    <mergeCell ref="AN53:AO53"/>
    <mergeCell ref="AP53:AQ53"/>
    <mergeCell ref="AS53:AT53"/>
    <mergeCell ref="AW53:AX53"/>
    <mergeCell ref="AY53:BA53"/>
    <mergeCell ref="BP52:CA52"/>
    <mergeCell ref="A53:F53"/>
    <mergeCell ref="G53:J53"/>
    <mergeCell ref="K53:L53"/>
    <mergeCell ref="O53:R53"/>
    <mergeCell ref="S53:U53"/>
    <mergeCell ref="W53:Y53"/>
    <mergeCell ref="AB53:AD53"/>
    <mergeCell ref="AE53:AG53"/>
    <mergeCell ref="AI53:AK53"/>
    <mergeCell ref="AW52:AX52"/>
    <mergeCell ref="AY52:BA52"/>
    <mergeCell ref="BB52:BC52"/>
    <mergeCell ref="BE52:BH52"/>
    <mergeCell ref="BI52:BK52"/>
    <mergeCell ref="BL52:BO52"/>
    <mergeCell ref="AE52:AG52"/>
    <mergeCell ref="AI52:AK52"/>
    <mergeCell ref="AL52:AM52"/>
    <mergeCell ref="AN52:AO52"/>
    <mergeCell ref="AP52:AQ52"/>
    <mergeCell ref="AS52:AT52"/>
    <mergeCell ref="BI51:BK51"/>
    <mergeCell ref="BL51:BO51"/>
    <mergeCell ref="BP51:CA51"/>
    <mergeCell ref="A52:F52"/>
    <mergeCell ref="G52:J52"/>
    <mergeCell ref="K52:L52"/>
    <mergeCell ref="O52:R52"/>
    <mergeCell ref="S52:U52"/>
    <mergeCell ref="W52:Y52"/>
    <mergeCell ref="AB52:AD52"/>
    <mergeCell ref="AP51:AQ51"/>
    <mergeCell ref="AS51:AT51"/>
    <mergeCell ref="AW51:AX51"/>
    <mergeCell ref="AY51:BA51"/>
    <mergeCell ref="BB51:BC51"/>
    <mergeCell ref="BE51:BH51"/>
    <mergeCell ref="W51:Y51"/>
    <mergeCell ref="AB51:AD51"/>
    <mergeCell ref="AE51:AG51"/>
    <mergeCell ref="AI51:AK51"/>
    <mergeCell ref="AL51:AM51"/>
    <mergeCell ref="AN51:AO51"/>
    <mergeCell ref="BB50:BC50"/>
    <mergeCell ref="BE50:BH50"/>
    <mergeCell ref="BI50:BK50"/>
    <mergeCell ref="BL50:BO50"/>
    <mergeCell ref="BP50:CA50"/>
    <mergeCell ref="A51:F51"/>
    <mergeCell ref="G51:J51"/>
    <mergeCell ref="K51:L51"/>
    <mergeCell ref="O51:R51"/>
    <mergeCell ref="S51:U51"/>
    <mergeCell ref="AL50:AM50"/>
    <mergeCell ref="AN50:AO50"/>
    <mergeCell ref="AP50:AQ50"/>
    <mergeCell ref="AS50:AT50"/>
    <mergeCell ref="AW50:AX50"/>
    <mergeCell ref="AY50:BA50"/>
    <mergeCell ref="BP49:CA49"/>
    <mergeCell ref="A50:F50"/>
    <mergeCell ref="G50:J50"/>
    <mergeCell ref="K50:L50"/>
    <mergeCell ref="O50:R50"/>
    <mergeCell ref="S50:U50"/>
    <mergeCell ref="W50:Y50"/>
    <mergeCell ref="AB50:AD50"/>
    <mergeCell ref="AE50:AG50"/>
    <mergeCell ref="AI50:AK50"/>
    <mergeCell ref="AW49:AX49"/>
    <mergeCell ref="AY49:BA49"/>
    <mergeCell ref="BB49:BC49"/>
    <mergeCell ref="BE49:BH49"/>
    <mergeCell ref="BI49:BK49"/>
    <mergeCell ref="BL49:BO49"/>
    <mergeCell ref="AE49:AG49"/>
    <mergeCell ref="AI49:AK49"/>
    <mergeCell ref="AL49:AM49"/>
    <mergeCell ref="AN49:AO49"/>
    <mergeCell ref="AP49:AQ49"/>
    <mergeCell ref="AS49:AT49"/>
    <mergeCell ref="BI48:BK48"/>
    <mergeCell ref="BL48:BO48"/>
    <mergeCell ref="BP48:CA48"/>
    <mergeCell ref="A49:F49"/>
    <mergeCell ref="G49:J49"/>
    <mergeCell ref="K49:L49"/>
    <mergeCell ref="O49:R49"/>
    <mergeCell ref="S49:U49"/>
    <mergeCell ref="W49:Y49"/>
    <mergeCell ref="AB49:AD49"/>
    <mergeCell ref="AP48:AQ48"/>
    <mergeCell ref="AS48:AT48"/>
    <mergeCell ref="AW48:AX48"/>
    <mergeCell ref="AY48:BA48"/>
    <mergeCell ref="BB48:BC48"/>
    <mergeCell ref="BE48:BH48"/>
    <mergeCell ref="W48:Y48"/>
    <mergeCell ref="AB48:AD48"/>
    <mergeCell ref="AE48:AG48"/>
    <mergeCell ref="AI48:AK48"/>
    <mergeCell ref="AL48:AM48"/>
    <mergeCell ref="AN48:AO48"/>
    <mergeCell ref="BB47:BC47"/>
    <mergeCell ref="BE47:BH47"/>
    <mergeCell ref="BI47:BK47"/>
    <mergeCell ref="BL47:BO47"/>
    <mergeCell ref="BP47:CA47"/>
    <mergeCell ref="A48:F48"/>
    <mergeCell ref="G48:J48"/>
    <mergeCell ref="K48:L48"/>
    <mergeCell ref="O48:R48"/>
    <mergeCell ref="S48:U48"/>
    <mergeCell ref="AL47:AM47"/>
    <mergeCell ref="AN47:AO47"/>
    <mergeCell ref="AP47:AQ47"/>
    <mergeCell ref="AS47:AT47"/>
    <mergeCell ref="AW47:AX47"/>
    <mergeCell ref="AY47:BA47"/>
    <mergeCell ref="BP46:CA46"/>
    <mergeCell ref="A47:F47"/>
    <mergeCell ref="G47:J47"/>
    <mergeCell ref="K47:L47"/>
    <mergeCell ref="O47:R47"/>
    <mergeCell ref="S47:U47"/>
    <mergeCell ref="W47:Y47"/>
    <mergeCell ref="AB47:AD47"/>
    <mergeCell ref="AE47:AG47"/>
    <mergeCell ref="AI47:AK47"/>
    <mergeCell ref="AW46:AX46"/>
    <mergeCell ref="AY46:BA46"/>
    <mergeCell ref="BB46:BC46"/>
    <mergeCell ref="BE46:BH46"/>
    <mergeCell ref="BI46:BK46"/>
    <mergeCell ref="BL46:BO46"/>
    <mergeCell ref="AE46:AG46"/>
    <mergeCell ref="AI46:AK46"/>
    <mergeCell ref="AL46:AM46"/>
    <mergeCell ref="AN46:AO46"/>
    <mergeCell ref="AP46:AQ46"/>
    <mergeCell ref="AS46:AT46"/>
    <mergeCell ref="BI45:BK45"/>
    <mergeCell ref="BL45:BO45"/>
    <mergeCell ref="BP45:CA45"/>
    <mergeCell ref="A46:F46"/>
    <mergeCell ref="G46:J46"/>
    <mergeCell ref="K46:L46"/>
    <mergeCell ref="O46:R46"/>
    <mergeCell ref="S46:U46"/>
    <mergeCell ref="W46:Y46"/>
    <mergeCell ref="AB46:AD46"/>
    <mergeCell ref="AP45:AQ45"/>
    <mergeCell ref="AS45:AT45"/>
    <mergeCell ref="AW45:AX45"/>
    <mergeCell ref="AY45:BA45"/>
    <mergeCell ref="BB45:BC45"/>
    <mergeCell ref="BE45:BH45"/>
    <mergeCell ref="W45:Y45"/>
    <mergeCell ref="AB45:AD45"/>
    <mergeCell ref="AE45:AG45"/>
    <mergeCell ref="AI45:AK45"/>
    <mergeCell ref="AL45:AM45"/>
    <mergeCell ref="AN45:AO45"/>
    <mergeCell ref="BB44:BC44"/>
    <mergeCell ref="BE44:BH44"/>
    <mergeCell ref="BI44:BK44"/>
    <mergeCell ref="BL44:BO44"/>
    <mergeCell ref="BP44:CA44"/>
    <mergeCell ref="A45:F45"/>
    <mergeCell ref="G45:J45"/>
    <mergeCell ref="K45:L45"/>
    <mergeCell ref="O45:R45"/>
    <mergeCell ref="S45:U45"/>
    <mergeCell ref="AL44:AM44"/>
    <mergeCell ref="AN44:AO44"/>
    <mergeCell ref="AP44:AQ44"/>
    <mergeCell ref="AS44:AT44"/>
    <mergeCell ref="AW44:AX44"/>
    <mergeCell ref="AY44:BA44"/>
    <mergeCell ref="BP43:CA43"/>
    <mergeCell ref="A44:F44"/>
    <mergeCell ref="G44:J44"/>
    <mergeCell ref="K44:L44"/>
    <mergeCell ref="O44:R44"/>
    <mergeCell ref="S44:U44"/>
    <mergeCell ref="W44:Y44"/>
    <mergeCell ref="AB44:AD44"/>
    <mergeCell ref="AE44:AG44"/>
    <mergeCell ref="AI44:AK44"/>
    <mergeCell ref="AW43:AX43"/>
    <mergeCell ref="AY43:BA43"/>
    <mergeCell ref="BB43:BC43"/>
    <mergeCell ref="BE43:BH43"/>
    <mergeCell ref="BI43:BK43"/>
    <mergeCell ref="BL43:BO43"/>
    <mergeCell ref="AE43:AG43"/>
    <mergeCell ref="AI43:AK43"/>
    <mergeCell ref="AL43:AM43"/>
    <mergeCell ref="AN43:AO43"/>
    <mergeCell ref="AP43:AQ43"/>
    <mergeCell ref="AS43:AT43"/>
    <mergeCell ref="BI42:BK42"/>
    <mergeCell ref="BL42:BO42"/>
    <mergeCell ref="BP42:CA42"/>
    <mergeCell ref="A43:F43"/>
    <mergeCell ref="G43:J43"/>
    <mergeCell ref="K43:L43"/>
    <mergeCell ref="O43:R43"/>
    <mergeCell ref="S43:U43"/>
    <mergeCell ref="W43:Y43"/>
    <mergeCell ref="AB43:AD43"/>
    <mergeCell ref="AP42:AQ42"/>
    <mergeCell ref="AS42:AT42"/>
    <mergeCell ref="AW42:AX42"/>
    <mergeCell ref="AY42:BA42"/>
    <mergeCell ref="BB42:BC42"/>
    <mergeCell ref="BE42:BH42"/>
    <mergeCell ref="W42:Y42"/>
    <mergeCell ref="AB42:AD42"/>
    <mergeCell ref="AE42:AG42"/>
    <mergeCell ref="AI42:AK42"/>
    <mergeCell ref="AL42:AM42"/>
    <mergeCell ref="AN42:AO42"/>
    <mergeCell ref="BB41:BC41"/>
    <mergeCell ref="BE41:BH41"/>
    <mergeCell ref="BI41:BK41"/>
    <mergeCell ref="BL41:BO41"/>
    <mergeCell ref="BP41:CA41"/>
    <mergeCell ref="A42:F42"/>
    <mergeCell ref="G42:J42"/>
    <mergeCell ref="K42:L42"/>
    <mergeCell ref="O42:R42"/>
    <mergeCell ref="S42:U42"/>
    <mergeCell ref="AL41:AM41"/>
    <mergeCell ref="AN41:AO41"/>
    <mergeCell ref="AP41:AQ41"/>
    <mergeCell ref="AS41:AT41"/>
    <mergeCell ref="AW41:AX41"/>
    <mergeCell ref="AY41:BA41"/>
    <mergeCell ref="BP40:CA40"/>
    <mergeCell ref="A41:F41"/>
    <mergeCell ref="G41:J41"/>
    <mergeCell ref="K41:L41"/>
    <mergeCell ref="O41:R41"/>
    <mergeCell ref="S41:U41"/>
    <mergeCell ref="W41:Y41"/>
    <mergeCell ref="AB41:AD41"/>
    <mergeCell ref="AE41:AG41"/>
    <mergeCell ref="AI41:AK41"/>
    <mergeCell ref="AW40:AX40"/>
    <mergeCell ref="AY40:BA40"/>
    <mergeCell ref="BB40:BC40"/>
    <mergeCell ref="BE40:BH40"/>
    <mergeCell ref="BI40:BK40"/>
    <mergeCell ref="BL40:BO40"/>
    <mergeCell ref="AE40:AG40"/>
    <mergeCell ref="AI40:AK40"/>
    <mergeCell ref="AL40:AM40"/>
    <mergeCell ref="AN40:AO40"/>
    <mergeCell ref="AP40:AQ40"/>
    <mergeCell ref="AS40:AT40"/>
    <mergeCell ref="BI39:BK39"/>
    <mergeCell ref="BL39:BO39"/>
    <mergeCell ref="BP39:CA39"/>
    <mergeCell ref="A40:F40"/>
    <mergeCell ref="G40:J40"/>
    <mergeCell ref="K40:L40"/>
    <mergeCell ref="O40:R40"/>
    <mergeCell ref="S40:U40"/>
    <mergeCell ref="W40:Y40"/>
    <mergeCell ref="AB40:AD40"/>
    <mergeCell ref="AP39:AQ39"/>
    <mergeCell ref="AS39:AT39"/>
    <mergeCell ref="AW39:AX39"/>
    <mergeCell ref="AY39:BA39"/>
    <mergeCell ref="BB39:BC39"/>
    <mergeCell ref="BE39:BH39"/>
    <mergeCell ref="W39:Y39"/>
    <mergeCell ref="AB39:AD39"/>
    <mergeCell ref="AE39:AG39"/>
    <mergeCell ref="AI39:AK39"/>
    <mergeCell ref="AL39:AM39"/>
    <mergeCell ref="AN39:AO39"/>
    <mergeCell ref="BB38:BC38"/>
    <mergeCell ref="BE38:BH38"/>
    <mergeCell ref="BI38:BK38"/>
    <mergeCell ref="BL38:BO38"/>
    <mergeCell ref="BP38:CA38"/>
    <mergeCell ref="A39:F39"/>
    <mergeCell ref="G39:J39"/>
    <mergeCell ref="K39:L39"/>
    <mergeCell ref="O39:R39"/>
    <mergeCell ref="S39:U39"/>
    <mergeCell ref="AL38:AM38"/>
    <mergeCell ref="AN38:AO38"/>
    <mergeCell ref="AP38:AQ38"/>
    <mergeCell ref="AS38:AT38"/>
    <mergeCell ref="AW38:AX38"/>
    <mergeCell ref="AY38:BA38"/>
    <mergeCell ref="BP37:CA37"/>
    <mergeCell ref="A38:F38"/>
    <mergeCell ref="G38:J38"/>
    <mergeCell ref="K38:L38"/>
    <mergeCell ref="O38:R38"/>
    <mergeCell ref="S38:U38"/>
    <mergeCell ref="W38:Y38"/>
    <mergeCell ref="AB38:AD38"/>
    <mergeCell ref="AE38:AG38"/>
    <mergeCell ref="AI38:AK38"/>
    <mergeCell ref="AW37:AX37"/>
    <mergeCell ref="AY37:BA37"/>
    <mergeCell ref="BB37:BC37"/>
    <mergeCell ref="BE37:BH37"/>
    <mergeCell ref="BI37:BK37"/>
    <mergeCell ref="BL37:BO37"/>
    <mergeCell ref="AE37:AG37"/>
    <mergeCell ref="AI37:AK37"/>
    <mergeCell ref="AL37:AM37"/>
    <mergeCell ref="AN37:AO37"/>
    <mergeCell ref="AP37:AQ37"/>
    <mergeCell ref="AS37:AT37"/>
    <mergeCell ref="BI36:BK36"/>
    <mergeCell ref="BL36:BO36"/>
    <mergeCell ref="BP36:CA36"/>
    <mergeCell ref="A37:F37"/>
    <mergeCell ref="G37:J37"/>
    <mergeCell ref="K37:L37"/>
    <mergeCell ref="O37:R37"/>
    <mergeCell ref="S37:U37"/>
    <mergeCell ref="W37:Y37"/>
    <mergeCell ref="AB37:AD37"/>
    <mergeCell ref="AP36:AQ36"/>
    <mergeCell ref="AS36:AT36"/>
    <mergeCell ref="AW36:AX36"/>
    <mergeCell ref="AY36:BA36"/>
    <mergeCell ref="BB36:BC36"/>
    <mergeCell ref="BE36:BH36"/>
    <mergeCell ref="W36:Y36"/>
    <mergeCell ref="AB36:AD36"/>
    <mergeCell ref="AE36:AG36"/>
    <mergeCell ref="AI36:AK36"/>
    <mergeCell ref="AL36:AM36"/>
    <mergeCell ref="AN36:AO36"/>
    <mergeCell ref="BB35:BC35"/>
    <mergeCell ref="BE35:BH35"/>
    <mergeCell ref="BI35:BK35"/>
    <mergeCell ref="BL35:BO35"/>
    <mergeCell ref="BP35:CA35"/>
    <mergeCell ref="A36:F36"/>
    <mergeCell ref="G36:J36"/>
    <mergeCell ref="K36:L36"/>
    <mergeCell ref="O36:R36"/>
    <mergeCell ref="S36:U36"/>
    <mergeCell ref="AL35:AM35"/>
    <mergeCell ref="AN35:AO35"/>
    <mergeCell ref="AP35:AQ35"/>
    <mergeCell ref="AS35:AT35"/>
    <mergeCell ref="AW35:AX35"/>
    <mergeCell ref="AY35:BA35"/>
    <mergeCell ref="BP34:CA34"/>
    <mergeCell ref="A35:F35"/>
    <mergeCell ref="G35:J35"/>
    <mergeCell ref="K35:L35"/>
    <mergeCell ref="O35:R35"/>
    <mergeCell ref="S35:U35"/>
    <mergeCell ref="W35:Y35"/>
    <mergeCell ref="AB35:AD35"/>
    <mergeCell ref="AE35:AG35"/>
    <mergeCell ref="AI35:AK35"/>
    <mergeCell ref="AW34:AX34"/>
    <mergeCell ref="AY34:BA34"/>
    <mergeCell ref="BB34:BC34"/>
    <mergeCell ref="BE34:BH34"/>
    <mergeCell ref="BI34:BK34"/>
    <mergeCell ref="BL34:BO34"/>
    <mergeCell ref="AE34:AG34"/>
    <mergeCell ref="AI34:AK34"/>
    <mergeCell ref="AL34:AM34"/>
    <mergeCell ref="AN34:AO34"/>
    <mergeCell ref="AP34:AQ34"/>
    <mergeCell ref="AS34:AT34"/>
    <mergeCell ref="BI33:BK33"/>
    <mergeCell ref="BL33:BO33"/>
    <mergeCell ref="BP33:CA33"/>
    <mergeCell ref="A34:F34"/>
    <mergeCell ref="G34:J34"/>
    <mergeCell ref="K34:L34"/>
    <mergeCell ref="O34:R34"/>
    <mergeCell ref="S34:U34"/>
    <mergeCell ref="W34:Y34"/>
    <mergeCell ref="AB34:AD34"/>
    <mergeCell ref="AP33:AQ33"/>
    <mergeCell ref="AS33:AT33"/>
    <mergeCell ref="AW33:AX33"/>
    <mergeCell ref="AY33:BA33"/>
    <mergeCell ref="BB33:BC33"/>
    <mergeCell ref="BE33:BH33"/>
    <mergeCell ref="W33:Y33"/>
    <mergeCell ref="AB33:AD33"/>
    <mergeCell ref="AE33:AG33"/>
    <mergeCell ref="AI33:AK33"/>
    <mergeCell ref="AL33:AM33"/>
    <mergeCell ref="AN33:AO33"/>
    <mergeCell ref="BB32:BC32"/>
    <mergeCell ref="BE32:BH32"/>
    <mergeCell ref="BI32:BK32"/>
    <mergeCell ref="BL32:BO32"/>
    <mergeCell ref="BP32:CA32"/>
    <mergeCell ref="A33:F33"/>
    <mergeCell ref="G33:J33"/>
    <mergeCell ref="K33:L33"/>
    <mergeCell ref="O33:R33"/>
    <mergeCell ref="S33:U33"/>
    <mergeCell ref="AL32:AM32"/>
    <mergeCell ref="AN32:AO32"/>
    <mergeCell ref="AP32:AQ32"/>
    <mergeCell ref="AS32:AT32"/>
    <mergeCell ref="AW32:AX32"/>
    <mergeCell ref="AY32:BA32"/>
    <mergeCell ref="BP31:CA31"/>
    <mergeCell ref="A32:F32"/>
    <mergeCell ref="G32:J32"/>
    <mergeCell ref="K32:L32"/>
    <mergeCell ref="O32:R32"/>
    <mergeCell ref="S32:U32"/>
    <mergeCell ref="W32:Y32"/>
    <mergeCell ref="AB32:AD32"/>
    <mergeCell ref="AE32:AG32"/>
    <mergeCell ref="AI32:AK32"/>
    <mergeCell ref="AW31:AX31"/>
    <mergeCell ref="AY31:BA31"/>
    <mergeCell ref="BB31:BC31"/>
    <mergeCell ref="BE31:BH31"/>
    <mergeCell ref="BI31:BK31"/>
    <mergeCell ref="BL31:BO31"/>
    <mergeCell ref="AE31:AG31"/>
    <mergeCell ref="AI31:AK31"/>
    <mergeCell ref="AL31:AM31"/>
    <mergeCell ref="AN31:AO31"/>
    <mergeCell ref="AP31:AQ31"/>
    <mergeCell ref="AS31:AT31"/>
    <mergeCell ref="BI30:BK30"/>
    <mergeCell ref="BL30:BO30"/>
    <mergeCell ref="BP30:CA30"/>
    <mergeCell ref="A31:F31"/>
    <mergeCell ref="G31:J31"/>
    <mergeCell ref="K31:L31"/>
    <mergeCell ref="O31:R31"/>
    <mergeCell ref="S31:U31"/>
    <mergeCell ref="W31:Y31"/>
    <mergeCell ref="AB31:AD31"/>
    <mergeCell ref="AP30:AQ30"/>
    <mergeCell ref="AS30:AT30"/>
    <mergeCell ref="AW30:AX30"/>
    <mergeCell ref="AY30:BA30"/>
    <mergeCell ref="BB30:BC30"/>
    <mergeCell ref="BE30:BH30"/>
    <mergeCell ref="W30:Y30"/>
    <mergeCell ref="AB30:AD30"/>
    <mergeCell ref="AE30:AG30"/>
    <mergeCell ref="AI30:AK30"/>
    <mergeCell ref="AL30:AM30"/>
    <mergeCell ref="AN30:AO30"/>
    <mergeCell ref="BB29:BC29"/>
    <mergeCell ref="BE29:BH29"/>
    <mergeCell ref="BI29:BK29"/>
    <mergeCell ref="BL29:BO29"/>
    <mergeCell ref="BP29:CA29"/>
    <mergeCell ref="A30:F30"/>
    <mergeCell ref="G30:J30"/>
    <mergeCell ref="K30:L30"/>
    <mergeCell ref="O30:R30"/>
    <mergeCell ref="S30:U30"/>
    <mergeCell ref="AL29:AM29"/>
    <mergeCell ref="AN29:AO29"/>
    <mergeCell ref="AP29:AQ29"/>
    <mergeCell ref="AS29:AT29"/>
    <mergeCell ref="AW29:AX29"/>
    <mergeCell ref="AY29:BA29"/>
    <mergeCell ref="BP28:CA28"/>
    <mergeCell ref="A29:F29"/>
    <mergeCell ref="G29:J29"/>
    <mergeCell ref="K29:L29"/>
    <mergeCell ref="O29:R29"/>
    <mergeCell ref="S29:U29"/>
    <mergeCell ref="W29:Y29"/>
    <mergeCell ref="AB29:AD29"/>
    <mergeCell ref="AE29:AG29"/>
    <mergeCell ref="AI29:AK29"/>
    <mergeCell ref="AW28:AX28"/>
    <mergeCell ref="AY28:BA28"/>
    <mergeCell ref="BB28:BC28"/>
    <mergeCell ref="BE28:BH28"/>
    <mergeCell ref="BI28:BK28"/>
    <mergeCell ref="BL28:BO28"/>
    <mergeCell ref="AE28:AG28"/>
    <mergeCell ref="AI28:AK28"/>
    <mergeCell ref="AL28:AM28"/>
    <mergeCell ref="AN28:AO28"/>
    <mergeCell ref="AP28:AQ28"/>
    <mergeCell ref="AS28:AT28"/>
    <mergeCell ref="BI27:BK27"/>
    <mergeCell ref="BL27:BO27"/>
    <mergeCell ref="BP27:CA27"/>
    <mergeCell ref="A28:F28"/>
    <mergeCell ref="G28:J28"/>
    <mergeCell ref="K28:L28"/>
    <mergeCell ref="O28:R28"/>
    <mergeCell ref="S28:U28"/>
    <mergeCell ref="W28:Y28"/>
    <mergeCell ref="AB28:AD28"/>
    <mergeCell ref="AP27:AQ27"/>
    <mergeCell ref="AS27:AT27"/>
    <mergeCell ref="AW27:AX27"/>
    <mergeCell ref="AY27:BA27"/>
    <mergeCell ref="BB27:BC27"/>
    <mergeCell ref="BE27:BH27"/>
    <mergeCell ref="W27:Y27"/>
    <mergeCell ref="AB27:AD27"/>
    <mergeCell ref="AE27:AG27"/>
    <mergeCell ref="AI27:AK27"/>
    <mergeCell ref="AL27:AM27"/>
    <mergeCell ref="AN27:AO27"/>
    <mergeCell ref="BB26:BC26"/>
    <mergeCell ref="BE26:BH26"/>
    <mergeCell ref="BI26:BK26"/>
    <mergeCell ref="BL26:BO26"/>
    <mergeCell ref="BP26:CA26"/>
    <mergeCell ref="A27:F27"/>
    <mergeCell ref="G27:J27"/>
    <mergeCell ref="K27:L27"/>
    <mergeCell ref="O27:R27"/>
    <mergeCell ref="S27:U27"/>
    <mergeCell ref="AL26:AM26"/>
    <mergeCell ref="AN26:AO26"/>
    <mergeCell ref="AP26:AQ26"/>
    <mergeCell ref="AS26:AT26"/>
    <mergeCell ref="AW26:AX26"/>
    <mergeCell ref="AY26:BA26"/>
    <mergeCell ref="BP25:CA25"/>
    <mergeCell ref="A26:F26"/>
    <mergeCell ref="G26:J26"/>
    <mergeCell ref="K26:L26"/>
    <mergeCell ref="O26:R26"/>
    <mergeCell ref="S26:U26"/>
    <mergeCell ref="W26:Y26"/>
    <mergeCell ref="AB26:AD26"/>
    <mergeCell ref="AE26:AG26"/>
    <mergeCell ref="AI26:AK26"/>
    <mergeCell ref="AW25:AX25"/>
    <mergeCell ref="AY25:BA25"/>
    <mergeCell ref="BB25:BC25"/>
    <mergeCell ref="BE25:BH25"/>
    <mergeCell ref="BI25:BK25"/>
    <mergeCell ref="BL25:BO25"/>
    <mergeCell ref="AE25:AG25"/>
    <mergeCell ref="AI25:AK25"/>
    <mergeCell ref="AL25:AM25"/>
    <mergeCell ref="AN25:AO25"/>
    <mergeCell ref="AP25:AQ25"/>
    <mergeCell ref="AS25:AT25"/>
    <mergeCell ref="BI24:BK24"/>
    <mergeCell ref="BL24:BO24"/>
    <mergeCell ref="BP24:CA24"/>
    <mergeCell ref="A25:F25"/>
    <mergeCell ref="G25:J25"/>
    <mergeCell ref="K25:L25"/>
    <mergeCell ref="O25:R25"/>
    <mergeCell ref="S25:U25"/>
    <mergeCell ref="W25:Y25"/>
    <mergeCell ref="AB25:AD25"/>
    <mergeCell ref="AP24:AQ24"/>
    <mergeCell ref="AS24:AT24"/>
    <mergeCell ref="AW24:AX24"/>
    <mergeCell ref="AY24:BA24"/>
    <mergeCell ref="BB24:BC24"/>
    <mergeCell ref="BE24:BH24"/>
    <mergeCell ref="W24:Y24"/>
    <mergeCell ref="AB24:AD24"/>
    <mergeCell ref="AE24:AG24"/>
    <mergeCell ref="AI24:AK24"/>
    <mergeCell ref="AL24:AM24"/>
    <mergeCell ref="AN24:AO24"/>
    <mergeCell ref="BB23:BC23"/>
    <mergeCell ref="BE23:BH23"/>
    <mergeCell ref="BI23:BK23"/>
    <mergeCell ref="BL23:BO23"/>
    <mergeCell ref="BP23:CA23"/>
    <mergeCell ref="A24:F24"/>
    <mergeCell ref="G24:J24"/>
    <mergeCell ref="K24:L24"/>
    <mergeCell ref="O24:R24"/>
    <mergeCell ref="S24:U24"/>
    <mergeCell ref="AL23:AM23"/>
    <mergeCell ref="AN23:AO23"/>
    <mergeCell ref="AP23:AQ23"/>
    <mergeCell ref="AS23:AT23"/>
    <mergeCell ref="AW23:AX23"/>
    <mergeCell ref="AY23:BA23"/>
    <mergeCell ref="BP22:CA22"/>
    <mergeCell ref="A23:F23"/>
    <mergeCell ref="G23:J23"/>
    <mergeCell ref="K23:L23"/>
    <mergeCell ref="O23:R23"/>
    <mergeCell ref="S23:U23"/>
    <mergeCell ref="W23:Y23"/>
    <mergeCell ref="AB23:AD23"/>
    <mergeCell ref="AE23:AG23"/>
    <mergeCell ref="AI23:AK23"/>
    <mergeCell ref="AW22:AX22"/>
    <mergeCell ref="AY22:BA22"/>
    <mergeCell ref="BB22:BC22"/>
    <mergeCell ref="BE22:BH22"/>
    <mergeCell ref="BI22:BK22"/>
    <mergeCell ref="BL22:BO22"/>
    <mergeCell ref="AE22:AG22"/>
    <mergeCell ref="AI22:AK22"/>
    <mergeCell ref="AL22:AM22"/>
    <mergeCell ref="AN22:AO22"/>
    <mergeCell ref="AP22:AQ22"/>
    <mergeCell ref="AS22:AT22"/>
    <mergeCell ref="BI21:BK21"/>
    <mergeCell ref="BL21:BO21"/>
    <mergeCell ref="BP21:CA21"/>
    <mergeCell ref="A22:F22"/>
    <mergeCell ref="G22:J22"/>
    <mergeCell ref="K22:L22"/>
    <mergeCell ref="O22:R22"/>
    <mergeCell ref="S22:U22"/>
    <mergeCell ref="W22:Y22"/>
    <mergeCell ref="AB22:AD22"/>
    <mergeCell ref="AP21:AQ21"/>
    <mergeCell ref="AS21:AT21"/>
    <mergeCell ref="AW21:AX21"/>
    <mergeCell ref="AY21:BA21"/>
    <mergeCell ref="BB21:BC21"/>
    <mergeCell ref="BE21:BH21"/>
    <mergeCell ref="W21:Y21"/>
    <mergeCell ref="AB21:AD21"/>
    <mergeCell ref="AE21:AG21"/>
    <mergeCell ref="AI21:AK21"/>
    <mergeCell ref="AL21:AM21"/>
    <mergeCell ref="AN21:AO21"/>
    <mergeCell ref="BB20:BC20"/>
    <mergeCell ref="BE20:BH20"/>
    <mergeCell ref="BI20:BK20"/>
    <mergeCell ref="BL20:BO20"/>
    <mergeCell ref="BP20:CA20"/>
    <mergeCell ref="A21:F21"/>
    <mergeCell ref="G21:J21"/>
    <mergeCell ref="K21:L21"/>
    <mergeCell ref="O21:R21"/>
    <mergeCell ref="S21:U21"/>
    <mergeCell ref="AL20:AM20"/>
    <mergeCell ref="AN20:AO20"/>
    <mergeCell ref="AP20:AQ20"/>
    <mergeCell ref="AS20:AT20"/>
    <mergeCell ref="AW20:AX20"/>
    <mergeCell ref="AY20:BA20"/>
    <mergeCell ref="BP19:CA19"/>
    <mergeCell ref="A20:F20"/>
    <mergeCell ref="G20:J20"/>
    <mergeCell ref="K20:L20"/>
    <mergeCell ref="O20:R20"/>
    <mergeCell ref="S20:U20"/>
    <mergeCell ref="W20:Y20"/>
    <mergeCell ref="AB20:AD20"/>
    <mergeCell ref="AE20:AG20"/>
    <mergeCell ref="AI20:AK20"/>
    <mergeCell ref="AW19:AX19"/>
    <mergeCell ref="AY19:BA19"/>
    <mergeCell ref="BB19:BC19"/>
    <mergeCell ref="BE19:BH19"/>
    <mergeCell ref="BI19:BK19"/>
    <mergeCell ref="BL19:BO19"/>
    <mergeCell ref="AE19:AG19"/>
    <mergeCell ref="AI19:AK19"/>
    <mergeCell ref="AL19:AM19"/>
    <mergeCell ref="AN19:AO19"/>
    <mergeCell ref="AP19:AQ19"/>
    <mergeCell ref="AS19:AT19"/>
    <mergeCell ref="BI18:BK18"/>
    <mergeCell ref="BL18:BO18"/>
    <mergeCell ref="BP18:CA18"/>
    <mergeCell ref="A19:F19"/>
    <mergeCell ref="G19:J19"/>
    <mergeCell ref="K19:L19"/>
    <mergeCell ref="O19:R19"/>
    <mergeCell ref="S19:U19"/>
    <mergeCell ref="W19:Y19"/>
    <mergeCell ref="AB19:AD19"/>
    <mergeCell ref="AP18:AQ18"/>
    <mergeCell ref="AS18:AT18"/>
    <mergeCell ref="AW18:AX18"/>
    <mergeCell ref="AY18:BA18"/>
    <mergeCell ref="BB18:BC18"/>
    <mergeCell ref="BE18:BH18"/>
    <mergeCell ref="W18:Y18"/>
    <mergeCell ref="AB18:AD18"/>
    <mergeCell ref="AE18:AG18"/>
    <mergeCell ref="AI18:AK18"/>
    <mergeCell ref="AL18:AM18"/>
    <mergeCell ref="AN18:AO18"/>
    <mergeCell ref="AY17:BA17"/>
    <mergeCell ref="BB17:BC17"/>
    <mergeCell ref="BE17:BH17"/>
    <mergeCell ref="BI17:BK17"/>
    <mergeCell ref="BL17:BO17"/>
    <mergeCell ref="A18:F18"/>
    <mergeCell ref="G18:J18"/>
    <mergeCell ref="K18:L18"/>
    <mergeCell ref="O18:R18"/>
    <mergeCell ref="S18:U18"/>
    <mergeCell ref="AI17:AK17"/>
    <mergeCell ref="AL17:AM17"/>
    <mergeCell ref="AN17:AO17"/>
    <mergeCell ref="AP17:AQ17"/>
    <mergeCell ref="AS17:AT17"/>
    <mergeCell ref="AW17:AX17"/>
    <mergeCell ref="AW16:AX16"/>
    <mergeCell ref="AY16:BA16"/>
    <mergeCell ref="BB16:BC16"/>
    <mergeCell ref="BE16:BH16"/>
    <mergeCell ref="K17:L17"/>
    <mergeCell ref="O17:R17"/>
    <mergeCell ref="S17:U17"/>
    <mergeCell ref="W17:Y17"/>
    <mergeCell ref="AB17:AD17"/>
    <mergeCell ref="AE17:AG17"/>
    <mergeCell ref="AE16:AG16"/>
    <mergeCell ref="AI16:AK16"/>
    <mergeCell ref="AL16:AM16"/>
    <mergeCell ref="AN16:AO16"/>
    <mergeCell ref="AP16:AQ16"/>
    <mergeCell ref="AS16:AT16"/>
    <mergeCell ref="A15:F17"/>
    <mergeCell ref="G15:J17"/>
    <mergeCell ref="K15:BH15"/>
    <mergeCell ref="BI15:BO16"/>
    <mergeCell ref="BP15:CA17"/>
    <mergeCell ref="K16:L16"/>
    <mergeCell ref="O16:R16"/>
    <mergeCell ref="S16:U16"/>
    <mergeCell ref="W16:Y16"/>
    <mergeCell ref="AB16:AD16"/>
    <mergeCell ref="AN8:AS9"/>
    <mergeCell ref="R10:AB14"/>
    <mergeCell ref="BA11:BL12"/>
    <mergeCell ref="BN11:BX12"/>
    <mergeCell ref="E12:H13"/>
    <mergeCell ref="I12:O13"/>
    <mergeCell ref="AD12:AX13"/>
    <mergeCell ref="BH5:BP5"/>
    <mergeCell ref="BR5:BS5"/>
    <mergeCell ref="BV5:BX5"/>
    <mergeCell ref="M6:S9"/>
    <mergeCell ref="D7:G8"/>
    <mergeCell ref="I7:L8"/>
    <mergeCell ref="AG7:AM8"/>
    <mergeCell ref="AT7:BB8"/>
    <mergeCell ref="BC7:BX8"/>
    <mergeCell ref="U8:AE9"/>
    <mergeCell ref="C1:I3"/>
    <mergeCell ref="BS2:BY4"/>
    <mergeCell ref="J3:BR3"/>
    <mergeCell ref="B5:G5"/>
    <mergeCell ref="I5:O5"/>
    <mergeCell ref="Q5:W5"/>
    <mergeCell ref="Y5:AI5"/>
    <mergeCell ref="AK5:AP5"/>
    <mergeCell ref="AQ5:AW5"/>
    <mergeCell ref="AZ5:BF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SF2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DENNY LAINE LIWAG</dc:creator>
  <cp:lastModifiedBy>DENNY LAINE LIWAG</cp:lastModifiedBy>
  <dcterms:created xsi:type="dcterms:W3CDTF">2026-08-10T02:33:12Z</dcterms:created>
  <dcterms:modified xsi:type="dcterms:W3CDTF">2026-08-10T02:47:48Z</dcterms:modified>
</cp:coreProperties>
</file>